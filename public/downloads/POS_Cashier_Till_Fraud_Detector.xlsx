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tions" sheetId="1" state="visible" r:id="rId1"/>
    <sheet xmlns:r="http://schemas.openxmlformats.org/officeDocument/2006/relationships" name="01_POS_Data_Spec" sheetId="2" state="visible" r:id="rId2"/>
    <sheet xmlns:r="http://schemas.openxmlformats.org/officeDocument/2006/relationships" name="02_Cashier_Register" sheetId="3" state="visible" r:id="rId3"/>
    <sheet xmlns:r="http://schemas.openxmlformats.org/officeDocument/2006/relationships" name="03_Raw_POS_Journal" sheetId="4" state="visible" r:id="rId4"/>
    <sheet xmlns:r="http://schemas.openxmlformats.org/officeDocument/2006/relationships" name="04_Engine_Voids" sheetId="5" state="visible" r:id="rId5"/>
    <sheet xmlns:r="http://schemas.openxmlformats.org/officeDocument/2006/relationships" name="05_Engine_Drawer_Kicks" sheetId="6" state="visible" r:id="rId6"/>
    <sheet xmlns:r="http://schemas.openxmlformats.org/officeDocument/2006/relationships" name="06_Engine_Overrides" sheetId="7" state="visible" r:id="rId7"/>
    <sheet xmlns:r="http://schemas.openxmlformats.org/officeDocument/2006/relationships" name="99_Investigator_Dashboard" sheetId="8" state="visible" r:id="rId8"/>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yyyy-mm-dd h:mm:ss"/>
    <numFmt numFmtId="167" formatCode="yyyy-mm-dd hh:mm:ss"/>
    <numFmt numFmtId="168" formatCode="$#,##0.00"/>
  </numFmts>
  <fonts count="12">
    <font>
      <name val="Calibri"/>
      <family val="2"/>
      <color theme="1"/>
      <sz val="11"/>
      <scheme val="minor"/>
    </font>
    <font>
      <name val="Segoe UI"/>
      <b val="1"/>
      <color rgb="001F4E78"/>
      <sz val="15"/>
    </font>
    <font>
      <name val="Segoe UI"/>
      <i val="1"/>
      <color rgb="00334155"/>
      <sz val="9.5"/>
    </font>
    <font>
      <name val="Segoe UI"/>
      <i val="1"/>
      <color rgb="00566573"/>
      <sz val="8.5"/>
    </font>
    <font>
      <name val="Segoe UI"/>
      <b val="1"/>
      <color rgb="00FFFFFF"/>
      <sz val="9.5"/>
    </font>
    <font>
      <name val="Segoe UI"/>
      <b val="1"/>
      <color rgb="001F4E78"/>
      <sz val="11"/>
    </font>
    <font>
      <name val="Segoe UI"/>
      <b val="1"/>
      <color rgb="002F5597"/>
      <sz val="10"/>
    </font>
    <font>
      <name val="Segoe UI"/>
      <color rgb="001F2937"/>
      <sz val="9"/>
    </font>
    <font>
      <name val="Segoe UI"/>
      <b val="1"/>
      <color rgb="001F2937"/>
      <sz val="9"/>
    </font>
    <font>
      <name val="Segoe UI"/>
      <b val="1"/>
      <color rgb="0078281F"/>
      <sz val="9"/>
    </font>
    <font>
      <name val="Segoe UI"/>
      <b val="1"/>
      <color rgb="00566573"/>
      <sz val="8.5"/>
    </font>
    <font>
      <name val="Segoe UI"/>
      <b val="1"/>
      <color rgb="001F4E78"/>
      <sz val="16"/>
    </font>
  </fonts>
  <fills count="9">
    <fill>
      <patternFill/>
    </fill>
    <fill>
      <patternFill patternType="gray125"/>
    </fill>
    <fill>
      <patternFill patternType="solid">
        <fgColor rgb="001F4E78"/>
        <bgColor rgb="001F4E78"/>
      </patternFill>
    </fill>
    <fill>
      <patternFill patternType="solid">
        <fgColor rgb="00EDF2F8"/>
        <bgColor rgb="00EDF2F8"/>
      </patternFill>
    </fill>
    <fill>
      <patternFill patternType="solid">
        <fgColor rgb="00FFFFFF"/>
        <bgColor rgb="00FFFFFF"/>
      </patternFill>
    </fill>
    <fill>
      <patternFill patternType="solid">
        <fgColor rgb="00F9FAFB"/>
        <bgColor rgb="00F9FAFB"/>
      </patternFill>
    </fill>
    <fill>
      <patternFill patternType="solid">
        <fgColor rgb="002F5597"/>
        <bgColor rgb="002F5597"/>
      </patternFill>
    </fill>
    <fill>
      <patternFill patternType="solid">
        <fgColor rgb="00FADBD8"/>
        <bgColor rgb="00FADBD8"/>
      </patternFill>
    </fill>
    <fill>
      <patternFill patternType="solid">
        <fgColor rgb="00F2F4F8"/>
        <bgColor rgb="00F2F4F8"/>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double">
        <color rgb="001F4E78"/>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left" vertical="center"/>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8" fillId="4" borderId="1" applyAlignment="1" pivotButton="0" quotePrefix="0" xfId="0">
      <alignment horizontal="left" vertical="center"/>
    </xf>
    <xf numFmtId="0" fontId="7" fillId="4" borderId="1" applyAlignment="1" pivotButton="0" quotePrefix="0" xfId="0">
      <alignment horizontal="left" vertical="center"/>
    </xf>
    <xf numFmtId="0" fontId="7" fillId="4" borderId="1" applyAlignment="1" pivotButton="0" quotePrefix="0" xfId="0">
      <alignment horizontal="center" vertical="center"/>
    </xf>
    <xf numFmtId="0" fontId="8" fillId="5" borderId="1" applyAlignment="1" pivotButton="0" quotePrefix="0" xfId="0">
      <alignment horizontal="left" vertical="center"/>
    </xf>
    <xf numFmtId="0" fontId="7" fillId="5" borderId="1" applyAlignment="1" pivotButton="0" quotePrefix="0" xfId="0">
      <alignment horizontal="left" vertical="center"/>
    </xf>
    <xf numFmtId="0" fontId="7" fillId="5" borderId="1" applyAlignment="1" pivotButton="0" quotePrefix="0" xfId="0">
      <alignment horizontal="center" vertical="center"/>
    </xf>
    <xf numFmtId="0" fontId="5" fillId="0" borderId="0" pivotButton="0" quotePrefix="0" xfId="0"/>
    <xf numFmtId="3" fontId="7" fillId="5" borderId="1" applyAlignment="1" pivotButton="0" quotePrefix="0" xfId="0">
      <alignment horizontal="center" vertical="center"/>
    </xf>
    <xf numFmtId="164" fontId="7" fillId="5" borderId="1" applyAlignment="1" pivotButton="0" quotePrefix="0" xfId="0">
      <alignment horizontal="right" vertical="center"/>
    </xf>
    <xf numFmtId="165" fontId="7" fillId="5" borderId="1" applyAlignment="1" pivotButton="0" quotePrefix="0" xfId="0">
      <alignment horizontal="right" vertical="center"/>
    </xf>
    <xf numFmtId="3" fontId="7" fillId="4" borderId="1" applyAlignment="1" pivotButton="0" quotePrefix="0" xfId="0">
      <alignment horizontal="center" vertical="center"/>
    </xf>
    <xf numFmtId="164" fontId="7" fillId="4" borderId="1" applyAlignment="1" pivotButton="0" quotePrefix="0" xfId="0">
      <alignment horizontal="right" vertical="center"/>
    </xf>
    <xf numFmtId="165" fontId="7" fillId="4" borderId="1" applyAlignment="1" pivotButton="0" quotePrefix="0" xfId="0">
      <alignment horizontal="right" vertical="center"/>
    </xf>
    <xf numFmtId="0" fontId="4" fillId="6" borderId="1" applyAlignment="1" pivotButton="0" quotePrefix="0" xfId="0">
      <alignment horizontal="center" vertical="center" wrapText="1"/>
    </xf>
    <xf numFmtId="167" fontId="7" fillId="4" borderId="1" applyAlignment="1" pivotButton="0" quotePrefix="0" xfId="0">
      <alignment horizontal="center" vertical="center"/>
    </xf>
    <xf numFmtId="168" fontId="7" fillId="4" borderId="1" applyAlignment="1" pivotButton="0" quotePrefix="0" xfId="0">
      <alignment horizontal="right" vertical="center"/>
    </xf>
    <xf numFmtId="3" fontId="7" fillId="4" borderId="1" applyAlignment="1" pivotButton="0" quotePrefix="0" xfId="0">
      <alignment horizontal="right" vertical="center"/>
    </xf>
    <xf numFmtId="167" fontId="7" fillId="5" borderId="1" applyAlignment="1" pivotButton="0" quotePrefix="0" xfId="0">
      <alignment horizontal="center" vertical="center"/>
    </xf>
    <xf numFmtId="168" fontId="7" fillId="5" borderId="1" applyAlignment="1" pivotButton="0" quotePrefix="0" xfId="0">
      <alignment horizontal="right" vertical="center"/>
    </xf>
    <xf numFmtId="3" fontId="7" fillId="5" borderId="1" applyAlignment="1" pivotButton="0" quotePrefix="0" xfId="0">
      <alignment horizontal="right" vertical="center"/>
    </xf>
    <xf numFmtId="0" fontId="8" fillId="4" borderId="1" applyAlignment="1" pivotButton="0" quotePrefix="0" xfId="0">
      <alignment horizontal="center" vertical="center"/>
    </xf>
    <xf numFmtId="2" fontId="7" fillId="4" borderId="1" applyAlignment="1" pivotButton="0" quotePrefix="0" xfId="0">
      <alignment horizontal="right" vertical="center"/>
    </xf>
    <xf numFmtId="0" fontId="8" fillId="0" borderId="1" applyAlignment="1" pivotButton="0" quotePrefix="0" xfId="0">
      <alignment horizontal="center" vertical="center"/>
    </xf>
    <xf numFmtId="0" fontId="8" fillId="5" borderId="1" applyAlignment="1" pivotButton="0" quotePrefix="0" xfId="0">
      <alignment horizontal="center" vertical="center"/>
    </xf>
    <xf numFmtId="2" fontId="7" fillId="5" borderId="1" applyAlignment="1" pivotButton="0" quotePrefix="0" xfId="0">
      <alignment horizontal="right" vertical="center"/>
    </xf>
    <xf numFmtId="0" fontId="8" fillId="3" borderId="2" pivotButton="0" quotePrefix="0" xfId="0"/>
    <xf numFmtId="3" fontId="8" fillId="3" borderId="2" pivotButton="0" quotePrefix="0" xfId="0"/>
    <xf numFmtId="164" fontId="8" fillId="3" borderId="2" pivotButton="0" quotePrefix="0" xfId="0"/>
    <xf numFmtId="168" fontId="8" fillId="3" borderId="2" pivotButton="0" quotePrefix="0" xfId="0"/>
    <xf numFmtId="165" fontId="8" fillId="3" borderId="2" pivotButton="0" quotePrefix="0" xfId="0"/>
    <xf numFmtId="0" fontId="9" fillId="7" borderId="1" applyAlignment="1" pivotButton="0" quotePrefix="0" xfId="0">
      <alignment horizontal="center" vertical="center"/>
    </xf>
    <xf numFmtId="0" fontId="10" fillId="8" borderId="1" applyAlignment="1" pivotButton="0" quotePrefix="0" xfId="0">
      <alignment horizontal="center" vertical="center"/>
    </xf>
    <xf numFmtId="0" fontId="0" fillId="8" borderId="1" pivotButton="0" quotePrefix="0" xfId="0"/>
    <xf numFmtId="3" fontId="11" fillId="8" borderId="1" applyAlignment="1" pivotButton="0" quotePrefix="0" xfId="0">
      <alignment horizontal="center" vertical="center"/>
    </xf>
    <xf numFmtId="168" fontId="11" fillId="8" borderId="1" applyAlignment="1" pivotButton="0" quotePrefix="0" xfId="0">
      <alignment horizontal="center" vertical="center"/>
    </xf>
    <xf numFmtId="165" fontId="11" fillId="8" borderId="1" applyAlignment="1" pivotButton="0" quotePrefix="0" xfId="0">
      <alignment horizontal="center" vertical="center"/>
    </xf>
    <xf numFmtId="0" fontId="3" fillId="8" borderId="1" applyAlignment="1" pivotButton="0" quotePrefix="0" xfId="0">
      <alignment horizontal="center" vertical="center"/>
    </xf>
    <xf numFmtId="3" fontId="8" fillId="5" borderId="1" applyAlignment="1" pivotButton="0" quotePrefix="0" xfId="0">
      <alignment horizontal="center" vertical="center"/>
    </xf>
    <xf numFmtId="168" fontId="8" fillId="5" borderId="1" applyAlignment="1" pivotButton="0" quotePrefix="0" xfId="0">
      <alignment horizontal="right" vertical="center"/>
    </xf>
    <xf numFmtId="3" fontId="8" fillId="4" borderId="1" applyAlignment="1" pivotButton="0" quotePrefix="0" xfId="0">
      <alignment horizontal="center" vertical="center"/>
    </xf>
    <xf numFmtId="168" fontId="8" fillId="4" borderId="1" applyAlignment="1" pivotButton="0" quotePrefix="0" xfId="0">
      <alignment horizontal="right" vertical="center"/>
    </xf>
  </cellXfs>
  <cellStyles count="1">
    <cellStyle name="Normal" xfId="0" builtinId="0" hidden="0"/>
  </cellStyles>
  <dxfs count="2">
    <dxf>
      <font>
        <name val="Segoe UI"/>
        <b val="1"/>
        <color rgb="0078281F"/>
        <sz val="9"/>
      </font>
      <fill>
        <patternFill patternType="solid">
          <fgColor rgb="00FADBD8"/>
          <bgColor rgb="00FADBD8"/>
        </patternFill>
      </fill>
    </dxf>
    <dxf>
      <font>
        <name val="Segoe UI"/>
        <b val="1"/>
        <color rgb="0092400E"/>
        <sz val="9"/>
      </font>
      <fill>
        <patternFill patternType="solid">
          <fgColor rgb="00FEF3C7"/>
          <b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showGridLines="1" workbookViewId="0">
      <selection activeCell="A1" sqref="A1"/>
    </sheetView>
  </sheetViews>
  <sheetFormatPr baseColWidth="8" defaultRowHeight="15"/>
  <cols>
    <col width="32" customWidth="1" min="1" max="1"/>
    <col width="115" customWidth="1" min="2" max="2"/>
  </cols>
  <sheetData>
    <row r="1" ht="24" customHeight="1">
      <c r="A1" s="1" t="inlineStr">
        <is>
          <t>CONTINUOUS AUDIT &amp; LOSS PREVENTION: POS CASHIER &amp; TILL FRAUD DETECTION MANUAL</t>
        </is>
      </c>
    </row>
    <row r="2" ht="18" customHeight="1">
      <c r="A2" s="2" t="inlineStr">
        <is>
          <t>OPERATIONAL SOP: Standard Operating Procedure, POS Data Ingestion Protocols, and Surveillance Review Standards for Audit Teams</t>
        </is>
      </c>
    </row>
    <row r="3" ht="18" customHeight="1">
      <c r="A3" s="3" t="inlineStr">
        <is>
          <t>Target Scope: Multi-Unit Retail, Food &amp; Beverage, Quick-Service Restaurants | Framework: IIA Continuous Auditing &amp; Monitoring Standards | Version: 2.0</t>
        </is>
      </c>
    </row>
    <row r="5" ht="24" customHeight="1">
      <c r="A5" s="4" t="inlineStr">
        <is>
          <t>Operational Focus / Step</t>
        </is>
      </c>
      <c r="B5" s="4" t="inlineStr">
        <is>
          <t>Field Audit Procedure &amp; Evidentiary Protocol</t>
        </is>
      </c>
    </row>
    <row r="6" ht="24" customHeight="1">
      <c r="A6" s="5" t="inlineStr">
        <is>
          <t>SECTION 1: OBJECTIVE</t>
        </is>
      </c>
      <c r="B6" s="5" t="inlineStr">
        <is>
          <t>1. AUDIT OBJECTIVE &amp; OPERATIONAL CONTEXT</t>
        </is>
      </c>
    </row>
    <row r="7" ht="36" customHeight="1">
      <c r="A7" s="6" t="inlineStr">
        <is>
          <t>Operational Context &amp; Till Balancing Limitation</t>
        </is>
      </c>
      <c r="B7" s="7" t="inlineStr">
        <is>
          <t>Standard end-of-shift drawer reconciliations confirm only that physical currency matches net recorded POS sales. Cashier misappropriation occurs upstream in the transaction lifecycle by suppressing the record of sale—specifically through post-settlement voids, pre-settlement line item deletions, or unrecorded drawer openings—leaving the register balanced to the penny while currency is diverted.</t>
        </is>
      </c>
    </row>
    <row r="8" ht="36" customHeight="1">
      <c r="A8" s="8" t="inlineStr">
        <is>
          <t>Electronic Journal (EJ) Transaction Logs</t>
        </is>
      </c>
      <c r="B8" s="9" t="inlineStr">
        <is>
          <t>Modern POS systems maintain an append-only Electronic Journal (EJ) recording all terminal events, drawer openings, and supervisory authorizations. Procedural violations leave distinct audit trails: extended latency between ticket opening and cancellation, disproportionate cash tender ratios, and supervisory credential concurrency across separate workstations.</t>
        </is>
      </c>
    </row>
    <row r="9" ht="24" customHeight="1">
      <c r="A9" s="5" t="inlineStr">
        <is>
          <t>SECTION 2: WORKFLOW</t>
        </is>
      </c>
      <c r="B9" s="5" t="inlineStr">
        <is>
          <t>2. AUDIT PROCEDURE &amp; OPERATING CHECKLIST</t>
        </is>
      </c>
    </row>
    <row r="10" ht="36" customHeight="1">
      <c r="A10" s="8" t="inlineStr">
        <is>
          <t>Phase 1: Extraction</t>
        </is>
      </c>
      <c r="B10" s="9" t="inlineStr">
        <is>
          <t>Export 7 to 30 days of raw POS event logs in CSV format from the POS back-office system. Consult '01_POS_Data_Spec' for system-specific report navigation paths and field mapping schemas (Oracle Micros, NCR Aloha, Toast, Revel, Square).</t>
        </is>
      </c>
    </row>
    <row r="11" ht="36" customHeight="1">
      <c r="A11" s="6" t="inlineStr">
        <is>
          <t>Phase 2: Master Setup</t>
        </is>
      </c>
      <c r="B11" s="7" t="inlineStr">
        <is>
          <t>Open '02_Cashier_Register'. Verify that active cashier rosters, branch terminal assignments, and store baseline parameters (expected cash tender %, normal void rate %, and no-sale drawer benchmark) reflect current operating standards.</t>
        </is>
      </c>
    </row>
    <row r="12" ht="36" customHeight="1">
      <c r="A12" s="8" t="inlineStr">
        <is>
          <t>Phase 3: Ingestion</t>
        </is>
      </c>
      <c r="B12" s="9" t="inlineStr">
        <is>
          <t>Open '03_Raw_POS_Journal'. Populate raw POS transactional data into Columns A through M (Navy Headers #1F4E78) using Paste Special &gt; Values. Preserve Columns N and O (Steel Blue Headers #2F5597), which contain automated calculation formulas for event latency and exception flags.</t>
        </is>
      </c>
    </row>
    <row r="13" ht="36" customHeight="1">
      <c r="A13" s="6" t="inlineStr">
        <is>
          <t>Phase 4: Analysis</t>
        </is>
      </c>
      <c r="B13" s="7" t="inlineStr">
        <is>
          <t>Review calculation tabs '04_Engine_Voids', '05_Engine_Drawer_Kicks', and '06_Engine_Overrides'. The workbook calculates cashier Z-scores, void latency intervals, excess drawer openings, and supervisory authorization concentration without manual formula adjustment.</t>
        </is>
      </c>
    </row>
    <row r="14" ht="36" customHeight="1">
      <c r="A14" s="8" t="inlineStr">
        <is>
          <t>Phase 5: Risk Prioritization</t>
        </is>
      </c>
      <c r="B14" s="9" t="inlineStr">
        <is>
          <t>Open '99_Investigator_Dashboard'. Identify cashiers exhibiting Composite Risk Scores &gt;= 65 (Critical/High Risk) or flagged for supervisory authorization anomalies ('WATCHLIST / HIGH COLLUSION'). Prioritize these personnel for detailed transaction testing.</t>
        </is>
      </c>
    </row>
    <row r="15" ht="36" customHeight="1">
      <c r="A15" s="6" t="inlineStr">
        <is>
          <t>Phase 6: Video Corroboration</t>
        </is>
      </c>
      <c r="B15" s="7" t="inlineStr">
        <is>
          <t>Extract incident timestamps from Table 2 ('Targeted Video Surveillance Review Queue') on '99_Investigator_Dashboard'. Request targeted 5-minute surveillance footage from Loss Prevention / Security to verify physical transaction events prior to administrative follow-up.</t>
        </is>
      </c>
    </row>
    <row r="16" ht="24" customHeight="1">
      <c r="A16" s="5" t="inlineStr">
        <is>
          <t>SECTION 3: DATA EXTRACTION</t>
        </is>
      </c>
      <c r="B16" s="5" t="inlineStr">
        <is>
          <t>3. POS SYSTEM DATA EXTRACTION PROCEDURES</t>
        </is>
      </c>
    </row>
    <row r="17" ht="36" customHeight="1">
      <c r="A17" s="6" t="inlineStr">
        <is>
          <t>Oracle Micros Simphony</t>
        </is>
      </c>
      <c r="B17" s="7" t="inlineStr">
        <is>
          <t>Navigate to Reporting &amp; Analytics (R&amp;A) &gt; Operations Reports &gt; Electronic Journal Detail. Set date range and store scope. Select CSV export. Ensure fields trans_dtl_seq, check_seq, emp_seq, and mgr_auth_seq are included.</t>
        </is>
      </c>
    </row>
    <row r="18" ht="36" customHeight="1">
      <c r="A18" s="8" t="inlineStr">
        <is>
          <t>NCR Aloha POS</t>
        </is>
      </c>
      <c r="B18" s="9" t="inlineStr">
        <is>
          <t>Open Aloha Manager &gt; Reports &gt; Audit &gt; Electronic Journal / Transaction Detail. Filter by target dates and stores. Export as CSV. Ensure sub-tables for Line Items and Voids are expanded.</t>
        </is>
      </c>
    </row>
    <row r="19" ht="36" customHeight="1">
      <c r="A19" s="6" t="inlineStr">
        <is>
          <t>Toast POS</t>
        </is>
      </c>
      <c r="B19" s="7" t="inlineStr">
        <is>
          <t>Log in to Toast Back-End &gt; Analytics &amp; Reports &gt; Manager Activities &gt; Voids &amp; Discounts / Orders Detail. Export CSV. Ensure 'Opened Time', 'Paid Time', and 'Manager Override User' columns are selected.</t>
        </is>
      </c>
    </row>
    <row r="20" ht="36" customHeight="1">
      <c r="A20" s="8" t="inlineStr">
        <is>
          <t>Revel Systems</t>
        </is>
      </c>
      <c r="B20" s="9" t="inlineStr">
        <is>
          <t>Access Management Console &gt; Reports &gt; Order History / POS Event Log. Select target establishment and date range. Export as CSV. Map establishment_id to Branch_ID and user_id to Cashier_ID.</t>
        </is>
      </c>
    </row>
    <row r="21" ht="36" customHeight="1">
      <c r="A21" s="6" t="inlineStr">
        <is>
          <t>Square POS</t>
        </is>
      </c>
      <c r="B21" s="7" t="inlineStr">
        <is>
          <t>Open Square Dashboard &gt; Reports &gt; Transactions &gt; Export Transaction Detail CSV. Map Device ID to Terminal_ID and Payment ID to Transaction_ID.</t>
        </is>
      </c>
    </row>
    <row r="22" ht="24" customHeight="1">
      <c r="A22" s="5" t="inlineStr">
        <is>
          <t>SECTION 4: SCHEME TYPOLOGIES</t>
        </is>
      </c>
      <c r="B22" s="5" t="inlineStr">
        <is>
          <t>4. PRIMARY CASH LOSS SCHEMES &amp; TESTING PROCEDURES</t>
        </is>
      </c>
    </row>
    <row r="23" ht="36" customHeight="1">
      <c r="A23" s="6" t="inlineStr">
        <is>
          <t>Scheme 1: Post-Settlement Cash Voids</t>
        </is>
      </c>
      <c r="B23" s="7" t="inlineStr">
        <is>
          <t>MODUS OPERANDI: Cashier accepts currency from a customer who departs without requesting a receipt. The cashier holds the transaction open until the counter clears (2 to 7 minutes), executes a post-settlement void using stored or shared supervisory credentials, and retains the cash tender.
AUDIT PROCEDURE: Filter for Cash transactions where latency exceeds 120 seconds. Review surveillance: Verify whether the customer tendered currency and departed with merchandise prior to ticket cancellation.</t>
        </is>
      </c>
    </row>
    <row r="24" ht="36" customHeight="1">
      <c r="A24" s="8" t="inlineStr">
        <is>
          <t>Scheme 2: Pre-Settlement Line Item Deletions</t>
        </is>
      </c>
      <c r="B24" s="9" t="inlineStr">
        <is>
          <t>MODUS OPERANDI: Cashier enters multiple ordered items, verbally requests payment, and accepts cash. Prior to closing the ticket, the cashier deletes premium items, tenders the lower balance, returns change based on the original bill, and pockets the difference.
AUDIT PROCEDURE: Review '06_Engine_Overrides' Part 1 for cashiers with Cash Line Void Z-scores &gt;= +2.0. Review surveillance: Compare physical items handed over the counter against itemized receipts.</t>
        </is>
      </c>
    </row>
    <row r="25" ht="36" customHeight="1">
      <c r="A25" s="6" t="inlineStr">
        <is>
          <t>Scheme 3: Unrecorded Cash Sales via No-Sale Openings</t>
        </is>
      </c>
      <c r="B25" s="7" t="inlineStr">
        <is>
          <t>MODUS OPERANDI: Cashier utilizes the 'No-Sale' or open-drawer function during peak hours to provide change for cash purchases (e.g., beverages, grab-and-go items) without ringing transactions into the terminal, diverting cash off-ledger.
AUDIT PROCEDURE: Review '05_Engine_Drawer_Kicks' for cashiers exceeding 5.0 drawer openings per 100 sales or &gt;2.0 standard deviations above peers. Review surveillance: Observe whether currency was accepted without ringing items.</t>
        </is>
      </c>
    </row>
    <row r="26" ht="36" customHeight="1">
      <c r="A26" s="8" t="inlineStr">
        <is>
          <t>Scheme 4: Supervisory Credential Compromise &amp; Collusion</t>
        </is>
      </c>
      <c r="B26" s="9" t="inlineStr">
        <is>
          <t>MODUS OPERANDI: Store supervisors write down PINs, share credentials to avoid attending registers for overrides, or collude with cashiers to authorize fraudulent cancellations in exchange for proceeds.
AUDIT PROCEDURE: Review '06_Engine_Overrides' Part 2. Inspect supervisory PINs exhibiting &gt;70% concentration on a single cashier, or concurrent credential usage across distinct terminals within short time windows (&lt;60s).</t>
        </is>
      </c>
    </row>
    <row r="27" ht="24" customHeight="1">
      <c r="A27" s="5" t="inlineStr">
        <is>
          <t>SECTION 5: SURVEILLANCE REVIEW</t>
        </is>
      </c>
      <c r="B27" s="5" t="inlineStr">
        <is>
          <t>5. SURVEILLANCE REVIEW PROTOCOL &amp; EVIDENCE STANDARDS</t>
        </is>
      </c>
    </row>
    <row r="28" ht="36" customHeight="1">
      <c r="A28" s="8" t="inlineStr">
        <is>
          <t>Targeted Review Intervals</t>
        </is>
      </c>
      <c r="B28" s="9" t="inlineStr">
        <is>
          <t>Avoid unfocused, continuous video reviews. Utilize Table 2 in '99_Investigator_Dashboard' to request video files restricted to 2 minutes prior and 3 minutes post incident timestamp (5-minute total examination window).</t>
        </is>
      </c>
    </row>
    <row r="29" ht="36" customHeight="1">
      <c r="A29" s="6" t="inlineStr">
        <is>
          <t>Camera Angles to Request</t>
        </is>
      </c>
      <c r="B29" s="7" t="inlineStr">
        <is>
          <t>Request two synchronized video feeds: (1) Overhead Till View (capturing cash drawer, till display, and hand movements), and (2) Customer / Hand-Off View (capturing customer payment, merchandise hand-off, and departure).</t>
        </is>
      </c>
    </row>
    <row r="30" ht="36" customHeight="1">
      <c r="A30" s="8" t="inlineStr">
        <is>
          <t>Key Evidentiary Checkpoints</t>
        </is>
      </c>
      <c r="B30" s="9" t="inlineStr">
        <is>
          <t>Verify four objective physical checkpoints: (1) Did the customer tender physical currency? (2) Did the customer receive merchandise and depart? (3) Was the authorizing supervisor physically present at the workstation during the override? (4) Was physical currency deposited into the till drawer or diverted?</t>
        </is>
      </c>
    </row>
    <row r="31" ht="36" customHeight="1">
      <c r="A31" s="6" t="inlineStr">
        <is>
          <t>Evidence Archival Standard</t>
        </is>
      </c>
      <c r="B31" s="7" t="inlineStr">
        <is>
          <t>Save exported surveillance files using standardized nomenclature: [Branch]_[Date]_[Terminal]_[CashierID]_[EventID].mp4. Retain on an encrypted, access-restricted audit evidence drive under formal chain of custody.</t>
        </is>
      </c>
    </row>
    <row r="32" ht="24" customHeight="1">
      <c r="A32" s="5" t="inlineStr">
        <is>
          <t>SECTION 6: EVIDENTIARY STANDARDS</t>
        </is>
      </c>
      <c r="B32" s="5" t="inlineStr">
        <is>
          <t>6. INVESTIGATIVE INQUIRY &amp; EVIDENTIARY SAFEGUARDS</t>
        </is>
      </c>
    </row>
    <row r="33" ht="36" customHeight="1">
      <c r="A33" s="6" t="inlineStr">
        <is>
          <t>Standard of Proof</t>
        </is>
      </c>
      <c r="B33" s="7" t="inlineStr">
        <is>
          <t>Analytical exceptions and Z-scores represent anomaly detection indicators, not conclusive evidence of wrongdoing. Disciplinary or administrative action requires corroborating physical surveillance, register tapes, or signed supervisory confirmations.</t>
        </is>
      </c>
    </row>
    <row r="34" ht="36" customHeight="1">
      <c r="A34" s="8" t="inlineStr">
        <is>
          <t>Three-Point Evidentiary Framework</t>
        </is>
      </c>
      <c r="B34" s="9" t="inlineStr">
        <is>
          <t>A defensible audit finding requires three independent proof points: (1) POS Electronic Journal logs confirming user ID, terminal, and timestamp; (2) Synchronized surveillance footage confirming customer transaction exchange and absence of authorized supervisor; and (3) Physical inventory reconciliation or recipe variance aligned with voided items.</t>
        </is>
      </c>
    </row>
    <row r="35" ht="36" customHeight="1">
      <c r="A35" s="6" t="inlineStr">
        <is>
          <t>Supervisory Inquiries</t>
        </is>
      </c>
      <c r="B35" s="7" t="inlineStr">
        <is>
          <t>When interviewing supervisors regarding high override volumes, compare documented authorizations against workstation surveillance. Physical absence at the time of override establishes credential sharing (policy non-compliance) or active collusion.</t>
        </is>
      </c>
    </row>
    <row r="36" ht="24" customHeight="1">
      <c r="A36" s="5" t="inlineStr">
        <is>
          <t>SECTION 7: OPERATIONAL EXCEPTIONS</t>
        </is>
      </c>
      <c r="B36" s="5" t="inlineStr">
        <is>
          <t>7. OPERATIONAL EXCEPTIONS &amp; VARIANCE CLEARANCE</t>
        </is>
      </c>
    </row>
    <row r="37" ht="36" customHeight="1">
      <c r="A37" s="6" t="inlineStr">
        <is>
          <t>Customer Walkout / Service Delay</t>
        </is>
      </c>
      <c r="B37" s="7" t="inlineStr">
        <is>
          <t>Valid delayed cancellation: Customer places order, experiences preparation delay, and departs prior to settlement. Corroborate via Kitchen Display System (KDS) prep latency logs and order ticket timestamps.</t>
        </is>
      </c>
    </row>
    <row r="38" ht="36" customHeight="1">
      <c r="A38" s="8" t="inlineStr">
        <is>
          <t>Change Float Replenishment</t>
        </is>
      </c>
      <c r="B38" s="9" t="inlineStr">
        <is>
          <t>Valid drawer opening: Cashier requires change for large-denomination currency from safe float or shift lead. Corroborate via surveillance: Supervisor is visible providing currency roll or float exchange.</t>
        </is>
      </c>
    </row>
    <row r="39" ht="36" customHeight="1">
      <c r="A39" s="6" t="inlineStr">
        <is>
          <t>Training Register Operations</t>
        </is>
      </c>
      <c r="B39" s="7" t="inlineStr">
        <is>
          <t>Valid void cluster: Newly onboarded personnel practicing menu operations. Corroborate by verifying whether the workstation was logged into designated 'Training Mode' in POS system configuration.</t>
        </is>
      </c>
    </row>
    <row r="40" ht="24" customHeight="1">
      <c r="A40" s="5" t="inlineStr">
        <is>
          <t>SECTION 8: WORKBOOK ARCHITECTURE</t>
        </is>
      </c>
      <c r="B40" s="5" t="inlineStr">
        <is>
          <t>8. WORKBOOK COLOR CONVENTIONS &amp; INTEGRITY STANDARDS</t>
        </is>
      </c>
    </row>
    <row r="41" ht="36" customHeight="1">
      <c r="A41" s="6" t="inlineStr">
        <is>
          <t>[DEEP NAVY HEADERS #1F4E78]</t>
        </is>
      </c>
      <c r="B41" s="7" t="inlineStr">
        <is>
          <t>User Input Fields. Raw POS transactional data in Columns A:M in '03_Raw_POS_Journal' and configuration tables in '02_Cashier_Register'.</t>
        </is>
      </c>
    </row>
    <row r="42" ht="36" customHeight="1">
      <c r="A42" s="8" t="inlineStr">
        <is>
          <t>[STEEL BLUE HEADERS #2F5597]</t>
        </is>
      </c>
      <c r="B42" s="9" t="inlineStr">
        <is>
          <t>Automated Calculation Engines. Dynamic COUNTIFS, SUMIFS, and Z-score statistical models. Preserved formula columns—do not overwrite.</t>
        </is>
      </c>
    </row>
    <row r="43" ht="36" customHeight="1">
      <c r="A43" s="6" t="inlineStr">
        <is>
          <t>[SOFT RED HIGHLIGHTS #FADBD8]</t>
        </is>
      </c>
      <c r="B43" s="7" t="inlineStr">
        <is>
          <t>Exception &amp; Risk Flags. Identifies transactions, cashiers, and supervisory accounts exceeding statistical anomaly thresholds.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showGridLines="1" workbookViewId="0">
      <selection activeCell="A1" sqref="A1"/>
    </sheetView>
  </sheetViews>
  <sheetFormatPr baseColWidth="8" defaultRowHeight="15"/>
  <cols>
    <col width="59" customWidth="1" min="1" max="1"/>
    <col width="23" customWidth="1" min="2" max="2"/>
    <col width="66" customWidth="1" min="3" max="3"/>
    <col width="26" customWidth="1" min="4" max="4"/>
    <col width="15" customWidth="1" min="5" max="5"/>
    <col width="25" customWidth="1" min="6" max="6"/>
    <col width="20" customWidth="1" min="7" max="7"/>
    <col width="16" customWidth="1" min="8" max="8"/>
  </cols>
  <sheetData>
    <row r="1" ht="24" customHeight="1">
      <c r="A1" s="1" t="inlineStr">
        <is>
          <t>POS SYSTEM FIELD MAPPING &amp; DATA INGESTION SPECIFICATION</t>
        </is>
      </c>
    </row>
    <row r="2" ht="18" customHeight="1">
      <c r="A2" s="2" t="inlineStr">
        <is>
          <t>OPERATIONAL GUIDANCE: Map extracted POS transaction journal fields to the standardized model parameters below prior to pasting into 03_Raw_POS_Journal.</t>
        </is>
      </c>
    </row>
    <row r="3"/>
    <row r="4" ht="26" customHeight="1">
      <c r="A4" s="4" t="inlineStr">
        <is>
          <t>Model Field Name</t>
        </is>
      </c>
      <c r="B4" s="4" t="inlineStr">
        <is>
          <t>Required Format</t>
        </is>
      </c>
      <c r="C4" s="4" t="inlineStr">
        <is>
          <t>Description</t>
        </is>
      </c>
      <c r="D4" s="4" t="inlineStr">
        <is>
          <t>Oracle Micros Simphony</t>
        </is>
      </c>
      <c r="E4" s="4" t="inlineStr">
        <is>
          <t>NCR Aloha</t>
        </is>
      </c>
      <c r="F4" s="4" t="inlineStr">
        <is>
          <t>Toast POS</t>
        </is>
      </c>
      <c r="G4" s="4" t="inlineStr">
        <is>
          <t>Revel Systems</t>
        </is>
      </c>
      <c r="H4" s="4" t="inlineStr">
        <is>
          <t>Square POS</t>
        </is>
      </c>
    </row>
    <row r="5" ht="19" customHeight="1">
      <c r="A5" s="10" t="inlineStr">
        <is>
          <t>Event_ID</t>
        </is>
      </c>
      <c r="B5" s="11" t="inlineStr">
        <is>
          <t>Text (Alpha-Num)</t>
        </is>
      </c>
      <c r="C5" s="11" t="inlineStr">
        <is>
          <t>Unique event identifier from POS transaction journal</t>
        </is>
      </c>
      <c r="D5" s="12" t="inlineStr">
        <is>
          <t>trans_dtl_seq</t>
        </is>
      </c>
      <c r="E5" s="12" t="inlineStr">
        <is>
          <t>EVENT_ID</t>
        </is>
      </c>
      <c r="F5" s="12" t="inlineStr">
        <is>
          <t>Event ID</t>
        </is>
      </c>
      <c r="G5" s="12" t="inlineStr">
        <is>
          <t>event_id</t>
        </is>
      </c>
      <c r="H5" s="12" t="inlineStr">
        <is>
          <t>Event ID</t>
        </is>
      </c>
    </row>
    <row r="6" ht="19" customHeight="1">
      <c r="A6" s="13" t="inlineStr">
        <is>
          <t>Transaction_ID</t>
        </is>
      </c>
      <c r="B6" s="14" t="inlineStr">
        <is>
          <t>Text (Alpha-Num)</t>
        </is>
      </c>
      <c r="C6" s="14" t="inlineStr">
        <is>
          <t>Guest check, receipt, or order reference number</t>
        </is>
      </c>
      <c r="D6" s="15" t="inlineStr">
        <is>
          <t>check_seq</t>
        </is>
      </c>
      <c r="E6" s="15" t="inlineStr">
        <is>
          <t>CHECK_NUM</t>
        </is>
      </c>
      <c r="F6" s="15" t="inlineStr">
        <is>
          <t>Order #</t>
        </is>
      </c>
      <c r="G6" s="15" t="inlineStr">
        <is>
          <t>order_id</t>
        </is>
      </c>
      <c r="H6" s="15" t="inlineStr">
        <is>
          <t>Payment ID</t>
        </is>
      </c>
    </row>
    <row r="7" ht="19" customHeight="1">
      <c r="A7" s="10" t="inlineStr">
        <is>
          <t>Event_Timestamp</t>
        </is>
      </c>
      <c r="B7" s="11" t="inlineStr">
        <is>
          <t>YYYY-MM-DD HH:MM:SS</t>
        </is>
      </c>
      <c r="C7" s="11" t="inlineStr">
        <is>
          <t>Exact date and time the POS event was recorded</t>
        </is>
      </c>
      <c r="D7" s="12" t="inlineStr">
        <is>
          <t>trans_dtl_tm</t>
        </is>
      </c>
      <c r="E7" s="12" t="inlineStr">
        <is>
          <t>SYSTEM_TIME</t>
        </is>
      </c>
      <c r="F7" s="12" t="inlineStr">
        <is>
          <t>Opened Time</t>
        </is>
      </c>
      <c r="G7" s="12" t="inlineStr">
        <is>
          <t>created_date</t>
        </is>
      </c>
      <c r="H7" s="12" t="inlineStr">
        <is>
          <t>Date Time</t>
        </is>
      </c>
    </row>
    <row r="8" ht="19" customHeight="1">
      <c r="A8" s="13" t="inlineStr">
        <is>
          <t>Branch_ID</t>
        </is>
      </c>
      <c r="B8" s="14" t="inlineStr">
        <is>
          <t>Text / Code</t>
        </is>
      </c>
      <c r="C8" s="14" t="inlineStr">
        <is>
          <t>Store, restaurant, or site location code</t>
        </is>
      </c>
      <c r="D8" s="15" t="inlineStr">
        <is>
          <t>store_num</t>
        </is>
      </c>
      <c r="E8" s="15" t="inlineStr">
        <is>
          <t>STORE_ID</t>
        </is>
      </c>
      <c r="F8" s="15" t="inlineStr">
        <is>
          <t>Location Code</t>
        </is>
      </c>
      <c r="G8" s="15" t="inlineStr">
        <is>
          <t>establishment_id</t>
        </is>
      </c>
      <c r="H8" s="15" t="inlineStr">
        <is>
          <t>Location</t>
        </is>
      </c>
    </row>
    <row r="9" ht="19" customHeight="1">
      <c r="A9" s="10" t="inlineStr">
        <is>
          <t>Terminal_ID</t>
        </is>
      </c>
      <c r="B9" s="11" t="inlineStr">
        <is>
          <t>Text / Code</t>
        </is>
      </c>
      <c r="C9" s="11" t="inlineStr">
        <is>
          <t>Workstation, register, or tablet terminal identifier</t>
        </is>
      </c>
      <c r="D9" s="12" t="inlineStr">
        <is>
          <t>rvc_seq</t>
        </is>
      </c>
      <c r="E9" s="12" t="inlineStr">
        <is>
          <t>TERM_ID</t>
        </is>
      </c>
      <c r="F9" s="12" t="inlineStr">
        <is>
          <t>Device Name</t>
        </is>
      </c>
      <c r="G9" s="12" t="inlineStr">
        <is>
          <t>pos_station_id</t>
        </is>
      </c>
      <c r="H9" s="12" t="inlineStr">
        <is>
          <t>Device ID</t>
        </is>
      </c>
    </row>
    <row r="10" ht="19" customHeight="1">
      <c r="A10" s="13" t="inlineStr">
        <is>
          <t>Cashier_ID</t>
        </is>
      </c>
      <c r="B10" s="14" t="inlineStr">
        <is>
          <t>Text / Code</t>
        </is>
      </c>
      <c r="C10" s="14" t="inlineStr">
        <is>
          <t>Employee ID currently authenticated on terminal</t>
        </is>
      </c>
      <c r="D10" s="15" t="inlineStr">
        <is>
          <t>emp_seq</t>
        </is>
      </c>
      <c r="E10" s="15" t="inlineStr">
        <is>
          <t>EMP_ID</t>
        </is>
      </c>
      <c r="F10" s="15" t="inlineStr">
        <is>
          <t>Server / Cashier ID</t>
        </is>
      </c>
      <c r="G10" s="15" t="inlineStr">
        <is>
          <t>user_id</t>
        </is>
      </c>
      <c r="H10" s="15" t="inlineStr">
        <is>
          <t>Employee ID</t>
        </is>
      </c>
    </row>
    <row r="11" ht="19" customHeight="1">
      <c r="A11" s="10" t="inlineStr">
        <is>
          <t>Supervisor_PIN</t>
        </is>
      </c>
      <c r="B11" s="11" t="inlineStr">
        <is>
          <t>Text / Code</t>
        </is>
      </c>
      <c r="C11" s="11" t="inlineStr">
        <is>
          <t>Manager or supervisor authorizing void or override</t>
        </is>
      </c>
      <c r="D11" s="12" t="inlineStr">
        <is>
          <t>mgr_auth_seq</t>
        </is>
      </c>
      <c r="E11" s="12" t="inlineStr">
        <is>
          <t>AUTH_MGR_ID</t>
        </is>
      </c>
      <c r="F11" s="12" t="inlineStr">
        <is>
          <t>Manager Override User</t>
        </is>
      </c>
      <c r="G11" s="12" t="inlineStr">
        <is>
          <t>authorized_by</t>
        </is>
      </c>
      <c r="H11" s="12" t="inlineStr">
        <is>
          <t>Approver ID</t>
        </is>
      </c>
    </row>
    <row r="12" ht="19" customHeight="1">
      <c r="A12" s="13" t="inlineStr">
        <is>
          <t>Event_Type</t>
        </is>
      </c>
      <c r="B12" s="14" t="inlineStr">
        <is>
          <t>Category Text</t>
        </is>
      </c>
      <c r="C12" s="14" t="inlineStr">
        <is>
          <t>Event classification (Sale Tender, Post-Bill Void, Line Item Void, No-Sale Drawer Opening)</t>
        </is>
      </c>
      <c r="D12" s="15" t="inlineStr">
        <is>
          <t>trans_type_desc</t>
        </is>
      </c>
      <c r="E12" s="15" t="inlineStr">
        <is>
          <t>TYPE_NAME</t>
        </is>
      </c>
      <c r="F12" s="15" t="inlineStr">
        <is>
          <t>Order Event</t>
        </is>
      </c>
      <c r="G12" s="15" t="inlineStr">
        <is>
          <t>type</t>
        </is>
      </c>
      <c r="H12" s="15" t="inlineStr">
        <is>
          <t>Event Type</t>
        </is>
      </c>
    </row>
    <row r="13" ht="19" customHeight="1">
      <c r="A13" s="10" t="inlineStr">
        <is>
          <t>Tender_Type</t>
        </is>
      </c>
      <c r="B13" s="11" t="inlineStr">
        <is>
          <t>Category Text</t>
        </is>
      </c>
      <c r="C13" s="11" t="inlineStr">
        <is>
          <t>Payment method: Cash, Card, Delivery Aggregator, or N/A</t>
        </is>
      </c>
      <c r="D13" s="12" t="inlineStr">
        <is>
          <t>tender_media_name</t>
        </is>
      </c>
      <c r="E13" s="12" t="inlineStr">
        <is>
          <t>TENDER_NAME</t>
        </is>
      </c>
      <c r="F13" s="12" t="inlineStr">
        <is>
          <t>Payment Method</t>
        </is>
      </c>
      <c r="G13" s="12" t="inlineStr">
        <is>
          <t>payment_type</t>
        </is>
      </c>
      <c r="H13" s="12" t="inlineStr">
        <is>
          <t>Tender Type</t>
        </is>
      </c>
    </row>
    <row r="14" ht="19" customHeight="1">
      <c r="A14" s="13" t="inlineStr">
        <is>
          <t>Item_Count</t>
        </is>
      </c>
      <c r="B14" s="14" t="inlineStr">
        <is>
          <t>Integer</t>
        </is>
      </c>
      <c r="C14" s="14" t="inlineStr">
        <is>
          <t>Number of distinct items on ticket or line voided</t>
        </is>
      </c>
      <c r="D14" s="15" t="inlineStr">
        <is>
          <t>item_cnt</t>
        </is>
      </c>
      <c r="E14" s="15" t="inlineStr">
        <is>
          <t>QTY</t>
        </is>
      </c>
      <c r="F14" s="15" t="inlineStr">
        <is>
          <t>Total Items</t>
        </is>
      </c>
      <c r="G14" s="15" t="inlineStr">
        <is>
          <t>line_count</t>
        </is>
      </c>
      <c r="H14" s="15" t="inlineStr">
        <is>
          <t>Quantity</t>
        </is>
      </c>
    </row>
    <row r="15" ht="19" customHeight="1">
      <c r="A15" s="10" t="inlineStr">
        <is>
          <t>Gross_Amount</t>
        </is>
      </c>
      <c r="B15" s="11" t="inlineStr">
        <is>
          <t>Currency ($)</t>
        </is>
      </c>
      <c r="C15" s="11" t="inlineStr">
        <is>
          <t>Original ticket or item amount before discounts/voids</t>
        </is>
      </c>
      <c r="D15" s="12" t="inlineStr">
        <is>
          <t>gross_sales_amt</t>
        </is>
      </c>
      <c r="E15" s="12" t="inlineStr">
        <is>
          <t>SUB_TOTAL</t>
        </is>
      </c>
      <c r="F15" s="12" t="inlineStr">
        <is>
          <t>Item Amount</t>
        </is>
      </c>
      <c r="G15" s="12" t="inlineStr">
        <is>
          <t>gross_amount</t>
        </is>
      </c>
      <c r="H15" s="12" t="inlineStr">
        <is>
          <t>Gross Sales</t>
        </is>
      </c>
    </row>
    <row r="16" ht="19" customHeight="1">
      <c r="A16" s="13" t="inlineStr">
        <is>
          <t>Net_Amount</t>
        </is>
      </c>
      <c r="B16" s="14" t="inlineStr">
        <is>
          <t>Currency ($)</t>
        </is>
      </c>
      <c r="C16" s="14" t="inlineStr">
        <is>
          <t>Final settled amount received (0.00 for full voids)</t>
        </is>
      </c>
      <c r="D16" s="15" t="inlineStr">
        <is>
          <t>net_sales_amt</t>
        </is>
      </c>
      <c r="E16" s="15" t="inlineStr">
        <is>
          <t>PAID_AMOUNT</t>
        </is>
      </c>
      <c r="F16" s="15" t="inlineStr">
        <is>
          <t>Total Paid</t>
        </is>
      </c>
      <c r="G16" s="15" t="inlineStr">
        <is>
          <t>net_amount</t>
        </is>
      </c>
      <c r="H16" s="15" t="inlineStr">
        <is>
          <t>Net Amount</t>
        </is>
      </c>
    </row>
    <row r="17" ht="19" customHeight="1">
      <c r="A17" s="10" t="inlineStr">
        <is>
          <t>Order_Start_Time</t>
        </is>
      </c>
      <c r="B17" s="11" t="inlineStr">
        <is>
          <t>YYYY-MM-DD HH:MM:SS</t>
        </is>
      </c>
      <c r="C17" s="11" t="inlineStr">
        <is>
          <t>Timestamp when check was initially opened / first item scanned</t>
        </is>
      </c>
      <c r="D17" s="12" t="inlineStr">
        <is>
          <t>check_open_tm</t>
        </is>
      </c>
      <c r="E17" s="12" t="inlineStr">
        <is>
          <t>OPEN_TIME</t>
        </is>
      </c>
      <c r="F17" s="12" t="inlineStr">
        <is>
          <t>Order Created At</t>
        </is>
      </c>
      <c r="G17" s="12" t="inlineStr">
        <is>
          <t>opened_date</t>
        </is>
      </c>
      <c r="H17" s="12" t="inlineStr">
        <is>
          <t>Check Opened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showGridLines="1" workbookViewId="0">
      <selection activeCell="A1" sqref="A1"/>
    </sheetView>
  </sheetViews>
  <sheetFormatPr baseColWidth="8" defaultRowHeight="15"/>
  <cols>
    <col width="54" customWidth="1" min="1" max="1"/>
    <col width="24" customWidth="1" min="2" max="2"/>
    <col width="19" customWidth="1" min="3" max="3"/>
    <col width="20" customWidth="1" min="4" max="4"/>
    <col width="20" customWidth="1" min="5" max="5"/>
    <col width="35" customWidth="1" min="6" max="6"/>
    <col width="16" customWidth="1" min="7" max="7"/>
  </cols>
  <sheetData>
    <row r="1" ht="24" customHeight="1">
      <c r="A1" s="1" t="inlineStr">
        <is>
          <t>BRANCH BENCHMARKS &amp; CASHIER REGISTRATION DIRECTORY</t>
        </is>
      </c>
    </row>
    <row r="2" ht="18" customHeight="1">
      <c r="A2" s="2" t="inlineStr">
        <is>
          <t>DATA INPUT &amp; CONFIGURATION: Maintain branch baseline parameters (Rows 5-9) and active cashier roster (Rows 13-28). Blue headers (#1F4E78) designate user-configurable inputs.</t>
        </is>
      </c>
    </row>
    <row r="3"/>
    <row r="4">
      <c r="A4" s="16" t="inlineStr">
        <is>
          <t>BRANCH OPERATING BASELINES &amp; CONTROL THRESHOLDS</t>
        </is>
      </c>
    </row>
    <row r="5" ht="24" customHeight="1">
      <c r="A5" s="4" t="inlineStr">
        <is>
          <t>Branch ID</t>
        </is>
      </c>
      <c r="B5" s="4" t="inlineStr">
        <is>
          <t>Branch Location Name</t>
        </is>
      </c>
      <c r="C5" s="4" t="inlineStr">
        <is>
          <t>Total Terminals</t>
        </is>
      </c>
      <c r="D5" s="4" t="inlineStr">
        <is>
          <t>Expected Cash %</t>
        </is>
      </c>
      <c r="E5" s="4" t="inlineStr">
        <is>
          <t>Normal Void %</t>
        </is>
      </c>
      <c r="F5" s="4" t="inlineStr">
        <is>
          <t>No-Sale Benchmark (per 100 Txs)</t>
        </is>
      </c>
    </row>
    <row r="6" ht="19" customHeight="1">
      <c r="A6" s="13" t="inlineStr">
        <is>
          <t>BR-01</t>
        </is>
      </c>
      <c r="B6" s="14" t="inlineStr">
        <is>
          <t>Downtown Flagship</t>
        </is>
      </c>
      <c r="C6" s="17" t="n">
        <v>4</v>
      </c>
      <c r="D6" s="18" t="n">
        <v>0.35</v>
      </c>
      <c r="E6" s="18" t="n">
        <v>0.018</v>
      </c>
      <c r="F6" s="19" t="n">
        <v>2</v>
      </c>
    </row>
    <row r="7" ht="19" customHeight="1">
      <c r="A7" s="10" t="inlineStr">
        <is>
          <t>BR-02</t>
        </is>
      </c>
      <c r="B7" s="11" t="inlineStr">
        <is>
          <t>Mall Concourse</t>
        </is>
      </c>
      <c r="C7" s="20" t="n">
        <v>4</v>
      </c>
      <c r="D7" s="21" t="n">
        <v>0.4</v>
      </c>
      <c r="E7" s="21" t="n">
        <v>0.021</v>
      </c>
      <c r="F7" s="22" t="n">
        <v>2.5</v>
      </c>
    </row>
    <row r="8" ht="19" customHeight="1">
      <c r="A8" s="13" t="inlineStr">
        <is>
          <t>BR-03</t>
        </is>
      </c>
      <c r="B8" s="14" t="inlineStr">
        <is>
          <t>Airport Terminal 2</t>
        </is>
      </c>
      <c r="C8" s="17" t="n">
        <v>3</v>
      </c>
      <c r="D8" s="18" t="n">
        <v>0.25</v>
      </c>
      <c r="E8" s="18" t="n">
        <v>0.015</v>
      </c>
      <c r="F8" s="19" t="n">
        <v>1.8</v>
      </c>
    </row>
    <row r="9" ht="19" customHeight="1">
      <c r="A9" s="10" t="inlineStr">
        <is>
          <t>BR-04</t>
        </is>
      </c>
      <c r="B9" s="11" t="inlineStr">
        <is>
          <t>Business Bay Express</t>
        </is>
      </c>
      <c r="C9" s="20" t="n">
        <v>2</v>
      </c>
      <c r="D9" s="21" t="n">
        <v>0.3</v>
      </c>
      <c r="E9" s="21" t="n">
        <v>0.019</v>
      </c>
      <c r="F9" s="22" t="n">
        <v>2.2</v>
      </c>
    </row>
    <row r="10"/>
    <row r="11"/>
    <row r="12">
      <c r="A12" s="16" t="inlineStr">
        <is>
          <t>ACTIVE CASHIER &amp; WORKSTATION DIRECTORY</t>
        </is>
      </c>
    </row>
    <row r="13" ht="24" customHeight="1">
      <c r="A13" s="4" t="inlineStr">
        <is>
          <t>Cashier ID</t>
        </is>
      </c>
      <c r="B13" s="4" t="inlineStr">
        <is>
          <t>Cashier Full Name</t>
        </is>
      </c>
      <c r="C13" s="4" t="inlineStr">
        <is>
          <t>Assigned Branch</t>
        </is>
      </c>
      <c r="D13" s="4" t="inlineStr">
        <is>
          <t>Terminal Default</t>
        </is>
      </c>
      <c r="E13" s="4" t="inlineStr">
        <is>
          <t>Shift Assignment</t>
        </is>
      </c>
      <c r="F13" s="4" t="inlineStr">
        <is>
          <t>Hire Date</t>
        </is>
      </c>
      <c r="G13" s="4" t="inlineStr">
        <is>
          <t>Audit Status</t>
        </is>
      </c>
    </row>
    <row r="14" ht="19" customHeight="1">
      <c r="A14" s="13" t="inlineStr">
        <is>
          <t>C-101</t>
        </is>
      </c>
      <c r="B14" s="14" t="inlineStr">
        <is>
          <t>Marcus Vance</t>
        </is>
      </c>
      <c r="C14" s="14" t="inlineStr">
        <is>
          <t>BR-01</t>
        </is>
      </c>
      <c r="D14" s="15" t="inlineStr">
        <is>
          <t>T-01</t>
        </is>
      </c>
      <c r="E14" s="15" t="inlineStr">
        <is>
          <t>Morning</t>
        </is>
      </c>
      <c r="F14" s="15" t="inlineStr">
        <is>
          <t>2024-03-15</t>
        </is>
      </c>
      <c r="G14" s="15" t="inlineStr">
        <is>
          <t>Active</t>
        </is>
      </c>
    </row>
    <row r="15" ht="19" customHeight="1">
      <c r="A15" s="10" t="inlineStr">
        <is>
          <t>C-102</t>
        </is>
      </c>
      <c r="B15" s="11" t="inlineStr">
        <is>
          <t>Elena Rostova</t>
        </is>
      </c>
      <c r="C15" s="11" t="inlineStr">
        <is>
          <t>BR-01</t>
        </is>
      </c>
      <c r="D15" s="12" t="inlineStr">
        <is>
          <t>T-02</t>
        </is>
      </c>
      <c r="E15" s="12" t="inlineStr">
        <is>
          <t>Evening</t>
        </is>
      </c>
      <c r="F15" s="12" t="inlineStr">
        <is>
          <t>2023-11-01</t>
        </is>
      </c>
      <c r="G15" s="12" t="inlineStr">
        <is>
          <t>Active</t>
        </is>
      </c>
    </row>
    <row r="16" ht="19" customHeight="1">
      <c r="A16" s="13" t="inlineStr">
        <is>
          <t>C-103</t>
        </is>
      </c>
      <c r="B16" s="14" t="inlineStr">
        <is>
          <t>Tariq Mansour</t>
        </is>
      </c>
      <c r="C16" s="14" t="inlineStr">
        <is>
          <t>BR-01</t>
        </is>
      </c>
      <c r="D16" s="15" t="inlineStr">
        <is>
          <t>T-01</t>
        </is>
      </c>
      <c r="E16" s="15" t="inlineStr">
        <is>
          <t>Weekend</t>
        </is>
      </c>
      <c r="F16" s="15" t="inlineStr">
        <is>
          <t>2024-07-20</t>
        </is>
      </c>
      <c r="G16" s="15" t="inlineStr">
        <is>
          <t>Active</t>
        </is>
      </c>
    </row>
    <row r="17" ht="19" customHeight="1">
      <c r="A17" s="10" t="inlineStr">
        <is>
          <t>C-104</t>
        </is>
      </c>
      <c r="B17" s="11" t="inlineStr">
        <is>
          <t>Kevin O'Connor</t>
        </is>
      </c>
      <c r="C17" s="11" t="inlineStr">
        <is>
          <t>BR-01</t>
        </is>
      </c>
      <c r="D17" s="12" t="inlineStr">
        <is>
          <t>T-02</t>
        </is>
      </c>
      <c r="E17" s="12" t="inlineStr">
        <is>
          <t>Night</t>
        </is>
      </c>
      <c r="F17" s="12" t="inlineStr">
        <is>
          <t>2025-01-10</t>
        </is>
      </c>
      <c r="G17" s="12" t="inlineStr">
        <is>
          <t>Under Review</t>
        </is>
      </c>
    </row>
    <row r="18" ht="19" customHeight="1">
      <c r="A18" s="13" t="inlineStr">
        <is>
          <t>C-105</t>
        </is>
      </c>
      <c r="B18" s="14" t="inlineStr">
        <is>
          <t>Sarah Jenkins</t>
        </is>
      </c>
      <c r="C18" s="14" t="inlineStr">
        <is>
          <t>BR-02</t>
        </is>
      </c>
      <c r="D18" s="15" t="inlineStr">
        <is>
          <t>T-01</t>
        </is>
      </c>
      <c r="E18" s="15" t="inlineStr">
        <is>
          <t>Morning</t>
        </is>
      </c>
      <c r="F18" s="15" t="inlineStr">
        <is>
          <t>2023-08-14</t>
        </is>
      </c>
      <c r="G18" s="15" t="inlineStr">
        <is>
          <t>Active</t>
        </is>
      </c>
    </row>
    <row r="19" ht="19" customHeight="1">
      <c r="A19" s="10" t="inlineStr">
        <is>
          <t>C-106</t>
        </is>
      </c>
      <c r="B19" s="11" t="inlineStr">
        <is>
          <t>David Kim</t>
        </is>
      </c>
      <c r="C19" s="11" t="inlineStr">
        <is>
          <t>BR-02</t>
        </is>
      </c>
      <c r="D19" s="12" t="inlineStr">
        <is>
          <t>T-02</t>
        </is>
      </c>
      <c r="E19" s="12" t="inlineStr">
        <is>
          <t>Evening</t>
        </is>
      </c>
      <c r="F19" s="12" t="inlineStr">
        <is>
          <t>2024-05-18</t>
        </is>
      </c>
      <c r="G19" s="12" t="inlineStr">
        <is>
          <t>Active</t>
        </is>
      </c>
    </row>
    <row r="20" ht="19" customHeight="1">
      <c r="A20" s="13" t="inlineStr">
        <is>
          <t>C-107</t>
        </is>
      </c>
      <c r="B20" s="14" t="inlineStr">
        <is>
          <t>Fatima Al-Sayed</t>
        </is>
      </c>
      <c r="C20" s="14" t="inlineStr">
        <is>
          <t>BR-02</t>
        </is>
      </c>
      <c r="D20" s="15" t="inlineStr">
        <is>
          <t>T-03</t>
        </is>
      </c>
      <c r="E20" s="15" t="inlineStr">
        <is>
          <t>Weekend</t>
        </is>
      </c>
      <c r="F20" s="15" t="inlineStr">
        <is>
          <t>2024-09-01</t>
        </is>
      </c>
      <c r="G20" s="15" t="inlineStr">
        <is>
          <t>Active</t>
        </is>
      </c>
    </row>
    <row r="21" ht="19" customHeight="1">
      <c r="A21" s="10" t="inlineStr">
        <is>
          <t>C-108</t>
        </is>
      </c>
      <c r="B21" s="11" t="inlineStr">
        <is>
          <t>Jason Miller</t>
        </is>
      </c>
      <c r="C21" s="11" t="inlineStr">
        <is>
          <t>BR-02</t>
        </is>
      </c>
      <c r="D21" s="12" t="inlineStr">
        <is>
          <t>T-01</t>
        </is>
      </c>
      <c r="E21" s="12" t="inlineStr">
        <is>
          <t>Night</t>
        </is>
      </c>
      <c r="F21" s="12" t="inlineStr">
        <is>
          <t>2024-12-05</t>
        </is>
      </c>
      <c r="G21" s="12" t="inlineStr">
        <is>
          <t>Under Review</t>
        </is>
      </c>
    </row>
    <row r="22" ht="19" customHeight="1">
      <c r="A22" s="13" t="inlineStr">
        <is>
          <t>C-109</t>
        </is>
      </c>
      <c r="B22" s="14" t="inlineStr">
        <is>
          <t>Chloe Dupont</t>
        </is>
      </c>
      <c r="C22" s="14" t="inlineStr">
        <is>
          <t>BR-03</t>
        </is>
      </c>
      <c r="D22" s="15" t="inlineStr">
        <is>
          <t>T-01</t>
        </is>
      </c>
      <c r="E22" s="15" t="inlineStr">
        <is>
          <t>Morning</t>
        </is>
      </c>
      <c r="F22" s="15" t="inlineStr">
        <is>
          <t>2023-04-12</t>
        </is>
      </c>
      <c r="G22" s="15" t="inlineStr">
        <is>
          <t>Active</t>
        </is>
      </c>
    </row>
    <row r="23" ht="19" customHeight="1">
      <c r="A23" s="10" t="inlineStr">
        <is>
          <t>C-110</t>
        </is>
      </c>
      <c r="B23" s="11" t="inlineStr">
        <is>
          <t>Ahmed Hassan</t>
        </is>
      </c>
      <c r="C23" s="11" t="inlineStr">
        <is>
          <t>BR-03</t>
        </is>
      </c>
      <c r="D23" s="12" t="inlineStr">
        <is>
          <t>T-02</t>
        </is>
      </c>
      <c r="E23" s="12" t="inlineStr">
        <is>
          <t>Evening</t>
        </is>
      </c>
      <c r="F23" s="12" t="inlineStr">
        <is>
          <t>2024-02-28</t>
        </is>
      </c>
      <c r="G23" s="12" t="inlineStr">
        <is>
          <t>Active</t>
        </is>
      </c>
    </row>
    <row r="24" ht="19" customHeight="1">
      <c r="A24" s="13" t="inlineStr">
        <is>
          <t>C-111</t>
        </is>
      </c>
      <c r="B24" s="14" t="inlineStr">
        <is>
          <t>Priya Patel</t>
        </is>
      </c>
      <c r="C24" s="14" t="inlineStr">
        <is>
          <t>BR-03</t>
        </is>
      </c>
      <c r="D24" s="15" t="inlineStr">
        <is>
          <t>T-01</t>
        </is>
      </c>
      <c r="E24" s="15" t="inlineStr">
        <is>
          <t>Weekend</t>
        </is>
      </c>
      <c r="F24" s="15" t="inlineStr">
        <is>
          <t>2024-10-15</t>
        </is>
      </c>
      <c r="G24" s="15" t="inlineStr">
        <is>
          <t>Active</t>
        </is>
      </c>
    </row>
    <row r="25" ht="19" customHeight="1">
      <c r="A25" s="10" t="inlineStr">
        <is>
          <t>C-112</t>
        </is>
      </c>
      <c r="B25" s="11" t="inlineStr">
        <is>
          <t>Ryan Gallagher</t>
        </is>
      </c>
      <c r="C25" s="11" t="inlineStr">
        <is>
          <t>BR-03</t>
        </is>
      </c>
      <c r="D25" s="12" t="inlineStr">
        <is>
          <t>T-02</t>
        </is>
      </c>
      <c r="E25" s="12" t="inlineStr">
        <is>
          <t>Night</t>
        </is>
      </c>
      <c r="F25" s="12" t="inlineStr">
        <is>
          <t>2025-02-01</t>
        </is>
      </c>
      <c r="G25" s="12" t="inlineStr">
        <is>
          <t>Under Review</t>
        </is>
      </c>
    </row>
    <row r="26" ht="19" customHeight="1">
      <c r="A26" s="13" t="inlineStr">
        <is>
          <t>C-113</t>
        </is>
      </c>
      <c r="B26" s="14" t="inlineStr">
        <is>
          <t>Layla Mahmoud</t>
        </is>
      </c>
      <c r="C26" s="14" t="inlineStr">
        <is>
          <t>BR-04</t>
        </is>
      </c>
      <c r="D26" s="15" t="inlineStr">
        <is>
          <t>T-01</t>
        </is>
      </c>
      <c r="E26" s="15" t="inlineStr">
        <is>
          <t>Morning</t>
        </is>
      </c>
      <c r="F26" s="15" t="inlineStr">
        <is>
          <t>2024-06-11</t>
        </is>
      </c>
      <c r="G26" s="15" t="inlineStr">
        <is>
          <t>Active</t>
        </is>
      </c>
    </row>
    <row r="27" ht="19" customHeight="1">
      <c r="A27" s="10" t="inlineStr">
        <is>
          <t>C-114</t>
        </is>
      </c>
      <c r="B27" s="11" t="inlineStr">
        <is>
          <t>Brandon Scott</t>
        </is>
      </c>
      <c r="C27" s="11" t="inlineStr">
        <is>
          <t>BR-04</t>
        </is>
      </c>
      <c r="D27" s="12" t="inlineStr">
        <is>
          <t>T-02</t>
        </is>
      </c>
      <c r="E27" s="12" t="inlineStr">
        <is>
          <t>Evening</t>
        </is>
      </c>
      <c r="F27" s="12" t="inlineStr">
        <is>
          <t>2023-10-05</t>
        </is>
      </c>
      <c r="G27" s="12" t="inlineStr">
        <is>
          <t>Active</t>
        </is>
      </c>
    </row>
    <row r="28" ht="19" customHeight="1">
      <c r="A28" s="13" t="inlineStr">
        <is>
          <t>C-115</t>
        </is>
      </c>
      <c r="B28" s="14" t="inlineStr">
        <is>
          <t>Samantha Reed</t>
        </is>
      </c>
      <c r="C28" s="14" t="inlineStr">
        <is>
          <t>BR-04</t>
        </is>
      </c>
      <c r="D28" s="15" t="inlineStr">
        <is>
          <t>T-01</t>
        </is>
      </c>
      <c r="E28" s="15" t="inlineStr">
        <is>
          <t>Night</t>
        </is>
      </c>
      <c r="F28" s="15" t="inlineStr">
        <is>
          <t>2025-01-22</t>
        </is>
      </c>
      <c r="G28" s="15" t="inlineStr">
        <is>
          <t>Under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78"/>
  <sheetViews>
    <sheetView showGridLines="1" workbookViewId="0">
      <pane ySplit="4" topLeftCell="A5" activePane="bottomLeft" state="frozen"/>
      <selection pane="bottomLeft" activeCell="A1" sqref="A1"/>
    </sheetView>
  </sheetViews>
  <sheetFormatPr baseColWidth="8" defaultRowHeight="15"/>
  <cols>
    <col width="39" customWidth="1" min="1" max="1"/>
    <col width="18" customWidth="1" min="2" max="2"/>
    <col width="23" customWidth="1" min="3" max="3"/>
    <col width="13" customWidth="1" min="4" max="4"/>
    <col width="15" customWidth="1" min="5" max="5"/>
    <col width="14" customWidth="1" min="6" max="6"/>
    <col width="18" customWidth="1" min="7" max="7"/>
    <col width="26" customWidth="1" min="8" max="8"/>
    <col width="23" customWidth="1" min="9" max="9"/>
    <col width="14" customWidth="1" min="10" max="10"/>
    <col width="16" customWidth="1" min="11" max="11"/>
    <col width="14" customWidth="1" min="12" max="12"/>
    <col width="23" customWidth="1" min="13" max="13"/>
    <col width="19" customWidth="1" min="14" max="14"/>
    <col width="14" customWidth="1" min="15" max="15"/>
  </cols>
  <sheetData>
    <row r="1" ht="24" customHeight="1">
      <c r="A1" s="1" t="inlineStr">
        <is>
          <t>RAW POS TRANSACTIONAL EVENT JOURNAL</t>
        </is>
      </c>
    </row>
    <row r="2" ht="18" customHeight="1">
      <c r="A2" s="2" t="inlineStr">
        <is>
          <t>DATA INPUT: Paste raw POS export into Columns A:M (Navy #1F4E78) using Paste Special &gt; Values. Columns N:O (Steel #2F5597) calculate automated latency and audit flags—do not overwrite.</t>
        </is>
      </c>
    </row>
    <row r="3"/>
    <row r="4" ht="26" customHeight="1">
      <c r="A4" s="4" t="inlineStr">
        <is>
          <t>Event_ID</t>
        </is>
      </c>
      <c r="B4" s="4" t="inlineStr">
        <is>
          <t>Transaction_ID</t>
        </is>
      </c>
      <c r="C4" s="4" t="inlineStr">
        <is>
          <t>Event_Timestamp</t>
        </is>
      </c>
      <c r="D4" s="4" t="inlineStr">
        <is>
          <t>Branch_ID</t>
        </is>
      </c>
      <c r="E4" s="4" t="inlineStr">
        <is>
          <t>Terminal_ID</t>
        </is>
      </c>
      <c r="F4" s="4" t="inlineStr">
        <is>
          <t>Cashier_ID</t>
        </is>
      </c>
      <c r="G4" s="4" t="inlineStr">
        <is>
          <t>Supervisor_PIN</t>
        </is>
      </c>
      <c r="H4" s="4" t="inlineStr">
        <is>
          <t>Event_Type</t>
        </is>
      </c>
      <c r="I4" s="4" t="inlineStr">
        <is>
          <t>Tender_Type</t>
        </is>
      </c>
      <c r="J4" s="4" t="inlineStr">
        <is>
          <t>Item_Count</t>
        </is>
      </c>
      <c r="K4" s="4" t="inlineStr">
        <is>
          <t>Gross_Amount</t>
        </is>
      </c>
      <c r="L4" s="4" t="inlineStr">
        <is>
          <t>Net_Amount</t>
        </is>
      </c>
      <c r="M4" s="4" t="inlineStr">
        <is>
          <t>Order_Start_Time</t>
        </is>
      </c>
      <c r="N4" s="23" t="inlineStr">
        <is>
          <t>Latency_Seconds</t>
        </is>
      </c>
      <c r="O4" s="23" t="inlineStr">
        <is>
          <t>Audit_Flag</t>
        </is>
      </c>
    </row>
    <row r="5" ht="18" customHeight="1">
      <c r="A5" s="12" t="inlineStr">
        <is>
          <t>EVT-10001</t>
        </is>
      </c>
      <c r="B5" s="12" t="inlineStr">
        <is>
          <t>TX-80001</t>
        </is>
      </c>
      <c r="C5" s="24" t="n">
        <v>46305.37546296296</v>
      </c>
      <c r="D5" s="12" t="inlineStr">
        <is>
          <t>BR-01</t>
        </is>
      </c>
      <c r="E5" s="12" t="inlineStr">
        <is>
          <t>T-02</t>
        </is>
      </c>
      <c r="F5" s="12" t="inlineStr">
        <is>
          <t>C-101</t>
        </is>
      </c>
      <c r="G5" s="12" t="inlineStr">
        <is>
          <t>NONE</t>
        </is>
      </c>
      <c r="H5" s="11" t="inlineStr">
        <is>
          <t>Sale Tender</t>
        </is>
      </c>
      <c r="I5" s="12" t="inlineStr">
        <is>
          <t>Cash</t>
        </is>
      </c>
      <c r="J5" s="20" t="n">
        <v>6</v>
      </c>
      <c r="K5" s="25" t="n">
        <v>55.61</v>
      </c>
      <c r="L5" s="25" t="n">
        <v>55.61</v>
      </c>
      <c r="M5" s="24" t="n">
        <v>46305.37481481482</v>
      </c>
      <c r="N5" s="26">
        <f>IFERROR(IF(OR(ISBLANK(M5), M5="", ISBLANK(C5), C5=""), 0, MAX(0, ROUND((C5-M5)*86400, 0))), 0)</f>
        <v/>
      </c>
      <c r="O5" s="11">
        <f>IF(H5="Post-Bill Void", IF(AND(G5="M-904", I5="Cash"), "EXCEPTION: Concurrent Cash Void", IF(AND(I5="Cash", N5&gt;120), "CRITICAL: Delayed Cash Void", IF(N5&gt;120, "EXCEPTION: Delayed Void", "Standard Void"))), IF(H5="Line Item Void", IF(I5="Cash", "EXCEPTION: Cash Line Void", "Standard Line Void"), IF(H5="No-Sale Drawer Opening", "DRAWER OPENING", "Standard Sale")))</f>
        <v/>
      </c>
    </row>
    <row r="6" ht="18" customHeight="1">
      <c r="A6" s="15" t="inlineStr">
        <is>
          <t>EVT-10002</t>
        </is>
      </c>
      <c r="B6" s="15" t="inlineStr">
        <is>
          <t>TX-80002</t>
        </is>
      </c>
      <c r="C6" s="27" t="n">
        <v>46305.38248842592</v>
      </c>
      <c r="D6" s="15" t="inlineStr">
        <is>
          <t>BR-01</t>
        </is>
      </c>
      <c r="E6" s="15" t="inlineStr">
        <is>
          <t>T-01</t>
        </is>
      </c>
      <c r="F6" s="15" t="inlineStr">
        <is>
          <t>C-104</t>
        </is>
      </c>
      <c r="G6" s="15" t="inlineStr">
        <is>
          <t>NONE</t>
        </is>
      </c>
      <c r="H6" s="14" t="inlineStr">
        <is>
          <t>Sale Tender</t>
        </is>
      </c>
      <c r="I6" s="15" t="inlineStr">
        <is>
          <t>Cash</t>
        </is>
      </c>
      <c r="J6" s="17" t="n">
        <v>5</v>
      </c>
      <c r="K6" s="28" t="n">
        <v>65.08</v>
      </c>
      <c r="L6" s="28" t="n">
        <v>65.08</v>
      </c>
      <c r="M6" s="27" t="n">
        <v>46305.38207175926</v>
      </c>
      <c r="N6" s="29">
        <f>IFERROR(IF(OR(ISBLANK(M6), M6="", ISBLANK(C6), C6=""), 0, MAX(0, ROUND((C6-M6)*86400, 0))), 0)</f>
        <v/>
      </c>
      <c r="O6" s="14">
        <f>IF(H6="Post-Bill Void", IF(AND(G6="M-904", I6="Cash"), "EXCEPTION: Concurrent Cash Void", IF(AND(I6="Cash", N6&gt;120), "CRITICAL: Delayed Cash Void", IF(N6&gt;120, "EXCEPTION: Delayed Void", "Standard Void"))), IF(H6="Line Item Void", IF(I6="Cash", "EXCEPTION: Cash Line Void", "Standard Line Void"), IF(H6="No-Sale Drawer Opening", "DRAWER OPENING", "Standard Sale")))</f>
        <v/>
      </c>
    </row>
    <row r="7" ht="18" customHeight="1">
      <c r="A7" s="12" t="inlineStr">
        <is>
          <t>EVT-10003</t>
        </is>
      </c>
      <c r="B7" s="12" t="inlineStr">
        <is>
          <t>TX-80003</t>
        </is>
      </c>
      <c r="C7" s="24" t="n">
        <v>46305.38929398148</v>
      </c>
      <c r="D7" s="12" t="inlineStr">
        <is>
          <t>BR-02</t>
        </is>
      </c>
      <c r="E7" s="12" t="inlineStr">
        <is>
          <t>T-01</t>
        </is>
      </c>
      <c r="F7" s="12" t="inlineStr">
        <is>
          <t>C-108</t>
        </is>
      </c>
      <c r="G7" s="12" t="inlineStr">
        <is>
          <t>NONE</t>
        </is>
      </c>
      <c r="H7" s="11" t="inlineStr">
        <is>
          <t>Sale Tender</t>
        </is>
      </c>
      <c r="I7" s="12" t="inlineStr">
        <is>
          <t>Card</t>
        </is>
      </c>
      <c r="J7" s="20" t="n">
        <v>1</v>
      </c>
      <c r="K7" s="25" t="n">
        <v>14.19</v>
      </c>
      <c r="L7" s="25" t="n">
        <v>14.19</v>
      </c>
      <c r="M7" s="24" t="n">
        <v>46305.38859953704</v>
      </c>
      <c r="N7" s="26">
        <f>IFERROR(IF(OR(ISBLANK(M7), M7="", ISBLANK(C7), C7=""), 0, MAX(0, ROUND((C7-M7)*86400, 0))), 0)</f>
        <v/>
      </c>
      <c r="O7" s="11">
        <f>IF(H7="Post-Bill Void", IF(AND(G7="M-904", I7="Cash"), "EXCEPTION: Concurrent Cash Void", IF(AND(I7="Cash", N7&gt;120), "CRITICAL: Delayed Cash Void", IF(N7&gt;120, "EXCEPTION: Delayed Void", "Standard Void"))), IF(H7="Line Item Void", IF(I7="Cash", "EXCEPTION: Cash Line Void", "Standard Line Void"), IF(H7="No-Sale Drawer Opening", "DRAWER OPENING", "Standard Sale")))</f>
        <v/>
      </c>
    </row>
    <row r="8" ht="18" customHeight="1">
      <c r="A8" s="15" t="inlineStr">
        <is>
          <t>EVT-10004</t>
        </is>
      </c>
      <c r="B8" s="15" t="inlineStr">
        <is>
          <t>TX-80004</t>
        </is>
      </c>
      <c r="C8" s="27" t="n">
        <v>46305.39594907407</v>
      </c>
      <c r="D8" s="15" t="inlineStr">
        <is>
          <t>BR-04</t>
        </is>
      </c>
      <c r="E8" s="15" t="inlineStr">
        <is>
          <t>T-01</t>
        </is>
      </c>
      <c r="F8" s="15" t="inlineStr">
        <is>
          <t>C-114</t>
        </is>
      </c>
      <c r="G8" s="15" t="inlineStr">
        <is>
          <t>NONE</t>
        </is>
      </c>
      <c r="H8" s="14" t="inlineStr">
        <is>
          <t>Sale Tender</t>
        </is>
      </c>
      <c r="I8" s="15" t="inlineStr">
        <is>
          <t>Delivery Aggregator</t>
        </is>
      </c>
      <c r="J8" s="17" t="n">
        <v>3</v>
      </c>
      <c r="K8" s="28" t="n">
        <v>27.8</v>
      </c>
      <c r="L8" s="28" t="n">
        <v>27.8</v>
      </c>
      <c r="M8" s="27" t="n">
        <v>46305.39534722222</v>
      </c>
      <c r="N8" s="29">
        <f>IFERROR(IF(OR(ISBLANK(M8), M8="", ISBLANK(C8), C8=""), 0, MAX(0, ROUND((C8-M8)*86400, 0))), 0)</f>
        <v/>
      </c>
      <c r="O8" s="14">
        <f>IF(H8="Post-Bill Void", IF(AND(G8="M-904", I8="Cash"), "EXCEPTION: Concurrent Cash Void", IF(AND(I8="Cash", N8&gt;120), "CRITICAL: Delayed Cash Void", IF(N8&gt;120, "EXCEPTION: Delayed Void", "Standard Void"))), IF(H8="Line Item Void", IF(I8="Cash", "EXCEPTION: Cash Line Void", "Standard Line Void"), IF(H8="No-Sale Drawer Opening", "DRAWER OPENING", "Standard Sale")))</f>
        <v/>
      </c>
    </row>
    <row r="9" ht="18" customHeight="1">
      <c r="A9" s="12" t="inlineStr">
        <is>
          <t>EVT-10005</t>
        </is>
      </c>
      <c r="B9" s="12" t="inlineStr">
        <is>
          <t>TX-80005</t>
        </is>
      </c>
      <c r="C9" s="24" t="n">
        <v>46305.40305555556</v>
      </c>
      <c r="D9" s="12" t="inlineStr">
        <is>
          <t>BR-01</t>
        </is>
      </c>
      <c r="E9" s="12" t="inlineStr">
        <is>
          <t>T-02</t>
        </is>
      </c>
      <c r="F9" s="12" t="inlineStr">
        <is>
          <t>C-103</t>
        </is>
      </c>
      <c r="G9" s="12" t="inlineStr">
        <is>
          <t>NONE</t>
        </is>
      </c>
      <c r="H9" s="11" t="inlineStr">
        <is>
          <t>Sale Tender</t>
        </is>
      </c>
      <c r="I9" s="12" t="inlineStr">
        <is>
          <t>Card</t>
        </is>
      </c>
      <c r="J9" s="20" t="n">
        <v>6</v>
      </c>
      <c r="K9" s="25" t="n">
        <v>71.67</v>
      </c>
      <c r="L9" s="25" t="n">
        <v>71.67</v>
      </c>
      <c r="M9" s="24" t="n">
        <v>46305.40238425926</v>
      </c>
      <c r="N9" s="26">
        <f>IFERROR(IF(OR(ISBLANK(M9), M9="", ISBLANK(C9), C9=""), 0, MAX(0, ROUND((C9-M9)*86400, 0))), 0)</f>
        <v/>
      </c>
      <c r="O9" s="11">
        <f>IF(H9="Post-Bill Void", IF(AND(G9="M-904", I9="Cash"), "EXCEPTION: Concurrent Cash Void", IF(AND(I9="Cash", N9&gt;120), "CRITICAL: Delayed Cash Void", IF(N9&gt;120, "EXCEPTION: Delayed Void", "Standard Void"))), IF(H9="Line Item Void", IF(I9="Cash", "EXCEPTION: Cash Line Void", "Standard Line Void"), IF(H9="No-Sale Drawer Opening", "DRAWER OPENING", "Standard Sale")))</f>
        <v/>
      </c>
    </row>
    <row r="10" ht="18" customHeight="1">
      <c r="A10" s="15" t="inlineStr">
        <is>
          <t>EVT-10006</t>
        </is>
      </c>
      <c r="B10" s="15" t="inlineStr">
        <is>
          <t>TX-80006</t>
        </is>
      </c>
      <c r="C10" s="27" t="n">
        <v>46305.40980324074</v>
      </c>
      <c r="D10" s="15" t="inlineStr">
        <is>
          <t>BR-04</t>
        </is>
      </c>
      <c r="E10" s="15" t="inlineStr">
        <is>
          <t>T-01</t>
        </is>
      </c>
      <c r="F10" s="15" t="inlineStr">
        <is>
          <t>C-113</t>
        </is>
      </c>
      <c r="G10" s="15" t="inlineStr">
        <is>
          <t>NONE</t>
        </is>
      </c>
      <c r="H10" s="14" t="inlineStr">
        <is>
          <t>Sale Tender</t>
        </is>
      </c>
      <c r="I10" s="15" t="inlineStr">
        <is>
          <t>Card</t>
        </is>
      </c>
      <c r="J10" s="17" t="n">
        <v>6</v>
      </c>
      <c r="K10" s="28" t="n">
        <v>54.13</v>
      </c>
      <c r="L10" s="28" t="n">
        <v>54.13</v>
      </c>
      <c r="M10" s="27" t="n">
        <v>46305.40898148148</v>
      </c>
      <c r="N10" s="29">
        <f>IFERROR(IF(OR(ISBLANK(M10), M10="", ISBLANK(C10), C10=""), 0, MAX(0, ROUND((C10-M10)*86400, 0))), 0)</f>
        <v/>
      </c>
      <c r="O10" s="14">
        <f>IF(H10="Post-Bill Void", IF(AND(G10="M-904", I10="Cash"), "EXCEPTION: Concurrent Cash Void", IF(AND(I10="Cash", N10&gt;120), "CRITICAL: Delayed Cash Void", IF(N10&gt;120, "EXCEPTION: Delayed Void", "Standard Void"))), IF(H10="Line Item Void", IF(I10="Cash", "EXCEPTION: Cash Line Void", "Standard Line Void"), IF(H10="No-Sale Drawer Opening", "DRAWER OPENING", "Standard Sale")))</f>
        <v/>
      </c>
    </row>
    <row r="11" ht="18" customHeight="1">
      <c r="A11" s="12" t="inlineStr">
        <is>
          <t>EVT-10007</t>
        </is>
      </c>
      <c r="B11" s="12" t="inlineStr">
        <is>
          <t>TX-80007</t>
        </is>
      </c>
      <c r="C11" s="24" t="n">
        <v>46305.41715277778</v>
      </c>
      <c r="D11" s="12" t="inlineStr">
        <is>
          <t>BR-02</t>
        </is>
      </c>
      <c r="E11" s="12" t="inlineStr">
        <is>
          <t>T-02</t>
        </is>
      </c>
      <c r="F11" s="12" t="inlineStr">
        <is>
          <t>C-107</t>
        </is>
      </c>
      <c r="G11" s="12" t="inlineStr">
        <is>
          <t>NONE</t>
        </is>
      </c>
      <c r="H11" s="11" t="inlineStr">
        <is>
          <t>Sale Tender</t>
        </is>
      </c>
      <c r="I11" s="12" t="inlineStr">
        <is>
          <t>Delivery Aggregator</t>
        </is>
      </c>
      <c r="J11" s="20" t="n">
        <v>4</v>
      </c>
      <c r="K11" s="25" t="n">
        <v>42.34</v>
      </c>
      <c r="L11" s="25" t="n">
        <v>42.34</v>
      </c>
      <c r="M11" s="24" t="n">
        <v>46305.41652777778</v>
      </c>
      <c r="N11" s="26">
        <f>IFERROR(IF(OR(ISBLANK(M11), M11="", ISBLANK(C11), C11=""), 0, MAX(0, ROUND((C11-M11)*86400, 0))), 0)</f>
        <v/>
      </c>
      <c r="O11" s="11">
        <f>IF(H11="Post-Bill Void", IF(AND(G11="M-904", I11="Cash"), "EXCEPTION: Concurrent Cash Void", IF(AND(I11="Cash", N11&gt;120), "CRITICAL: Delayed Cash Void", IF(N11&gt;120, "EXCEPTION: Delayed Void", "Standard Void"))), IF(H11="Line Item Void", IF(I11="Cash", "EXCEPTION: Cash Line Void", "Standard Line Void"), IF(H11="No-Sale Drawer Opening", "DRAWER OPENING", "Standard Sale")))</f>
        <v/>
      </c>
    </row>
    <row r="12" ht="18" customHeight="1">
      <c r="A12" s="15" t="inlineStr">
        <is>
          <t>EVT-10008</t>
        </is>
      </c>
      <c r="B12" s="15" t="inlineStr">
        <is>
          <t>TX-80008</t>
        </is>
      </c>
      <c r="C12" s="27" t="n">
        <v>46305.42407407407</v>
      </c>
      <c r="D12" s="15" t="inlineStr">
        <is>
          <t>BR-03</t>
        </is>
      </c>
      <c r="E12" s="15" t="inlineStr">
        <is>
          <t>T-01</t>
        </is>
      </c>
      <c r="F12" s="15" t="inlineStr">
        <is>
          <t>C-110</t>
        </is>
      </c>
      <c r="G12" s="15" t="inlineStr">
        <is>
          <t>NONE</t>
        </is>
      </c>
      <c r="H12" s="14" t="inlineStr">
        <is>
          <t>Sale Tender</t>
        </is>
      </c>
      <c r="I12" s="15" t="inlineStr">
        <is>
          <t>Card</t>
        </is>
      </c>
      <c r="J12" s="17" t="n">
        <v>6</v>
      </c>
      <c r="K12" s="28" t="n">
        <v>93.15000000000001</v>
      </c>
      <c r="L12" s="28" t="n">
        <v>93.15000000000001</v>
      </c>
      <c r="M12" s="27" t="n">
        <v>46305.42348379629</v>
      </c>
      <c r="N12" s="29">
        <f>IFERROR(IF(OR(ISBLANK(M12), M12="", ISBLANK(C12), C12=""), 0, MAX(0, ROUND((C12-M12)*86400, 0))), 0)</f>
        <v/>
      </c>
      <c r="O12" s="14">
        <f>IF(H12="Post-Bill Void", IF(AND(G12="M-904", I12="Cash"), "EXCEPTION: Concurrent Cash Void", IF(AND(I12="Cash", N12&gt;120), "CRITICAL: Delayed Cash Void", IF(N12&gt;120, "EXCEPTION: Delayed Void", "Standard Void"))), IF(H12="Line Item Void", IF(I12="Cash", "EXCEPTION: Cash Line Void", "Standard Line Void"), IF(H12="No-Sale Drawer Opening", "DRAWER OPENING", "Standard Sale")))</f>
        <v/>
      </c>
    </row>
    <row r="13" ht="18" customHeight="1">
      <c r="A13" s="12" t="inlineStr">
        <is>
          <t>EVT-10009</t>
        </is>
      </c>
      <c r="B13" s="12" t="inlineStr">
        <is>
          <t>TX-80009</t>
        </is>
      </c>
      <c r="C13" s="24" t="n">
        <v>46305.43103009259</v>
      </c>
      <c r="D13" s="12" t="inlineStr">
        <is>
          <t>BR-01</t>
        </is>
      </c>
      <c r="E13" s="12" t="inlineStr">
        <is>
          <t>T-01</t>
        </is>
      </c>
      <c r="F13" s="12" t="inlineStr">
        <is>
          <t>C-102</t>
        </is>
      </c>
      <c r="G13" s="12" t="inlineStr">
        <is>
          <t>NONE</t>
        </is>
      </c>
      <c r="H13" s="11" t="inlineStr">
        <is>
          <t>Sale Tender</t>
        </is>
      </c>
      <c r="I13" s="12" t="inlineStr">
        <is>
          <t>Cash</t>
        </is>
      </c>
      <c r="J13" s="20" t="n">
        <v>4</v>
      </c>
      <c r="K13" s="25" t="n">
        <v>42.1</v>
      </c>
      <c r="L13" s="25" t="n">
        <v>42.1</v>
      </c>
      <c r="M13" s="24" t="n">
        <v>46305.43038194445</v>
      </c>
      <c r="N13" s="26">
        <f>IFERROR(IF(OR(ISBLANK(M13), M13="", ISBLANK(C13), C13=""), 0, MAX(0, ROUND((C13-M13)*86400, 0))), 0)</f>
        <v/>
      </c>
      <c r="O13" s="11">
        <f>IF(H13="Post-Bill Void", IF(AND(G13="M-904", I13="Cash"), "EXCEPTION: Concurrent Cash Void", IF(AND(I13="Cash", N13&gt;120), "CRITICAL: Delayed Cash Void", IF(N13&gt;120, "EXCEPTION: Delayed Void", "Standard Void"))), IF(H13="Line Item Void", IF(I13="Cash", "EXCEPTION: Cash Line Void", "Standard Line Void"), IF(H13="No-Sale Drawer Opening", "DRAWER OPENING", "Standard Sale")))</f>
        <v/>
      </c>
    </row>
    <row r="14" ht="18" customHeight="1">
      <c r="A14" s="15" t="inlineStr">
        <is>
          <t>EVT-10010</t>
        </is>
      </c>
      <c r="B14" s="15" t="inlineStr">
        <is>
          <t>TX-80010</t>
        </is>
      </c>
      <c r="C14" s="27" t="n">
        <v>46305.43818287037</v>
      </c>
      <c r="D14" s="15" t="inlineStr">
        <is>
          <t>BR-02</t>
        </is>
      </c>
      <c r="E14" s="15" t="inlineStr">
        <is>
          <t>T-02</t>
        </is>
      </c>
      <c r="F14" s="15" t="inlineStr">
        <is>
          <t>C-107</t>
        </is>
      </c>
      <c r="G14" s="15" t="inlineStr">
        <is>
          <t>NONE</t>
        </is>
      </c>
      <c r="H14" s="14" t="inlineStr">
        <is>
          <t>Sale Tender</t>
        </is>
      </c>
      <c r="I14" s="15" t="inlineStr">
        <is>
          <t>Cash</t>
        </is>
      </c>
      <c r="J14" s="17" t="n">
        <v>1</v>
      </c>
      <c r="K14" s="28" t="n">
        <v>14.54</v>
      </c>
      <c r="L14" s="28" t="n">
        <v>14.54</v>
      </c>
      <c r="M14" s="27" t="n">
        <v>46305.4378125</v>
      </c>
      <c r="N14" s="29">
        <f>IFERROR(IF(OR(ISBLANK(M14), M14="", ISBLANK(C14), C14=""), 0, MAX(0, ROUND((C14-M14)*86400, 0))), 0)</f>
        <v/>
      </c>
      <c r="O14" s="14">
        <f>IF(H14="Post-Bill Void", IF(AND(G14="M-904", I14="Cash"), "EXCEPTION: Concurrent Cash Void", IF(AND(I14="Cash", N14&gt;120), "CRITICAL: Delayed Cash Void", IF(N14&gt;120, "EXCEPTION: Delayed Void", "Standard Void"))), IF(H14="Line Item Void", IF(I14="Cash", "EXCEPTION: Cash Line Void", "Standard Line Void"), IF(H14="No-Sale Drawer Opening", "DRAWER OPENING", "Standard Sale")))</f>
        <v/>
      </c>
    </row>
    <row r="15" ht="18" customHeight="1">
      <c r="A15" s="12" t="inlineStr">
        <is>
          <t>EVT-10011</t>
        </is>
      </c>
      <c r="B15" s="12" t="inlineStr">
        <is>
          <t>TX-80011</t>
        </is>
      </c>
      <c r="C15" s="24" t="n">
        <v>46305.4447337963</v>
      </c>
      <c r="D15" s="12" t="inlineStr">
        <is>
          <t>BR-03</t>
        </is>
      </c>
      <c r="E15" s="12" t="inlineStr">
        <is>
          <t>T-01</t>
        </is>
      </c>
      <c r="F15" s="12" t="inlineStr">
        <is>
          <t>C-109</t>
        </is>
      </c>
      <c r="G15" s="12" t="inlineStr">
        <is>
          <t>NONE</t>
        </is>
      </c>
      <c r="H15" s="11" t="inlineStr">
        <is>
          <t>Sale Tender</t>
        </is>
      </c>
      <c r="I15" s="12" t="inlineStr">
        <is>
          <t>Cash</t>
        </is>
      </c>
      <c r="J15" s="20" t="n">
        <v>4</v>
      </c>
      <c r="K15" s="25" t="n">
        <v>45.87</v>
      </c>
      <c r="L15" s="25" t="n">
        <v>45.87</v>
      </c>
      <c r="M15" s="24" t="n">
        <v>46305.44398148148</v>
      </c>
      <c r="N15" s="26">
        <f>IFERROR(IF(OR(ISBLANK(M15), M15="", ISBLANK(C15), C15=""), 0, MAX(0, ROUND((C15-M15)*86400, 0))), 0)</f>
        <v/>
      </c>
      <c r="O15" s="11">
        <f>IF(H15="Post-Bill Void", IF(AND(G15="M-904", I15="Cash"), "EXCEPTION: Concurrent Cash Void", IF(AND(I15="Cash", N15&gt;120), "CRITICAL: Delayed Cash Void", IF(N15&gt;120, "EXCEPTION: Delayed Void", "Standard Void"))), IF(H15="Line Item Void", IF(I15="Cash", "EXCEPTION: Cash Line Void", "Standard Line Void"), IF(H15="No-Sale Drawer Opening", "DRAWER OPENING", "Standard Sale")))</f>
        <v/>
      </c>
    </row>
    <row r="16" ht="18" customHeight="1">
      <c r="A16" s="15" t="inlineStr">
        <is>
          <t>EVT-10012</t>
        </is>
      </c>
      <c r="B16" s="15" t="inlineStr">
        <is>
          <t>TX-80012</t>
        </is>
      </c>
      <c r="C16" s="27" t="n">
        <v>46305.45206018518</v>
      </c>
      <c r="D16" s="15" t="inlineStr">
        <is>
          <t>BR-04</t>
        </is>
      </c>
      <c r="E16" s="15" t="inlineStr">
        <is>
          <t>T-01</t>
        </is>
      </c>
      <c r="F16" s="15" t="inlineStr">
        <is>
          <t>C-113</t>
        </is>
      </c>
      <c r="G16" s="15" t="inlineStr">
        <is>
          <t>NONE</t>
        </is>
      </c>
      <c r="H16" s="14" t="inlineStr">
        <is>
          <t>Sale Tender</t>
        </is>
      </c>
      <c r="I16" s="15" t="inlineStr">
        <is>
          <t>Card</t>
        </is>
      </c>
      <c r="J16" s="17" t="n">
        <v>5</v>
      </c>
      <c r="K16" s="28" t="n">
        <v>52.35</v>
      </c>
      <c r="L16" s="28" t="n">
        <v>52.35</v>
      </c>
      <c r="M16" s="27" t="n">
        <v>46305.45141203704</v>
      </c>
      <c r="N16" s="29">
        <f>IFERROR(IF(OR(ISBLANK(M16), M16="", ISBLANK(C16), C16=""), 0, MAX(0, ROUND((C16-M16)*86400, 0))), 0)</f>
        <v/>
      </c>
      <c r="O16" s="14">
        <f>IF(H16="Post-Bill Void", IF(AND(G16="M-904", I16="Cash"), "EXCEPTION: Concurrent Cash Void", IF(AND(I16="Cash", N16&gt;120), "CRITICAL: Delayed Cash Void", IF(N16&gt;120, "EXCEPTION: Delayed Void", "Standard Void"))), IF(H16="Line Item Void", IF(I16="Cash", "EXCEPTION: Cash Line Void", "Standard Line Void"), IF(H16="No-Sale Drawer Opening", "DRAWER OPENING", "Standard Sale")))</f>
        <v/>
      </c>
    </row>
    <row r="17" ht="18" customHeight="1">
      <c r="A17" s="12" t="inlineStr">
        <is>
          <t>EVT-10013</t>
        </is>
      </c>
      <c r="B17" s="12" t="inlineStr">
        <is>
          <t>TX-80013</t>
        </is>
      </c>
      <c r="C17" s="24" t="n">
        <v>46305.45876157407</v>
      </c>
      <c r="D17" s="12" t="inlineStr">
        <is>
          <t>BR-04</t>
        </is>
      </c>
      <c r="E17" s="12" t="inlineStr">
        <is>
          <t>T-01</t>
        </is>
      </c>
      <c r="F17" s="12" t="inlineStr">
        <is>
          <t>C-115</t>
        </is>
      </c>
      <c r="G17" s="12" t="inlineStr">
        <is>
          <t>NONE</t>
        </is>
      </c>
      <c r="H17" s="11" t="inlineStr">
        <is>
          <t>Sale Tender</t>
        </is>
      </c>
      <c r="I17" s="12" t="inlineStr">
        <is>
          <t>Delivery Aggregator</t>
        </is>
      </c>
      <c r="J17" s="20" t="n">
        <v>2</v>
      </c>
      <c r="K17" s="25" t="n">
        <v>24.64</v>
      </c>
      <c r="L17" s="25" t="n">
        <v>24.64</v>
      </c>
      <c r="M17" s="24" t="n">
        <v>46305.45814814815</v>
      </c>
      <c r="N17" s="26">
        <f>IFERROR(IF(OR(ISBLANK(M17), M17="", ISBLANK(C17), C17=""), 0, MAX(0, ROUND((C17-M17)*86400, 0))), 0)</f>
        <v/>
      </c>
      <c r="O17" s="11">
        <f>IF(H17="Post-Bill Void", IF(AND(G17="M-904", I17="Cash"), "EXCEPTION: Concurrent Cash Void", IF(AND(I17="Cash", N17&gt;120), "CRITICAL: Delayed Cash Void", IF(N17&gt;120, "EXCEPTION: Delayed Void", "Standard Void"))), IF(H17="Line Item Void", IF(I17="Cash", "EXCEPTION: Cash Line Void", "Standard Line Void"), IF(H17="No-Sale Drawer Opening", "DRAWER OPENING", "Standard Sale")))</f>
        <v/>
      </c>
    </row>
    <row r="18" ht="18" customHeight="1">
      <c r="A18" s="15" t="inlineStr">
        <is>
          <t>EVT-10014</t>
        </is>
      </c>
      <c r="B18" s="15" t="inlineStr">
        <is>
          <t>TX-80014</t>
        </is>
      </c>
      <c r="C18" s="27" t="n">
        <v>46305.46533564815</v>
      </c>
      <c r="D18" s="15" t="inlineStr">
        <is>
          <t>BR-01</t>
        </is>
      </c>
      <c r="E18" s="15" t="inlineStr">
        <is>
          <t>T-01</t>
        </is>
      </c>
      <c r="F18" s="15" t="inlineStr">
        <is>
          <t>C-101</t>
        </is>
      </c>
      <c r="G18" s="15" t="inlineStr">
        <is>
          <t>NONE</t>
        </is>
      </c>
      <c r="H18" s="14" t="inlineStr">
        <is>
          <t>Sale Tender</t>
        </is>
      </c>
      <c r="I18" s="15" t="inlineStr">
        <is>
          <t>Card</t>
        </is>
      </c>
      <c r="J18" s="17" t="n">
        <v>4</v>
      </c>
      <c r="K18" s="28" t="n">
        <v>51.89</v>
      </c>
      <c r="L18" s="28" t="n">
        <v>51.89</v>
      </c>
      <c r="M18" s="27" t="n">
        <v>46305.46481481481</v>
      </c>
      <c r="N18" s="29">
        <f>IFERROR(IF(OR(ISBLANK(M18), M18="", ISBLANK(C18), C18=""), 0, MAX(0, ROUND((C18-M18)*86400, 0))), 0)</f>
        <v/>
      </c>
      <c r="O18" s="14">
        <f>IF(H18="Post-Bill Void", IF(AND(G18="M-904", I18="Cash"), "EXCEPTION: Concurrent Cash Void", IF(AND(I18="Cash", N18&gt;120), "CRITICAL: Delayed Cash Void", IF(N18&gt;120, "EXCEPTION: Delayed Void", "Standard Void"))), IF(H18="Line Item Void", IF(I18="Cash", "EXCEPTION: Cash Line Void", "Standard Line Void"), IF(H18="No-Sale Drawer Opening", "DRAWER OPENING", "Standard Sale")))</f>
        <v/>
      </c>
    </row>
    <row r="19" ht="18" customHeight="1">
      <c r="A19" s="12" t="inlineStr">
        <is>
          <t>EVT-10015</t>
        </is>
      </c>
      <c r="B19" s="12" t="inlineStr">
        <is>
          <t>TX-80015</t>
        </is>
      </c>
      <c r="C19" s="24" t="n">
        <v>46305.4725</v>
      </c>
      <c r="D19" s="12" t="inlineStr">
        <is>
          <t>BR-04</t>
        </is>
      </c>
      <c r="E19" s="12" t="inlineStr">
        <is>
          <t>T-02</t>
        </is>
      </c>
      <c r="F19" s="12" t="inlineStr">
        <is>
          <t>C-115</t>
        </is>
      </c>
      <c r="G19" s="12" t="inlineStr">
        <is>
          <t>NONE</t>
        </is>
      </c>
      <c r="H19" s="11" t="inlineStr">
        <is>
          <t>Sale Tender</t>
        </is>
      </c>
      <c r="I19" s="12" t="inlineStr">
        <is>
          <t>Cash</t>
        </is>
      </c>
      <c r="J19" s="20" t="n">
        <v>5</v>
      </c>
      <c r="K19" s="25" t="n">
        <v>74.78</v>
      </c>
      <c r="L19" s="25" t="n">
        <v>74.78</v>
      </c>
      <c r="M19" s="24" t="n">
        <v>46305.47143518519</v>
      </c>
      <c r="N19" s="26">
        <f>IFERROR(IF(OR(ISBLANK(M19), M19="", ISBLANK(C19), C19=""), 0, MAX(0, ROUND((C19-M19)*86400, 0))), 0)</f>
        <v/>
      </c>
      <c r="O19" s="11">
        <f>IF(H19="Post-Bill Void", IF(AND(G19="M-904", I19="Cash"), "EXCEPTION: Concurrent Cash Void", IF(AND(I19="Cash", N19&gt;120), "CRITICAL: Delayed Cash Void", IF(N19&gt;120, "EXCEPTION: Delayed Void", "Standard Void"))), IF(H19="Line Item Void", IF(I19="Cash", "EXCEPTION: Cash Line Void", "Standard Line Void"), IF(H19="No-Sale Drawer Opening", "DRAWER OPENING", "Standard Sale")))</f>
        <v/>
      </c>
    </row>
    <row r="20" ht="18" customHeight="1">
      <c r="A20" s="15" t="inlineStr">
        <is>
          <t>EVT-10016</t>
        </is>
      </c>
      <c r="B20" s="15" t="inlineStr">
        <is>
          <t>TX-80016</t>
        </is>
      </c>
      <c r="C20" s="27" t="n">
        <v>46305.47916666666</v>
      </c>
      <c r="D20" s="15" t="inlineStr">
        <is>
          <t>BR-01</t>
        </is>
      </c>
      <c r="E20" s="15" t="inlineStr">
        <is>
          <t>T-02</t>
        </is>
      </c>
      <c r="F20" s="15" t="inlineStr">
        <is>
          <t>C-103</t>
        </is>
      </c>
      <c r="G20" s="15" t="inlineStr">
        <is>
          <t>NONE</t>
        </is>
      </c>
      <c r="H20" s="14" t="inlineStr">
        <is>
          <t>Sale Tender</t>
        </is>
      </c>
      <c r="I20" s="15" t="inlineStr">
        <is>
          <t>Cash</t>
        </is>
      </c>
      <c r="J20" s="17" t="n">
        <v>4</v>
      </c>
      <c r="K20" s="28" t="n">
        <v>38.74</v>
      </c>
      <c r="L20" s="28" t="n">
        <v>38.74</v>
      </c>
      <c r="M20" s="27" t="n">
        <v>46305.47837962963</v>
      </c>
      <c r="N20" s="29">
        <f>IFERROR(IF(OR(ISBLANK(M20), M20="", ISBLANK(C20), C20=""), 0, MAX(0, ROUND((C20-M20)*86400, 0))), 0)</f>
        <v/>
      </c>
      <c r="O20" s="14">
        <f>IF(H20="Post-Bill Void", IF(AND(G20="M-904", I20="Cash"), "EXCEPTION: Concurrent Cash Void", IF(AND(I20="Cash", N20&gt;120), "CRITICAL: Delayed Cash Void", IF(N20&gt;120, "EXCEPTION: Delayed Void", "Standard Void"))), IF(H20="Line Item Void", IF(I20="Cash", "EXCEPTION: Cash Line Void", "Standard Line Void"), IF(H20="No-Sale Drawer Opening", "DRAWER OPENING", "Standard Sale")))</f>
        <v/>
      </c>
    </row>
    <row r="21" ht="18" customHeight="1">
      <c r="A21" s="12" t="inlineStr">
        <is>
          <t>EVT-10017</t>
        </is>
      </c>
      <c r="B21" s="12" t="inlineStr">
        <is>
          <t>TX-80017</t>
        </is>
      </c>
      <c r="C21" s="24" t="n">
        <v>46305.48611111111</v>
      </c>
      <c r="D21" s="12" t="inlineStr">
        <is>
          <t>BR-03</t>
        </is>
      </c>
      <c r="E21" s="12" t="inlineStr">
        <is>
          <t>T-01</t>
        </is>
      </c>
      <c r="F21" s="12" t="inlineStr">
        <is>
          <t>C-110</t>
        </is>
      </c>
      <c r="G21" s="12" t="inlineStr">
        <is>
          <t>NONE</t>
        </is>
      </c>
      <c r="H21" s="11" t="inlineStr">
        <is>
          <t>Sale Tender</t>
        </is>
      </c>
      <c r="I21" s="12" t="inlineStr">
        <is>
          <t>Delivery Aggregator</t>
        </is>
      </c>
      <c r="J21" s="20" t="n">
        <v>3</v>
      </c>
      <c r="K21" s="25" t="n">
        <v>44.44</v>
      </c>
      <c r="L21" s="25" t="n">
        <v>44.44</v>
      </c>
      <c r="M21" s="24" t="n">
        <v>46305.48567129629</v>
      </c>
      <c r="N21" s="26">
        <f>IFERROR(IF(OR(ISBLANK(M21), M21="", ISBLANK(C21), C21=""), 0, MAX(0, ROUND((C21-M21)*86400, 0))), 0)</f>
        <v/>
      </c>
      <c r="O21" s="11">
        <f>IF(H21="Post-Bill Void", IF(AND(G21="M-904", I21="Cash"), "EXCEPTION: Concurrent Cash Void", IF(AND(I21="Cash", N21&gt;120), "CRITICAL: Delayed Cash Void", IF(N21&gt;120, "EXCEPTION: Delayed Void", "Standard Void"))), IF(H21="Line Item Void", IF(I21="Cash", "EXCEPTION: Cash Line Void", "Standard Line Void"), IF(H21="No-Sale Drawer Opening", "DRAWER OPENING", "Standard Sale")))</f>
        <v/>
      </c>
    </row>
    <row r="22" ht="18" customHeight="1">
      <c r="A22" s="15" t="inlineStr">
        <is>
          <t>EVT-10018</t>
        </is>
      </c>
      <c r="B22" s="15" t="inlineStr">
        <is>
          <t>TX-80018</t>
        </is>
      </c>
      <c r="C22" s="27" t="n">
        <v>46305.49342592592</v>
      </c>
      <c r="D22" s="15" t="inlineStr">
        <is>
          <t>BR-02</t>
        </is>
      </c>
      <c r="E22" s="15" t="inlineStr">
        <is>
          <t>T-01</t>
        </is>
      </c>
      <c r="F22" s="15" t="inlineStr">
        <is>
          <t>C-106</t>
        </is>
      </c>
      <c r="G22" s="15" t="inlineStr">
        <is>
          <t>NONE</t>
        </is>
      </c>
      <c r="H22" s="14" t="inlineStr">
        <is>
          <t>Sale Tender</t>
        </is>
      </c>
      <c r="I22" s="15" t="inlineStr">
        <is>
          <t>Card</t>
        </is>
      </c>
      <c r="J22" s="17" t="n">
        <v>5</v>
      </c>
      <c r="K22" s="28" t="n">
        <v>76.94</v>
      </c>
      <c r="L22" s="28" t="n">
        <v>76.94</v>
      </c>
      <c r="M22" s="27" t="n">
        <v>46305.49290509259</v>
      </c>
      <c r="N22" s="29">
        <f>IFERROR(IF(OR(ISBLANK(M22), M22="", ISBLANK(C22), C22=""), 0, MAX(0, ROUND((C22-M22)*86400, 0))), 0)</f>
        <v/>
      </c>
      <c r="O22" s="14">
        <f>IF(H22="Post-Bill Void", IF(AND(G22="M-904", I22="Cash"), "EXCEPTION: Concurrent Cash Void", IF(AND(I22="Cash", N22&gt;120), "CRITICAL: Delayed Cash Void", IF(N22&gt;120, "EXCEPTION: Delayed Void", "Standard Void"))), IF(H22="Line Item Void", IF(I22="Cash", "EXCEPTION: Cash Line Void", "Standard Line Void"), IF(H22="No-Sale Drawer Opening", "DRAWER OPENING", "Standard Sale")))</f>
        <v/>
      </c>
    </row>
    <row r="23" ht="18" customHeight="1">
      <c r="A23" s="12" t="inlineStr">
        <is>
          <t>EVT-10019</t>
        </is>
      </c>
      <c r="B23" s="12" t="inlineStr">
        <is>
          <t>TX-80019</t>
        </is>
      </c>
      <c r="C23" s="24" t="n">
        <v>46305.50043981482</v>
      </c>
      <c r="D23" s="12" t="inlineStr">
        <is>
          <t>BR-03</t>
        </is>
      </c>
      <c r="E23" s="12" t="inlineStr">
        <is>
          <t>T-01</t>
        </is>
      </c>
      <c r="F23" s="12" t="inlineStr">
        <is>
          <t>C-112</t>
        </is>
      </c>
      <c r="G23" s="12" t="inlineStr">
        <is>
          <t>NONE</t>
        </is>
      </c>
      <c r="H23" s="11" t="inlineStr">
        <is>
          <t>Sale Tender</t>
        </is>
      </c>
      <c r="I23" s="12" t="inlineStr">
        <is>
          <t>Delivery Aggregator</t>
        </is>
      </c>
      <c r="J23" s="20" t="n">
        <v>3</v>
      </c>
      <c r="K23" s="25" t="n">
        <v>30.89</v>
      </c>
      <c r="L23" s="25" t="n">
        <v>30.89</v>
      </c>
      <c r="M23" s="24" t="n">
        <v>46305.49961805555</v>
      </c>
      <c r="N23" s="26">
        <f>IFERROR(IF(OR(ISBLANK(M23), M23="", ISBLANK(C23), C23=""), 0, MAX(0, ROUND((C23-M23)*86400, 0))), 0)</f>
        <v/>
      </c>
      <c r="O23" s="11">
        <f>IF(H23="Post-Bill Void", IF(AND(G23="M-904", I23="Cash"), "EXCEPTION: Concurrent Cash Void", IF(AND(I23="Cash", N23&gt;120), "CRITICAL: Delayed Cash Void", IF(N23&gt;120, "EXCEPTION: Delayed Void", "Standard Void"))), IF(H23="Line Item Void", IF(I23="Cash", "EXCEPTION: Cash Line Void", "Standard Line Void"), IF(H23="No-Sale Drawer Opening", "DRAWER OPENING", "Standard Sale")))</f>
        <v/>
      </c>
    </row>
    <row r="24" ht="18" customHeight="1">
      <c r="A24" s="15" t="inlineStr">
        <is>
          <t>EVT-10020</t>
        </is>
      </c>
      <c r="B24" s="15" t="inlineStr">
        <is>
          <t>TX-80020</t>
        </is>
      </c>
      <c r="C24" s="27" t="n">
        <v>46305.50711805555</v>
      </c>
      <c r="D24" s="15" t="inlineStr">
        <is>
          <t>BR-01</t>
        </is>
      </c>
      <c r="E24" s="15" t="inlineStr">
        <is>
          <t>T-02</t>
        </is>
      </c>
      <c r="F24" s="15" t="inlineStr">
        <is>
          <t>C-101</t>
        </is>
      </c>
      <c r="G24" s="15" t="inlineStr">
        <is>
          <t>NONE</t>
        </is>
      </c>
      <c r="H24" s="14" t="inlineStr">
        <is>
          <t>Sale Tender</t>
        </is>
      </c>
      <c r="I24" s="15" t="inlineStr">
        <is>
          <t>Delivery Aggregator</t>
        </is>
      </c>
      <c r="J24" s="17" t="n">
        <v>5</v>
      </c>
      <c r="K24" s="28" t="n">
        <v>71.22</v>
      </c>
      <c r="L24" s="28" t="n">
        <v>71.22</v>
      </c>
      <c r="M24" s="27" t="n">
        <v>46305.50673611111</v>
      </c>
      <c r="N24" s="29">
        <f>IFERROR(IF(OR(ISBLANK(M24), M24="", ISBLANK(C24), C24=""), 0, MAX(0, ROUND((C24-M24)*86400, 0))), 0)</f>
        <v/>
      </c>
      <c r="O24" s="14">
        <f>IF(H24="Post-Bill Void", IF(AND(G24="M-904", I24="Cash"), "EXCEPTION: Concurrent Cash Void", IF(AND(I24="Cash", N24&gt;120), "CRITICAL: Delayed Cash Void", IF(N24&gt;120, "EXCEPTION: Delayed Void", "Standard Void"))), IF(H24="Line Item Void", IF(I24="Cash", "EXCEPTION: Cash Line Void", "Standard Line Void"), IF(H24="No-Sale Drawer Opening", "DRAWER OPENING", "Standard Sale")))</f>
        <v/>
      </c>
    </row>
    <row r="25" ht="18" customHeight="1">
      <c r="A25" s="12" t="inlineStr">
        <is>
          <t>EVT-10021</t>
        </is>
      </c>
      <c r="B25" s="12" t="inlineStr">
        <is>
          <t>TX-80021</t>
        </is>
      </c>
      <c r="C25" s="24" t="n">
        <v>46305.51398148148</v>
      </c>
      <c r="D25" s="12" t="inlineStr">
        <is>
          <t>BR-04</t>
        </is>
      </c>
      <c r="E25" s="12" t="inlineStr">
        <is>
          <t>T-01</t>
        </is>
      </c>
      <c r="F25" s="12" t="inlineStr">
        <is>
          <t>C-115</t>
        </is>
      </c>
      <c r="G25" s="12" t="inlineStr">
        <is>
          <t>NONE</t>
        </is>
      </c>
      <c r="H25" s="11" t="inlineStr">
        <is>
          <t>Sale Tender</t>
        </is>
      </c>
      <c r="I25" s="12" t="inlineStr">
        <is>
          <t>Delivery Aggregator</t>
        </is>
      </c>
      <c r="J25" s="20" t="n">
        <v>4</v>
      </c>
      <c r="K25" s="25" t="n">
        <v>62.93</v>
      </c>
      <c r="L25" s="25" t="n">
        <v>62.93</v>
      </c>
      <c r="M25" s="24" t="n">
        <v>46305.51291666667</v>
      </c>
      <c r="N25" s="26">
        <f>IFERROR(IF(OR(ISBLANK(M25), M25="", ISBLANK(C25), C25=""), 0, MAX(0, ROUND((C25-M25)*86400, 0))), 0)</f>
        <v/>
      </c>
      <c r="O25" s="11">
        <f>IF(H25="Post-Bill Void", IF(AND(G25="M-904", I25="Cash"), "EXCEPTION: Concurrent Cash Void", IF(AND(I25="Cash", N25&gt;120), "CRITICAL: Delayed Cash Void", IF(N25&gt;120, "EXCEPTION: Delayed Void", "Standard Void"))), IF(H25="Line Item Void", IF(I25="Cash", "EXCEPTION: Cash Line Void", "Standard Line Void"), IF(H25="No-Sale Drawer Opening", "DRAWER OPENING", "Standard Sale")))</f>
        <v/>
      </c>
    </row>
    <row r="26" ht="18" customHeight="1">
      <c r="A26" s="15" t="inlineStr">
        <is>
          <t>EVT-10022</t>
        </is>
      </c>
      <c r="B26" s="15" t="inlineStr">
        <is>
          <t>TX-80022</t>
        </is>
      </c>
      <c r="C26" s="27" t="n">
        <v>46305.52151620371</v>
      </c>
      <c r="D26" s="15" t="inlineStr">
        <is>
          <t>BR-02</t>
        </is>
      </c>
      <c r="E26" s="15" t="inlineStr">
        <is>
          <t>T-01</t>
        </is>
      </c>
      <c r="F26" s="15" t="inlineStr">
        <is>
          <t>C-107</t>
        </is>
      </c>
      <c r="G26" s="15" t="inlineStr">
        <is>
          <t>NONE</t>
        </is>
      </c>
      <c r="H26" s="14" t="inlineStr">
        <is>
          <t>Sale Tender</t>
        </is>
      </c>
      <c r="I26" s="15" t="inlineStr">
        <is>
          <t>Card</t>
        </is>
      </c>
      <c r="J26" s="17" t="n">
        <v>5</v>
      </c>
      <c r="K26" s="28" t="n">
        <v>59.43</v>
      </c>
      <c r="L26" s="28" t="n">
        <v>59.43</v>
      </c>
      <c r="M26" s="27" t="n">
        <v>46305.52068287037</v>
      </c>
      <c r="N26" s="29">
        <f>IFERROR(IF(OR(ISBLANK(M26), M26="", ISBLANK(C26), C26=""), 0, MAX(0, ROUND((C26-M26)*86400, 0))), 0)</f>
        <v/>
      </c>
      <c r="O26" s="14">
        <f>IF(H26="Post-Bill Void", IF(AND(G26="M-904", I26="Cash"), "EXCEPTION: Concurrent Cash Void", IF(AND(I26="Cash", N26&gt;120), "CRITICAL: Delayed Cash Void", IF(N26&gt;120, "EXCEPTION: Delayed Void", "Standard Void"))), IF(H26="Line Item Void", IF(I26="Cash", "EXCEPTION: Cash Line Void", "Standard Line Void"), IF(H26="No-Sale Drawer Opening", "DRAWER OPENING", "Standard Sale")))</f>
        <v/>
      </c>
    </row>
    <row r="27" ht="18" customHeight="1">
      <c r="A27" s="12" t="inlineStr">
        <is>
          <t>EVT-10023</t>
        </is>
      </c>
      <c r="B27" s="12" t="inlineStr">
        <is>
          <t>TX-80023</t>
        </is>
      </c>
      <c r="C27" s="24" t="n">
        <v>46305.52795138889</v>
      </c>
      <c r="D27" s="12" t="inlineStr">
        <is>
          <t>BR-02</t>
        </is>
      </c>
      <c r="E27" s="12" t="inlineStr">
        <is>
          <t>T-01</t>
        </is>
      </c>
      <c r="F27" s="12" t="inlineStr">
        <is>
          <t>C-105</t>
        </is>
      </c>
      <c r="G27" s="12" t="inlineStr">
        <is>
          <t>NONE</t>
        </is>
      </c>
      <c r="H27" s="11" t="inlineStr">
        <is>
          <t>Sale Tender</t>
        </is>
      </c>
      <c r="I27" s="12" t="inlineStr">
        <is>
          <t>Cash</t>
        </is>
      </c>
      <c r="J27" s="20" t="n">
        <v>2</v>
      </c>
      <c r="K27" s="25" t="n">
        <v>17.11</v>
      </c>
      <c r="L27" s="25" t="n">
        <v>17.11</v>
      </c>
      <c r="M27" s="24" t="n">
        <v>46305.52685185185</v>
      </c>
      <c r="N27" s="26">
        <f>IFERROR(IF(OR(ISBLANK(M27), M27="", ISBLANK(C27), C27=""), 0, MAX(0, ROUND((C27-M27)*86400, 0))), 0)</f>
        <v/>
      </c>
      <c r="O27" s="11">
        <f>IF(H27="Post-Bill Void", IF(AND(G27="M-904", I27="Cash"), "EXCEPTION: Concurrent Cash Void", IF(AND(I27="Cash", N27&gt;120), "CRITICAL: Delayed Cash Void", IF(N27&gt;120, "EXCEPTION: Delayed Void", "Standard Void"))), IF(H27="Line Item Void", IF(I27="Cash", "EXCEPTION: Cash Line Void", "Standard Line Void"), IF(H27="No-Sale Drawer Opening", "DRAWER OPENING", "Standard Sale")))</f>
        <v/>
      </c>
    </row>
    <row r="28" ht="18" customHeight="1">
      <c r="A28" s="15" t="inlineStr">
        <is>
          <t>EVT-10024</t>
        </is>
      </c>
      <c r="B28" s="15" t="inlineStr">
        <is>
          <t>TX-80024</t>
        </is>
      </c>
      <c r="C28" s="27" t="n">
        <v>46305.53524305556</v>
      </c>
      <c r="D28" s="15" t="inlineStr">
        <is>
          <t>BR-01</t>
        </is>
      </c>
      <c r="E28" s="15" t="inlineStr">
        <is>
          <t>T-01</t>
        </is>
      </c>
      <c r="F28" s="15" t="inlineStr">
        <is>
          <t>C-102</t>
        </is>
      </c>
      <c r="G28" s="15" t="inlineStr">
        <is>
          <t>NONE</t>
        </is>
      </c>
      <c r="H28" s="14" t="inlineStr">
        <is>
          <t>Sale Tender</t>
        </is>
      </c>
      <c r="I28" s="15" t="inlineStr">
        <is>
          <t>Delivery Aggregator</t>
        </is>
      </c>
      <c r="J28" s="17" t="n">
        <v>1</v>
      </c>
      <c r="K28" s="28" t="n">
        <v>12.36</v>
      </c>
      <c r="L28" s="28" t="n">
        <v>12.36</v>
      </c>
      <c r="M28" s="27" t="n">
        <v>46305.5349074074</v>
      </c>
      <c r="N28" s="29">
        <f>IFERROR(IF(OR(ISBLANK(M28), M28="", ISBLANK(C28), C28=""), 0, MAX(0, ROUND((C28-M28)*86400, 0))), 0)</f>
        <v/>
      </c>
      <c r="O28" s="14">
        <f>IF(H28="Post-Bill Void", IF(AND(G28="M-904", I28="Cash"), "EXCEPTION: Concurrent Cash Void", IF(AND(I28="Cash", N28&gt;120), "CRITICAL: Delayed Cash Void", IF(N28&gt;120, "EXCEPTION: Delayed Void", "Standard Void"))), IF(H28="Line Item Void", IF(I28="Cash", "EXCEPTION: Cash Line Void", "Standard Line Void"), IF(H28="No-Sale Drawer Opening", "DRAWER OPENING", "Standard Sale")))</f>
        <v/>
      </c>
    </row>
    <row r="29" ht="18" customHeight="1">
      <c r="A29" s="12" t="inlineStr">
        <is>
          <t>EVT-10025</t>
        </is>
      </c>
      <c r="B29" s="12" t="inlineStr">
        <is>
          <t>TX-80025</t>
        </is>
      </c>
      <c r="C29" s="24" t="n">
        <v>46305.54186342593</v>
      </c>
      <c r="D29" s="12" t="inlineStr">
        <is>
          <t>BR-04</t>
        </is>
      </c>
      <c r="E29" s="12" t="inlineStr">
        <is>
          <t>T-01</t>
        </is>
      </c>
      <c r="F29" s="12" t="inlineStr">
        <is>
          <t>C-113</t>
        </is>
      </c>
      <c r="G29" s="12" t="inlineStr">
        <is>
          <t>NONE</t>
        </is>
      </c>
      <c r="H29" s="11" t="inlineStr">
        <is>
          <t>Sale Tender</t>
        </is>
      </c>
      <c r="I29" s="12" t="inlineStr">
        <is>
          <t>Cash</t>
        </is>
      </c>
      <c r="J29" s="20" t="n">
        <v>4</v>
      </c>
      <c r="K29" s="25" t="n">
        <v>58.22</v>
      </c>
      <c r="L29" s="25" t="n">
        <v>58.22</v>
      </c>
      <c r="M29" s="24" t="n">
        <v>46305.54087962963</v>
      </c>
      <c r="N29" s="26">
        <f>IFERROR(IF(OR(ISBLANK(M29), M29="", ISBLANK(C29), C29=""), 0, MAX(0, ROUND((C29-M29)*86400, 0))), 0)</f>
        <v/>
      </c>
      <c r="O29" s="11">
        <f>IF(H29="Post-Bill Void", IF(AND(G29="M-904", I29="Cash"), "EXCEPTION: Concurrent Cash Void", IF(AND(I29="Cash", N29&gt;120), "CRITICAL: Delayed Cash Void", IF(N29&gt;120, "EXCEPTION: Delayed Void", "Standard Void"))), IF(H29="Line Item Void", IF(I29="Cash", "EXCEPTION: Cash Line Void", "Standard Line Void"), IF(H29="No-Sale Drawer Opening", "DRAWER OPENING", "Standard Sale")))</f>
        <v/>
      </c>
    </row>
    <row r="30" ht="18" customHeight="1">
      <c r="A30" s="15" t="inlineStr">
        <is>
          <t>EVT-10026</t>
        </is>
      </c>
      <c r="B30" s="15" t="inlineStr">
        <is>
          <t>TX-80026</t>
        </is>
      </c>
      <c r="C30" s="27" t="n">
        <v>46305.54875</v>
      </c>
      <c r="D30" s="15" t="inlineStr">
        <is>
          <t>BR-01</t>
        </is>
      </c>
      <c r="E30" s="15" t="inlineStr">
        <is>
          <t>T-02</t>
        </is>
      </c>
      <c r="F30" s="15" t="inlineStr">
        <is>
          <t>C-101</t>
        </is>
      </c>
      <c r="G30" s="15" t="inlineStr">
        <is>
          <t>NONE</t>
        </is>
      </c>
      <c r="H30" s="14" t="inlineStr">
        <is>
          <t>Sale Tender</t>
        </is>
      </c>
      <c r="I30" s="15" t="inlineStr">
        <is>
          <t>Card</t>
        </is>
      </c>
      <c r="J30" s="17" t="n">
        <v>4</v>
      </c>
      <c r="K30" s="28" t="n">
        <v>59.92</v>
      </c>
      <c r="L30" s="28" t="n">
        <v>59.92</v>
      </c>
      <c r="M30" s="27" t="n">
        <v>46305.54793981482</v>
      </c>
      <c r="N30" s="29">
        <f>IFERROR(IF(OR(ISBLANK(M30), M30="", ISBLANK(C30), C30=""), 0, MAX(0, ROUND((C30-M30)*86400, 0))), 0)</f>
        <v/>
      </c>
      <c r="O30" s="14">
        <f>IF(H30="Post-Bill Void", IF(AND(G30="M-904", I30="Cash"), "EXCEPTION: Concurrent Cash Void", IF(AND(I30="Cash", N30&gt;120), "CRITICAL: Delayed Cash Void", IF(N30&gt;120, "EXCEPTION: Delayed Void", "Standard Void"))), IF(H30="Line Item Void", IF(I30="Cash", "EXCEPTION: Cash Line Void", "Standard Line Void"), IF(H30="No-Sale Drawer Opening", "DRAWER OPENING", "Standard Sale")))</f>
        <v/>
      </c>
    </row>
    <row r="31" ht="18" customHeight="1">
      <c r="A31" s="12" t="inlineStr">
        <is>
          <t>EVT-10027</t>
        </is>
      </c>
      <c r="B31" s="12" t="inlineStr">
        <is>
          <t>TX-80027</t>
        </is>
      </c>
      <c r="C31" s="24" t="n">
        <v>46305.55559027778</v>
      </c>
      <c r="D31" s="12" t="inlineStr">
        <is>
          <t>BR-01</t>
        </is>
      </c>
      <c r="E31" s="12" t="inlineStr">
        <is>
          <t>T-01</t>
        </is>
      </c>
      <c r="F31" s="12" t="inlineStr">
        <is>
          <t>C-101</t>
        </is>
      </c>
      <c r="G31" s="12" t="inlineStr">
        <is>
          <t>NONE</t>
        </is>
      </c>
      <c r="H31" s="11" t="inlineStr">
        <is>
          <t>Sale Tender</t>
        </is>
      </c>
      <c r="I31" s="12" t="inlineStr">
        <is>
          <t>Card</t>
        </is>
      </c>
      <c r="J31" s="20" t="n">
        <v>1</v>
      </c>
      <c r="K31" s="25" t="n">
        <v>10.36</v>
      </c>
      <c r="L31" s="25" t="n">
        <v>10.36</v>
      </c>
      <c r="M31" s="24" t="n">
        <v>46305.55480324074</v>
      </c>
      <c r="N31" s="26">
        <f>IFERROR(IF(OR(ISBLANK(M31), M31="", ISBLANK(C31), C31=""), 0, MAX(0, ROUND((C31-M31)*86400, 0))), 0)</f>
        <v/>
      </c>
      <c r="O31" s="11">
        <f>IF(H31="Post-Bill Void", IF(AND(G31="M-904", I31="Cash"), "EXCEPTION: Concurrent Cash Void", IF(AND(I31="Cash", N31&gt;120), "CRITICAL: Delayed Cash Void", IF(N31&gt;120, "EXCEPTION: Delayed Void", "Standard Void"))), IF(H31="Line Item Void", IF(I31="Cash", "EXCEPTION: Cash Line Void", "Standard Line Void"), IF(H31="No-Sale Drawer Opening", "DRAWER OPENING", "Standard Sale")))</f>
        <v/>
      </c>
    </row>
    <row r="32" ht="18" customHeight="1">
      <c r="A32" s="15" t="inlineStr">
        <is>
          <t>EVT-10028</t>
        </is>
      </c>
      <c r="B32" s="15" t="inlineStr">
        <is>
          <t>TX-80028</t>
        </is>
      </c>
      <c r="C32" s="27" t="n">
        <v>46305.56263888889</v>
      </c>
      <c r="D32" s="15" t="inlineStr">
        <is>
          <t>BR-04</t>
        </is>
      </c>
      <c r="E32" s="15" t="inlineStr">
        <is>
          <t>T-01</t>
        </is>
      </c>
      <c r="F32" s="15" t="inlineStr">
        <is>
          <t>C-113</t>
        </is>
      </c>
      <c r="G32" s="15" t="inlineStr">
        <is>
          <t>NONE</t>
        </is>
      </c>
      <c r="H32" s="14" t="inlineStr">
        <is>
          <t>Sale Tender</t>
        </is>
      </c>
      <c r="I32" s="15" t="inlineStr">
        <is>
          <t>Card</t>
        </is>
      </c>
      <c r="J32" s="17" t="n">
        <v>1</v>
      </c>
      <c r="K32" s="28" t="n">
        <v>11.82</v>
      </c>
      <c r="L32" s="28" t="n">
        <v>11.82</v>
      </c>
      <c r="M32" s="27" t="n">
        <v>46305.56194444445</v>
      </c>
      <c r="N32" s="29">
        <f>IFERROR(IF(OR(ISBLANK(M32), M32="", ISBLANK(C32), C32=""), 0, MAX(0, ROUND((C32-M32)*86400, 0))), 0)</f>
        <v/>
      </c>
      <c r="O32" s="14">
        <f>IF(H32="Post-Bill Void", IF(AND(G32="M-904", I32="Cash"), "EXCEPTION: Concurrent Cash Void", IF(AND(I32="Cash", N32&gt;120), "CRITICAL: Delayed Cash Void", IF(N32&gt;120, "EXCEPTION: Delayed Void", "Standard Void"))), IF(H32="Line Item Void", IF(I32="Cash", "EXCEPTION: Cash Line Void", "Standard Line Void"), IF(H32="No-Sale Drawer Opening", "DRAWER OPENING", "Standard Sale")))</f>
        <v/>
      </c>
    </row>
    <row r="33" ht="18" customHeight="1">
      <c r="A33" s="12" t="inlineStr">
        <is>
          <t>EVT-10029</t>
        </is>
      </c>
      <c r="B33" s="12" t="inlineStr">
        <is>
          <t>TX-80029</t>
        </is>
      </c>
      <c r="C33" s="24" t="n">
        <v>46305.57008101852</v>
      </c>
      <c r="D33" s="12" t="inlineStr">
        <is>
          <t>BR-01</t>
        </is>
      </c>
      <c r="E33" s="12" t="inlineStr">
        <is>
          <t>T-02</t>
        </is>
      </c>
      <c r="F33" s="12" t="inlineStr">
        <is>
          <t>C-101</t>
        </is>
      </c>
      <c r="G33" s="12" t="inlineStr">
        <is>
          <t>NONE</t>
        </is>
      </c>
      <c r="H33" s="11" t="inlineStr">
        <is>
          <t>Sale Tender</t>
        </is>
      </c>
      <c r="I33" s="12" t="inlineStr">
        <is>
          <t>Card</t>
        </is>
      </c>
      <c r="J33" s="20" t="n">
        <v>1</v>
      </c>
      <c r="K33" s="25" t="n">
        <v>15.45</v>
      </c>
      <c r="L33" s="25" t="n">
        <v>15.45</v>
      </c>
      <c r="M33" s="24" t="n">
        <v>46305.56899305555</v>
      </c>
      <c r="N33" s="26">
        <f>IFERROR(IF(OR(ISBLANK(M33), M33="", ISBLANK(C33), C33=""), 0, MAX(0, ROUND((C33-M33)*86400, 0))), 0)</f>
        <v/>
      </c>
      <c r="O33" s="11">
        <f>IF(H33="Post-Bill Void", IF(AND(G33="M-904", I33="Cash"), "EXCEPTION: Concurrent Cash Void", IF(AND(I33="Cash", N33&gt;120), "CRITICAL: Delayed Cash Void", IF(N33&gt;120, "EXCEPTION: Delayed Void", "Standard Void"))), IF(H33="Line Item Void", IF(I33="Cash", "EXCEPTION: Cash Line Void", "Standard Line Void"), IF(H33="No-Sale Drawer Opening", "DRAWER OPENING", "Standard Sale")))</f>
        <v/>
      </c>
    </row>
    <row r="34" ht="18" customHeight="1">
      <c r="A34" s="15" t="inlineStr">
        <is>
          <t>EVT-10030</t>
        </is>
      </c>
      <c r="B34" s="15" t="inlineStr">
        <is>
          <t>TX-80030</t>
        </is>
      </c>
      <c r="C34" s="27" t="n">
        <v>46305.57701388889</v>
      </c>
      <c r="D34" s="15" t="inlineStr">
        <is>
          <t>BR-02</t>
        </is>
      </c>
      <c r="E34" s="15" t="inlineStr">
        <is>
          <t>T-01</t>
        </is>
      </c>
      <c r="F34" s="15" t="inlineStr">
        <is>
          <t>C-106</t>
        </is>
      </c>
      <c r="G34" s="15" t="inlineStr">
        <is>
          <t>NONE</t>
        </is>
      </c>
      <c r="H34" s="14" t="inlineStr">
        <is>
          <t>Sale Tender</t>
        </is>
      </c>
      <c r="I34" s="15" t="inlineStr">
        <is>
          <t>Cash</t>
        </is>
      </c>
      <c r="J34" s="17" t="n">
        <v>4</v>
      </c>
      <c r="K34" s="28" t="n">
        <v>61.07</v>
      </c>
      <c r="L34" s="28" t="n">
        <v>61.07</v>
      </c>
      <c r="M34" s="27" t="n">
        <v>46305.57601851852</v>
      </c>
      <c r="N34" s="29">
        <f>IFERROR(IF(OR(ISBLANK(M34), M34="", ISBLANK(C34), C34=""), 0, MAX(0, ROUND((C34-M34)*86400, 0))), 0)</f>
        <v/>
      </c>
      <c r="O34" s="14">
        <f>IF(H34="Post-Bill Void", IF(AND(G34="M-904", I34="Cash"), "EXCEPTION: Concurrent Cash Void", IF(AND(I34="Cash", N34&gt;120), "CRITICAL: Delayed Cash Void", IF(N34&gt;120, "EXCEPTION: Delayed Void", "Standard Void"))), IF(H34="Line Item Void", IF(I34="Cash", "EXCEPTION: Cash Line Void", "Standard Line Void"), IF(H34="No-Sale Drawer Opening", "DRAWER OPENING", "Standard Sale")))</f>
        <v/>
      </c>
    </row>
    <row r="35" ht="18" customHeight="1">
      <c r="A35" s="12" t="inlineStr">
        <is>
          <t>EVT-10031</t>
        </is>
      </c>
      <c r="B35" s="12" t="inlineStr">
        <is>
          <t>TX-80031</t>
        </is>
      </c>
      <c r="C35" s="24" t="n">
        <v>46305.58344907407</v>
      </c>
      <c r="D35" s="12" t="inlineStr">
        <is>
          <t>BR-04</t>
        </is>
      </c>
      <c r="E35" s="12" t="inlineStr">
        <is>
          <t>T-02</t>
        </is>
      </c>
      <c r="F35" s="12" t="inlineStr">
        <is>
          <t>C-113</t>
        </is>
      </c>
      <c r="G35" s="12" t="inlineStr">
        <is>
          <t>NONE</t>
        </is>
      </c>
      <c r="H35" s="11" t="inlineStr">
        <is>
          <t>Sale Tender</t>
        </is>
      </c>
      <c r="I35" s="12" t="inlineStr">
        <is>
          <t>Delivery Aggregator</t>
        </is>
      </c>
      <c r="J35" s="20" t="n">
        <v>4</v>
      </c>
      <c r="K35" s="25" t="n">
        <v>42.56</v>
      </c>
      <c r="L35" s="25" t="n">
        <v>42.56</v>
      </c>
      <c r="M35" s="24" t="n">
        <v>46305.58277777778</v>
      </c>
      <c r="N35" s="26">
        <f>IFERROR(IF(OR(ISBLANK(M35), M35="", ISBLANK(C35), C35=""), 0, MAX(0, ROUND((C35-M35)*86400, 0))), 0)</f>
        <v/>
      </c>
      <c r="O35" s="11">
        <f>IF(H35="Post-Bill Void", IF(AND(G35="M-904", I35="Cash"), "EXCEPTION: Concurrent Cash Void", IF(AND(I35="Cash", N35&gt;120), "CRITICAL: Delayed Cash Void", IF(N35&gt;120, "EXCEPTION: Delayed Void", "Standard Void"))), IF(H35="Line Item Void", IF(I35="Cash", "EXCEPTION: Cash Line Void", "Standard Line Void"), IF(H35="No-Sale Drawer Opening", "DRAWER OPENING", "Standard Sale")))</f>
        <v/>
      </c>
    </row>
    <row r="36" ht="18" customHeight="1">
      <c r="A36" s="15" t="inlineStr">
        <is>
          <t>EVT-10032</t>
        </is>
      </c>
      <c r="B36" s="15" t="inlineStr">
        <is>
          <t>TX-80032</t>
        </is>
      </c>
      <c r="C36" s="27" t="n">
        <v>46305.59078703704</v>
      </c>
      <c r="D36" s="15" t="inlineStr">
        <is>
          <t>BR-04</t>
        </is>
      </c>
      <c r="E36" s="15" t="inlineStr">
        <is>
          <t>T-01</t>
        </is>
      </c>
      <c r="F36" s="15" t="inlineStr">
        <is>
          <t>C-113</t>
        </is>
      </c>
      <c r="G36" s="15" t="inlineStr">
        <is>
          <t>NONE</t>
        </is>
      </c>
      <c r="H36" s="14" t="inlineStr">
        <is>
          <t>Sale Tender</t>
        </is>
      </c>
      <c r="I36" s="15" t="inlineStr">
        <is>
          <t>Delivery Aggregator</t>
        </is>
      </c>
      <c r="J36" s="17" t="n">
        <v>5</v>
      </c>
      <c r="K36" s="28" t="n">
        <v>70.09</v>
      </c>
      <c r="L36" s="28" t="n">
        <v>70.09</v>
      </c>
      <c r="M36" s="27" t="n">
        <v>46305.59018518519</v>
      </c>
      <c r="N36" s="29">
        <f>IFERROR(IF(OR(ISBLANK(M36), M36="", ISBLANK(C36), C36=""), 0, MAX(0, ROUND((C36-M36)*86400, 0))), 0)</f>
        <v/>
      </c>
      <c r="O36" s="14">
        <f>IF(H36="Post-Bill Void", IF(AND(G36="M-904", I36="Cash"), "EXCEPTION: Concurrent Cash Void", IF(AND(I36="Cash", N36&gt;120), "CRITICAL: Delayed Cash Void", IF(N36&gt;120, "EXCEPTION: Delayed Void", "Standard Void"))), IF(H36="Line Item Void", IF(I36="Cash", "EXCEPTION: Cash Line Void", "Standard Line Void"), IF(H36="No-Sale Drawer Opening", "DRAWER OPENING", "Standard Sale")))</f>
        <v/>
      </c>
    </row>
    <row r="37" ht="18" customHeight="1">
      <c r="A37" s="12" t="inlineStr">
        <is>
          <t>EVT-10033</t>
        </is>
      </c>
      <c r="B37" s="12" t="inlineStr">
        <is>
          <t>TX-80033</t>
        </is>
      </c>
      <c r="C37" s="24" t="n">
        <v>46305.59725694444</v>
      </c>
      <c r="D37" s="12" t="inlineStr">
        <is>
          <t>BR-03</t>
        </is>
      </c>
      <c r="E37" s="12" t="inlineStr">
        <is>
          <t>T-01</t>
        </is>
      </c>
      <c r="F37" s="12" t="inlineStr">
        <is>
          <t>C-109</t>
        </is>
      </c>
      <c r="G37" s="12" t="inlineStr">
        <is>
          <t>NONE</t>
        </is>
      </c>
      <c r="H37" s="11" t="inlineStr">
        <is>
          <t>Sale Tender</t>
        </is>
      </c>
      <c r="I37" s="12" t="inlineStr">
        <is>
          <t>Card</t>
        </is>
      </c>
      <c r="J37" s="20" t="n">
        <v>5</v>
      </c>
      <c r="K37" s="25" t="n">
        <v>48.4</v>
      </c>
      <c r="L37" s="25" t="n">
        <v>48.4</v>
      </c>
      <c r="M37" s="24" t="n">
        <v>46305.59626157407</v>
      </c>
      <c r="N37" s="26">
        <f>IFERROR(IF(OR(ISBLANK(M37), M37="", ISBLANK(C37), C37=""), 0, MAX(0, ROUND((C37-M37)*86400, 0))), 0)</f>
        <v/>
      </c>
      <c r="O37" s="11">
        <f>IF(H37="Post-Bill Void", IF(AND(G37="M-904", I37="Cash"), "EXCEPTION: Concurrent Cash Void", IF(AND(I37="Cash", N37&gt;120), "CRITICAL: Delayed Cash Void", IF(N37&gt;120, "EXCEPTION: Delayed Void", "Standard Void"))), IF(H37="Line Item Void", IF(I37="Cash", "EXCEPTION: Cash Line Void", "Standard Line Void"), IF(H37="No-Sale Drawer Opening", "DRAWER OPENING", "Standard Sale")))</f>
        <v/>
      </c>
    </row>
    <row r="38" ht="18" customHeight="1">
      <c r="A38" s="15" t="inlineStr">
        <is>
          <t>EVT-10034</t>
        </is>
      </c>
      <c r="B38" s="15" t="inlineStr">
        <is>
          <t>TX-80034</t>
        </is>
      </c>
      <c r="C38" s="27" t="n">
        <v>46305.60453703703</v>
      </c>
      <c r="D38" s="15" t="inlineStr">
        <is>
          <t>BR-01</t>
        </is>
      </c>
      <c r="E38" s="15" t="inlineStr">
        <is>
          <t>T-01</t>
        </is>
      </c>
      <c r="F38" s="15" t="inlineStr">
        <is>
          <t>C-102</t>
        </is>
      </c>
      <c r="G38" s="15" t="inlineStr">
        <is>
          <t>NONE</t>
        </is>
      </c>
      <c r="H38" s="14" t="inlineStr">
        <is>
          <t>Sale Tender</t>
        </is>
      </c>
      <c r="I38" s="15" t="inlineStr">
        <is>
          <t>Card</t>
        </is>
      </c>
      <c r="J38" s="17" t="n">
        <v>2</v>
      </c>
      <c r="K38" s="28" t="n">
        <v>23.06</v>
      </c>
      <c r="L38" s="28" t="n">
        <v>23.06</v>
      </c>
      <c r="M38" s="27" t="n">
        <v>46305.60415509259</v>
      </c>
      <c r="N38" s="29">
        <f>IFERROR(IF(OR(ISBLANK(M38), M38="", ISBLANK(C38), C38=""), 0, MAX(0, ROUND((C38-M38)*86400, 0))), 0)</f>
        <v/>
      </c>
      <c r="O38" s="14">
        <f>IF(H38="Post-Bill Void", IF(AND(G38="M-904", I38="Cash"), "EXCEPTION: Concurrent Cash Void", IF(AND(I38="Cash", N38&gt;120), "CRITICAL: Delayed Cash Void", IF(N38&gt;120, "EXCEPTION: Delayed Void", "Standard Void"))), IF(H38="Line Item Void", IF(I38="Cash", "EXCEPTION: Cash Line Void", "Standard Line Void"), IF(H38="No-Sale Drawer Opening", "DRAWER OPENING", "Standard Sale")))</f>
        <v/>
      </c>
    </row>
    <row r="39" ht="18" customHeight="1">
      <c r="A39" s="12" t="inlineStr">
        <is>
          <t>EVT-10035</t>
        </is>
      </c>
      <c r="B39" s="12" t="inlineStr">
        <is>
          <t>TX-80035</t>
        </is>
      </c>
      <c r="C39" s="24" t="n">
        <v>46305.61175925926</v>
      </c>
      <c r="D39" s="12" t="inlineStr">
        <is>
          <t>BR-02</t>
        </is>
      </c>
      <c r="E39" s="12" t="inlineStr">
        <is>
          <t>T-02</t>
        </is>
      </c>
      <c r="F39" s="12" t="inlineStr">
        <is>
          <t>C-105</t>
        </is>
      </c>
      <c r="G39" s="12" t="inlineStr">
        <is>
          <t>NONE</t>
        </is>
      </c>
      <c r="H39" s="11" t="inlineStr">
        <is>
          <t>Sale Tender</t>
        </is>
      </c>
      <c r="I39" s="12" t="inlineStr">
        <is>
          <t>Card</t>
        </is>
      </c>
      <c r="J39" s="20" t="n">
        <v>5</v>
      </c>
      <c r="K39" s="25" t="n">
        <v>62.1</v>
      </c>
      <c r="L39" s="25" t="n">
        <v>62.1</v>
      </c>
      <c r="M39" s="24" t="n">
        <v>46305.61085648148</v>
      </c>
      <c r="N39" s="26">
        <f>IFERROR(IF(OR(ISBLANK(M39), M39="", ISBLANK(C39), C39=""), 0, MAX(0, ROUND((C39-M39)*86400, 0))), 0)</f>
        <v/>
      </c>
      <c r="O39" s="11">
        <f>IF(H39="Post-Bill Void", IF(AND(G39="M-904", I39="Cash"), "EXCEPTION: Concurrent Cash Void", IF(AND(I39="Cash", N39&gt;120), "CRITICAL: Delayed Cash Void", IF(N39&gt;120, "EXCEPTION: Delayed Void", "Standard Void"))), IF(H39="Line Item Void", IF(I39="Cash", "EXCEPTION: Cash Line Void", "Standard Line Void"), IF(H39="No-Sale Drawer Opening", "DRAWER OPENING", "Standard Sale")))</f>
        <v/>
      </c>
    </row>
    <row r="40" ht="18" customHeight="1">
      <c r="A40" s="15" t="inlineStr">
        <is>
          <t>EVT-10036</t>
        </is>
      </c>
      <c r="B40" s="15" t="inlineStr">
        <is>
          <t>TX-80036</t>
        </is>
      </c>
      <c r="C40" s="27" t="n">
        <v>46305.61873842592</v>
      </c>
      <c r="D40" s="15" t="inlineStr">
        <is>
          <t>BR-03</t>
        </is>
      </c>
      <c r="E40" s="15" t="inlineStr">
        <is>
          <t>T-02</t>
        </is>
      </c>
      <c r="F40" s="15" t="inlineStr">
        <is>
          <t>C-110</t>
        </is>
      </c>
      <c r="G40" s="15" t="inlineStr">
        <is>
          <t>NONE</t>
        </is>
      </c>
      <c r="H40" s="14" t="inlineStr">
        <is>
          <t>Sale Tender</t>
        </is>
      </c>
      <c r="I40" s="15" t="inlineStr">
        <is>
          <t>Cash</t>
        </is>
      </c>
      <c r="J40" s="17" t="n">
        <v>4</v>
      </c>
      <c r="K40" s="28" t="n">
        <v>37.93</v>
      </c>
      <c r="L40" s="28" t="n">
        <v>37.93</v>
      </c>
      <c r="M40" s="27" t="n">
        <v>46305.61798611111</v>
      </c>
      <c r="N40" s="29">
        <f>IFERROR(IF(OR(ISBLANK(M40), M40="", ISBLANK(C40), C40=""), 0, MAX(0, ROUND((C40-M40)*86400, 0))), 0)</f>
        <v/>
      </c>
      <c r="O40" s="14">
        <f>IF(H40="Post-Bill Void", IF(AND(G40="M-904", I40="Cash"), "EXCEPTION: Concurrent Cash Void", IF(AND(I40="Cash", N40&gt;120), "CRITICAL: Delayed Cash Void", IF(N40&gt;120, "EXCEPTION: Delayed Void", "Standard Void"))), IF(H40="Line Item Void", IF(I40="Cash", "EXCEPTION: Cash Line Void", "Standard Line Void"), IF(H40="No-Sale Drawer Opening", "DRAWER OPENING", "Standard Sale")))</f>
        <v/>
      </c>
    </row>
    <row r="41" ht="18" customHeight="1">
      <c r="A41" s="12" t="inlineStr">
        <is>
          <t>EVT-10037</t>
        </is>
      </c>
      <c r="B41" s="12" t="inlineStr">
        <is>
          <t>TX-80037</t>
        </is>
      </c>
      <c r="C41" s="24" t="n">
        <v>46305.62547453704</v>
      </c>
      <c r="D41" s="12" t="inlineStr">
        <is>
          <t>BR-03</t>
        </is>
      </c>
      <c r="E41" s="12" t="inlineStr">
        <is>
          <t>T-01</t>
        </is>
      </c>
      <c r="F41" s="12" t="inlineStr">
        <is>
          <t>C-112</t>
        </is>
      </c>
      <c r="G41" s="12" t="inlineStr">
        <is>
          <t>NONE</t>
        </is>
      </c>
      <c r="H41" s="11" t="inlineStr">
        <is>
          <t>Sale Tender</t>
        </is>
      </c>
      <c r="I41" s="12" t="inlineStr">
        <is>
          <t>Cash</t>
        </is>
      </c>
      <c r="J41" s="20" t="n">
        <v>5</v>
      </c>
      <c r="K41" s="25" t="n">
        <v>79.94</v>
      </c>
      <c r="L41" s="25" t="n">
        <v>79.94</v>
      </c>
      <c r="M41" s="24" t="n">
        <v>46305.62508101852</v>
      </c>
      <c r="N41" s="26">
        <f>IFERROR(IF(OR(ISBLANK(M41), M41="", ISBLANK(C41), C41=""), 0, MAX(0, ROUND((C41-M41)*86400, 0))), 0)</f>
        <v/>
      </c>
      <c r="O41" s="11">
        <f>IF(H41="Post-Bill Void", IF(AND(G41="M-904", I41="Cash"), "EXCEPTION: Concurrent Cash Void", IF(AND(I41="Cash", N41&gt;120), "CRITICAL: Delayed Cash Void", IF(N41&gt;120, "EXCEPTION: Delayed Void", "Standard Void"))), IF(H41="Line Item Void", IF(I41="Cash", "EXCEPTION: Cash Line Void", "Standard Line Void"), IF(H41="No-Sale Drawer Opening", "DRAWER OPENING", "Standard Sale")))</f>
        <v/>
      </c>
    </row>
    <row r="42" ht="18" customHeight="1">
      <c r="A42" s="15" t="inlineStr">
        <is>
          <t>EVT-10038</t>
        </is>
      </c>
      <c r="B42" s="15" t="inlineStr">
        <is>
          <t>TX-80038</t>
        </is>
      </c>
      <c r="C42" s="27" t="n">
        <v>46305.63201388889</v>
      </c>
      <c r="D42" s="15" t="inlineStr">
        <is>
          <t>BR-01</t>
        </is>
      </c>
      <c r="E42" s="15" t="inlineStr">
        <is>
          <t>T-01</t>
        </is>
      </c>
      <c r="F42" s="15" t="inlineStr">
        <is>
          <t>C-102</t>
        </is>
      </c>
      <c r="G42" s="15" t="inlineStr">
        <is>
          <t>NONE</t>
        </is>
      </c>
      <c r="H42" s="14" t="inlineStr">
        <is>
          <t>Sale Tender</t>
        </is>
      </c>
      <c r="I42" s="15" t="inlineStr">
        <is>
          <t>Delivery Aggregator</t>
        </is>
      </c>
      <c r="J42" s="17" t="n">
        <v>1</v>
      </c>
      <c r="K42" s="28" t="n">
        <v>15.09</v>
      </c>
      <c r="L42" s="28" t="n">
        <v>15.09</v>
      </c>
      <c r="M42" s="27" t="n">
        <v>46305.63153935185</v>
      </c>
      <c r="N42" s="29">
        <f>IFERROR(IF(OR(ISBLANK(M42), M42="", ISBLANK(C42), C42=""), 0, MAX(0, ROUND((C42-M42)*86400, 0))), 0)</f>
        <v/>
      </c>
      <c r="O42" s="14">
        <f>IF(H42="Post-Bill Void", IF(AND(G42="M-904", I42="Cash"), "EXCEPTION: Concurrent Cash Void", IF(AND(I42="Cash", N42&gt;120), "CRITICAL: Delayed Cash Void", IF(N42&gt;120, "EXCEPTION: Delayed Void", "Standard Void"))), IF(H42="Line Item Void", IF(I42="Cash", "EXCEPTION: Cash Line Void", "Standard Line Void"), IF(H42="No-Sale Drawer Opening", "DRAWER OPENING", "Standard Sale")))</f>
        <v/>
      </c>
    </row>
    <row r="43" ht="18" customHeight="1">
      <c r="A43" s="12" t="inlineStr">
        <is>
          <t>EVT-10039</t>
        </is>
      </c>
      <c r="B43" s="12" t="inlineStr">
        <is>
          <t>TX-80039</t>
        </is>
      </c>
      <c r="C43" s="24" t="n">
        <v>46305.63915509259</v>
      </c>
      <c r="D43" s="12" t="inlineStr">
        <is>
          <t>BR-03</t>
        </is>
      </c>
      <c r="E43" s="12" t="inlineStr">
        <is>
          <t>T-01</t>
        </is>
      </c>
      <c r="F43" s="12" t="inlineStr">
        <is>
          <t>C-110</t>
        </is>
      </c>
      <c r="G43" s="12" t="inlineStr">
        <is>
          <t>NONE</t>
        </is>
      </c>
      <c r="H43" s="11" t="inlineStr">
        <is>
          <t>Sale Tender</t>
        </is>
      </c>
      <c r="I43" s="12" t="inlineStr">
        <is>
          <t>Card</t>
        </is>
      </c>
      <c r="J43" s="20" t="n">
        <v>5</v>
      </c>
      <c r="K43" s="25" t="n">
        <v>79.39</v>
      </c>
      <c r="L43" s="25" t="n">
        <v>79.39</v>
      </c>
      <c r="M43" s="24" t="n">
        <v>46305.63806712963</v>
      </c>
      <c r="N43" s="26">
        <f>IFERROR(IF(OR(ISBLANK(M43), M43="", ISBLANK(C43), C43=""), 0, MAX(0, ROUND((C43-M43)*86400, 0))), 0)</f>
        <v/>
      </c>
      <c r="O43" s="11">
        <f>IF(H43="Post-Bill Void", IF(AND(G43="M-904", I43="Cash"), "EXCEPTION: Concurrent Cash Void", IF(AND(I43="Cash", N43&gt;120), "CRITICAL: Delayed Cash Void", IF(N43&gt;120, "EXCEPTION: Delayed Void", "Standard Void"))), IF(H43="Line Item Void", IF(I43="Cash", "EXCEPTION: Cash Line Void", "Standard Line Void"), IF(H43="No-Sale Drawer Opening", "DRAWER OPENING", "Standard Sale")))</f>
        <v/>
      </c>
    </row>
    <row r="44" ht="18" customHeight="1">
      <c r="A44" s="15" t="inlineStr">
        <is>
          <t>EVT-10040</t>
        </is>
      </c>
      <c r="B44" s="15" t="inlineStr">
        <is>
          <t>TX-80040</t>
        </is>
      </c>
      <c r="C44" s="27" t="n">
        <v>46305.64642361111</v>
      </c>
      <c r="D44" s="15" t="inlineStr">
        <is>
          <t>BR-01</t>
        </is>
      </c>
      <c r="E44" s="15" t="inlineStr">
        <is>
          <t>T-02</t>
        </is>
      </c>
      <c r="F44" s="15" t="inlineStr">
        <is>
          <t>C-103</t>
        </is>
      </c>
      <c r="G44" s="15" t="inlineStr">
        <is>
          <t>NONE</t>
        </is>
      </c>
      <c r="H44" s="14" t="inlineStr">
        <is>
          <t>Sale Tender</t>
        </is>
      </c>
      <c r="I44" s="15" t="inlineStr">
        <is>
          <t>Delivery Aggregator</t>
        </is>
      </c>
      <c r="J44" s="17" t="n">
        <v>2</v>
      </c>
      <c r="K44" s="28" t="n">
        <v>20.97</v>
      </c>
      <c r="L44" s="28" t="n">
        <v>20.97</v>
      </c>
      <c r="M44" s="27" t="n">
        <v>46305.6459837963</v>
      </c>
      <c r="N44" s="29">
        <f>IFERROR(IF(OR(ISBLANK(M44), M44="", ISBLANK(C44), C44=""), 0, MAX(0, ROUND((C44-M44)*86400, 0))), 0)</f>
        <v/>
      </c>
      <c r="O44" s="14">
        <f>IF(H44="Post-Bill Void", IF(AND(G44="M-904", I44="Cash"), "EXCEPTION: Concurrent Cash Void", IF(AND(I44="Cash", N44&gt;120), "CRITICAL: Delayed Cash Void", IF(N44&gt;120, "EXCEPTION: Delayed Void", "Standard Void"))), IF(H44="Line Item Void", IF(I44="Cash", "EXCEPTION: Cash Line Void", "Standard Line Void"), IF(H44="No-Sale Drawer Opening", "DRAWER OPENING", "Standard Sale")))</f>
        <v/>
      </c>
    </row>
    <row r="45" ht="18" customHeight="1">
      <c r="A45" s="12" t="inlineStr">
        <is>
          <t>EVT-10041</t>
        </is>
      </c>
      <c r="B45" s="12" t="inlineStr">
        <is>
          <t>TX-80041</t>
        </is>
      </c>
      <c r="C45" s="24" t="n">
        <v>46305.65342592593</v>
      </c>
      <c r="D45" s="12" t="inlineStr">
        <is>
          <t>BR-01</t>
        </is>
      </c>
      <c r="E45" s="12" t="inlineStr">
        <is>
          <t>T-01</t>
        </is>
      </c>
      <c r="F45" s="12" t="inlineStr">
        <is>
          <t>C-102</t>
        </is>
      </c>
      <c r="G45" s="12" t="inlineStr">
        <is>
          <t>NONE</t>
        </is>
      </c>
      <c r="H45" s="11" t="inlineStr">
        <is>
          <t>Sale Tender</t>
        </is>
      </c>
      <c r="I45" s="12" t="inlineStr">
        <is>
          <t>Card</t>
        </is>
      </c>
      <c r="J45" s="20" t="n">
        <v>2</v>
      </c>
      <c r="K45" s="25" t="n">
        <v>27.31</v>
      </c>
      <c r="L45" s="25" t="n">
        <v>27.31</v>
      </c>
      <c r="M45" s="24" t="n">
        <v>46305.65283564815</v>
      </c>
      <c r="N45" s="26">
        <f>IFERROR(IF(OR(ISBLANK(M45), M45="", ISBLANK(C45), C45=""), 0, MAX(0, ROUND((C45-M45)*86400, 0))), 0)</f>
        <v/>
      </c>
      <c r="O45" s="11">
        <f>IF(H45="Post-Bill Void", IF(AND(G45="M-904", I45="Cash"), "EXCEPTION: Concurrent Cash Void", IF(AND(I45="Cash", N45&gt;120), "CRITICAL: Delayed Cash Void", IF(N45&gt;120, "EXCEPTION: Delayed Void", "Standard Void"))), IF(H45="Line Item Void", IF(I45="Cash", "EXCEPTION: Cash Line Void", "Standard Line Void"), IF(H45="No-Sale Drawer Opening", "DRAWER OPENING", "Standard Sale")))</f>
        <v/>
      </c>
    </row>
    <row r="46" ht="18" customHeight="1">
      <c r="A46" s="15" t="inlineStr">
        <is>
          <t>EVT-10042</t>
        </is>
      </c>
      <c r="B46" s="15" t="inlineStr">
        <is>
          <t>TX-80042</t>
        </is>
      </c>
      <c r="C46" s="27" t="n">
        <v>46305.66034722222</v>
      </c>
      <c r="D46" s="15" t="inlineStr">
        <is>
          <t>BR-03</t>
        </is>
      </c>
      <c r="E46" s="15" t="inlineStr">
        <is>
          <t>T-01</t>
        </is>
      </c>
      <c r="F46" s="15" t="inlineStr">
        <is>
          <t>C-112</t>
        </is>
      </c>
      <c r="G46" s="15" t="inlineStr">
        <is>
          <t>NONE</t>
        </is>
      </c>
      <c r="H46" s="14" t="inlineStr">
        <is>
          <t>Sale Tender</t>
        </is>
      </c>
      <c r="I46" s="15" t="inlineStr">
        <is>
          <t>Cash</t>
        </is>
      </c>
      <c r="J46" s="17" t="n">
        <v>4</v>
      </c>
      <c r="K46" s="28" t="n">
        <v>58.88</v>
      </c>
      <c r="L46" s="28" t="n">
        <v>58.88</v>
      </c>
      <c r="M46" s="27" t="n">
        <v>46305.65998842593</v>
      </c>
      <c r="N46" s="29">
        <f>IFERROR(IF(OR(ISBLANK(M46), M46="", ISBLANK(C46), C46=""), 0, MAX(0, ROUND((C46-M46)*86400, 0))), 0)</f>
        <v/>
      </c>
      <c r="O46" s="14">
        <f>IF(H46="Post-Bill Void", IF(AND(G46="M-904", I46="Cash"), "EXCEPTION: Concurrent Cash Void", IF(AND(I46="Cash", N46&gt;120), "CRITICAL: Delayed Cash Void", IF(N46&gt;120, "EXCEPTION: Delayed Void", "Standard Void"))), IF(H46="Line Item Void", IF(I46="Cash", "EXCEPTION: Cash Line Void", "Standard Line Void"), IF(H46="No-Sale Drawer Opening", "DRAWER OPENING", "Standard Sale")))</f>
        <v/>
      </c>
    </row>
    <row r="47" ht="18" customHeight="1">
      <c r="A47" s="12" t="inlineStr">
        <is>
          <t>EVT-10043</t>
        </is>
      </c>
      <c r="B47" s="12" t="inlineStr">
        <is>
          <t>TX-80043</t>
        </is>
      </c>
      <c r="C47" s="24" t="n">
        <v>46305.66668981482</v>
      </c>
      <c r="D47" s="12" t="inlineStr">
        <is>
          <t>BR-01</t>
        </is>
      </c>
      <c r="E47" s="12" t="inlineStr">
        <is>
          <t>T-02</t>
        </is>
      </c>
      <c r="F47" s="12" t="inlineStr">
        <is>
          <t>C-103</t>
        </is>
      </c>
      <c r="G47" s="12" t="inlineStr">
        <is>
          <t>NONE</t>
        </is>
      </c>
      <c r="H47" s="11" t="inlineStr">
        <is>
          <t>Sale Tender</t>
        </is>
      </c>
      <c r="I47" s="12" t="inlineStr">
        <is>
          <t>Cash</t>
        </is>
      </c>
      <c r="J47" s="20" t="n">
        <v>4</v>
      </c>
      <c r="K47" s="25" t="n">
        <v>50.55</v>
      </c>
      <c r="L47" s="25" t="n">
        <v>50.55</v>
      </c>
      <c r="M47" s="24" t="n">
        <v>46305.66601851852</v>
      </c>
      <c r="N47" s="26">
        <f>IFERROR(IF(OR(ISBLANK(M47), M47="", ISBLANK(C47), C47=""), 0, MAX(0, ROUND((C47-M47)*86400, 0))), 0)</f>
        <v/>
      </c>
      <c r="O47" s="11">
        <f>IF(H47="Post-Bill Void", IF(AND(G47="M-904", I47="Cash"), "EXCEPTION: Concurrent Cash Void", IF(AND(I47="Cash", N47&gt;120), "CRITICAL: Delayed Cash Void", IF(N47&gt;120, "EXCEPTION: Delayed Void", "Standard Void"))), IF(H47="Line Item Void", IF(I47="Cash", "EXCEPTION: Cash Line Void", "Standard Line Void"), IF(H47="No-Sale Drawer Opening", "DRAWER OPENING", "Standard Sale")))</f>
        <v/>
      </c>
    </row>
    <row r="48" ht="18" customHeight="1">
      <c r="A48" s="15" t="inlineStr">
        <is>
          <t>EVT-10044</t>
        </is>
      </c>
      <c r="B48" s="15" t="inlineStr">
        <is>
          <t>TX-80044</t>
        </is>
      </c>
      <c r="C48" s="27" t="n">
        <v>46305.67392361111</v>
      </c>
      <c r="D48" s="15" t="inlineStr">
        <is>
          <t>BR-01</t>
        </is>
      </c>
      <c r="E48" s="15" t="inlineStr">
        <is>
          <t>T-01</t>
        </is>
      </c>
      <c r="F48" s="15" t="inlineStr">
        <is>
          <t>C-101</t>
        </is>
      </c>
      <c r="G48" s="15" t="inlineStr">
        <is>
          <t>NONE</t>
        </is>
      </c>
      <c r="H48" s="14" t="inlineStr">
        <is>
          <t>Sale Tender</t>
        </is>
      </c>
      <c r="I48" s="15" t="inlineStr">
        <is>
          <t>Card</t>
        </is>
      </c>
      <c r="J48" s="17" t="n">
        <v>3</v>
      </c>
      <c r="K48" s="28" t="n">
        <v>38.61</v>
      </c>
      <c r="L48" s="28" t="n">
        <v>38.61</v>
      </c>
      <c r="M48" s="27" t="n">
        <v>46305.67341435186</v>
      </c>
      <c r="N48" s="29">
        <f>IFERROR(IF(OR(ISBLANK(M48), M48="", ISBLANK(C48), C48=""), 0, MAX(0, ROUND((C48-M48)*86400, 0))), 0)</f>
        <v/>
      </c>
      <c r="O48" s="14">
        <f>IF(H48="Post-Bill Void", IF(AND(G48="M-904", I48="Cash"), "EXCEPTION: Concurrent Cash Void", IF(AND(I48="Cash", N48&gt;120), "CRITICAL: Delayed Cash Void", IF(N48&gt;120, "EXCEPTION: Delayed Void", "Standard Void"))), IF(H48="Line Item Void", IF(I48="Cash", "EXCEPTION: Cash Line Void", "Standard Line Void"), IF(H48="No-Sale Drawer Opening", "DRAWER OPENING", "Standard Sale")))</f>
        <v/>
      </c>
    </row>
    <row r="49" ht="18" customHeight="1">
      <c r="A49" s="12" t="inlineStr">
        <is>
          <t>EVT-10045</t>
        </is>
      </c>
      <c r="B49" s="12" t="inlineStr">
        <is>
          <t>TX-80045</t>
        </is>
      </c>
      <c r="C49" s="24" t="n">
        <v>46305.68065972222</v>
      </c>
      <c r="D49" s="12" t="inlineStr">
        <is>
          <t>BR-04</t>
        </is>
      </c>
      <c r="E49" s="12" t="inlineStr">
        <is>
          <t>T-01</t>
        </is>
      </c>
      <c r="F49" s="12" t="inlineStr">
        <is>
          <t>C-113</t>
        </is>
      </c>
      <c r="G49" s="12" t="inlineStr">
        <is>
          <t>NONE</t>
        </is>
      </c>
      <c r="H49" s="11" t="inlineStr">
        <is>
          <t>Sale Tender</t>
        </is>
      </c>
      <c r="I49" s="12" t="inlineStr">
        <is>
          <t>Delivery Aggregator</t>
        </is>
      </c>
      <c r="J49" s="20" t="n">
        <v>1</v>
      </c>
      <c r="K49" s="25" t="n">
        <v>15.24</v>
      </c>
      <c r="L49" s="25" t="n">
        <v>15.24</v>
      </c>
      <c r="M49" s="24" t="n">
        <v>46305.67983796296</v>
      </c>
      <c r="N49" s="26">
        <f>IFERROR(IF(OR(ISBLANK(M49), M49="", ISBLANK(C49), C49=""), 0, MAX(0, ROUND((C49-M49)*86400, 0))), 0)</f>
        <v/>
      </c>
      <c r="O49" s="11">
        <f>IF(H49="Post-Bill Void", IF(AND(G49="M-904", I49="Cash"), "EXCEPTION: Concurrent Cash Void", IF(AND(I49="Cash", N49&gt;120), "CRITICAL: Delayed Cash Void", IF(N49&gt;120, "EXCEPTION: Delayed Void", "Standard Void"))), IF(H49="Line Item Void", IF(I49="Cash", "EXCEPTION: Cash Line Void", "Standard Line Void"), IF(H49="No-Sale Drawer Opening", "DRAWER OPENING", "Standard Sale")))</f>
        <v/>
      </c>
    </row>
    <row r="50" ht="18" customHeight="1">
      <c r="A50" s="15" t="inlineStr">
        <is>
          <t>EVT-10046</t>
        </is>
      </c>
      <c r="B50" s="15" t="inlineStr">
        <is>
          <t>TX-80046</t>
        </is>
      </c>
      <c r="C50" s="27" t="n">
        <v>46305.68765046296</v>
      </c>
      <c r="D50" s="15" t="inlineStr">
        <is>
          <t>BR-02</t>
        </is>
      </c>
      <c r="E50" s="15" t="inlineStr">
        <is>
          <t>T-01</t>
        </is>
      </c>
      <c r="F50" s="15" t="inlineStr">
        <is>
          <t>C-105</t>
        </is>
      </c>
      <c r="G50" s="15" t="inlineStr">
        <is>
          <t>NONE</t>
        </is>
      </c>
      <c r="H50" s="14" t="inlineStr">
        <is>
          <t>Sale Tender</t>
        </is>
      </c>
      <c r="I50" s="15" t="inlineStr">
        <is>
          <t>Delivery Aggregator</t>
        </is>
      </c>
      <c r="J50" s="17" t="n">
        <v>6</v>
      </c>
      <c r="K50" s="28" t="n">
        <v>57.95</v>
      </c>
      <c r="L50" s="28" t="n">
        <v>57.95</v>
      </c>
      <c r="M50" s="27" t="n">
        <v>46305.68675925926</v>
      </c>
      <c r="N50" s="29">
        <f>IFERROR(IF(OR(ISBLANK(M50), M50="", ISBLANK(C50), C50=""), 0, MAX(0, ROUND((C50-M50)*86400, 0))), 0)</f>
        <v/>
      </c>
      <c r="O50" s="14">
        <f>IF(H50="Post-Bill Void", IF(AND(G50="M-904", I50="Cash"), "EXCEPTION: Concurrent Cash Void", IF(AND(I50="Cash", N50&gt;120), "CRITICAL: Delayed Cash Void", IF(N50&gt;120, "EXCEPTION: Delayed Void", "Standard Void"))), IF(H50="Line Item Void", IF(I50="Cash", "EXCEPTION: Cash Line Void", "Standard Line Void"), IF(H50="No-Sale Drawer Opening", "DRAWER OPENING", "Standard Sale")))</f>
        <v/>
      </c>
    </row>
    <row r="51" ht="18" customHeight="1">
      <c r="A51" s="12" t="inlineStr">
        <is>
          <t>EVT-10047</t>
        </is>
      </c>
      <c r="B51" s="12" t="inlineStr">
        <is>
          <t>TX-80047</t>
        </is>
      </c>
      <c r="C51" s="24" t="n">
        <v>46305.69512731482</v>
      </c>
      <c r="D51" s="12" t="inlineStr">
        <is>
          <t>BR-02</t>
        </is>
      </c>
      <c r="E51" s="12" t="inlineStr">
        <is>
          <t>T-02</t>
        </is>
      </c>
      <c r="F51" s="12" t="inlineStr">
        <is>
          <t>C-106</t>
        </is>
      </c>
      <c r="G51" s="12" t="inlineStr">
        <is>
          <t>NONE</t>
        </is>
      </c>
      <c r="H51" s="11" t="inlineStr">
        <is>
          <t>Sale Tender</t>
        </is>
      </c>
      <c r="I51" s="12" t="inlineStr">
        <is>
          <t>Delivery Aggregator</t>
        </is>
      </c>
      <c r="J51" s="20" t="n">
        <v>1</v>
      </c>
      <c r="K51" s="25" t="n">
        <v>9.85</v>
      </c>
      <c r="L51" s="25" t="n">
        <v>9.85</v>
      </c>
      <c r="M51" s="24" t="n">
        <v>46305.69458333333</v>
      </c>
      <c r="N51" s="26">
        <f>IFERROR(IF(OR(ISBLANK(M51), M51="", ISBLANK(C51), C51=""), 0, MAX(0, ROUND((C51-M51)*86400, 0))), 0)</f>
        <v/>
      </c>
      <c r="O51" s="11">
        <f>IF(H51="Post-Bill Void", IF(AND(G51="M-904", I51="Cash"), "EXCEPTION: Concurrent Cash Void", IF(AND(I51="Cash", N51&gt;120), "CRITICAL: Delayed Cash Void", IF(N51&gt;120, "EXCEPTION: Delayed Void", "Standard Void"))), IF(H51="Line Item Void", IF(I51="Cash", "EXCEPTION: Cash Line Void", "Standard Line Void"), IF(H51="No-Sale Drawer Opening", "DRAWER OPENING", "Standard Sale")))</f>
        <v/>
      </c>
    </row>
    <row r="52" ht="18" customHeight="1">
      <c r="A52" s="15" t="inlineStr">
        <is>
          <t>EVT-10048</t>
        </is>
      </c>
      <c r="B52" s="15" t="inlineStr">
        <is>
          <t>TX-80048</t>
        </is>
      </c>
      <c r="C52" s="27" t="n">
        <v>46305.70207175926</v>
      </c>
      <c r="D52" s="15" t="inlineStr">
        <is>
          <t>BR-03</t>
        </is>
      </c>
      <c r="E52" s="15" t="inlineStr">
        <is>
          <t>T-02</t>
        </is>
      </c>
      <c r="F52" s="15" t="inlineStr">
        <is>
          <t>C-112</t>
        </is>
      </c>
      <c r="G52" s="15" t="inlineStr">
        <is>
          <t>NONE</t>
        </is>
      </c>
      <c r="H52" s="14" t="inlineStr">
        <is>
          <t>Sale Tender</t>
        </is>
      </c>
      <c r="I52" s="15" t="inlineStr">
        <is>
          <t>Cash</t>
        </is>
      </c>
      <c r="J52" s="17" t="n">
        <v>6</v>
      </c>
      <c r="K52" s="28" t="n">
        <v>55.86</v>
      </c>
      <c r="L52" s="28" t="n">
        <v>55.86</v>
      </c>
      <c r="M52" s="27" t="n">
        <v>46305.70142361111</v>
      </c>
      <c r="N52" s="29">
        <f>IFERROR(IF(OR(ISBLANK(M52), M52="", ISBLANK(C52), C52=""), 0, MAX(0, ROUND((C52-M52)*86400, 0))), 0)</f>
        <v/>
      </c>
      <c r="O52" s="14">
        <f>IF(H52="Post-Bill Void", IF(AND(G52="M-904", I52="Cash"), "EXCEPTION: Concurrent Cash Void", IF(AND(I52="Cash", N52&gt;120), "CRITICAL: Delayed Cash Void", IF(N52&gt;120, "EXCEPTION: Delayed Void", "Standard Void"))), IF(H52="Line Item Void", IF(I52="Cash", "EXCEPTION: Cash Line Void", "Standard Line Void"), IF(H52="No-Sale Drawer Opening", "DRAWER OPENING", "Standard Sale")))</f>
        <v/>
      </c>
    </row>
    <row r="53" ht="18" customHeight="1">
      <c r="A53" s="12" t="inlineStr">
        <is>
          <t>EVT-10049</t>
        </is>
      </c>
      <c r="B53" s="12" t="inlineStr">
        <is>
          <t>TX-80049</t>
        </is>
      </c>
      <c r="C53" s="24" t="n">
        <v>46305.70896990741</v>
      </c>
      <c r="D53" s="12" t="inlineStr">
        <is>
          <t>BR-01</t>
        </is>
      </c>
      <c r="E53" s="12" t="inlineStr">
        <is>
          <t>T-01</t>
        </is>
      </c>
      <c r="F53" s="12" t="inlineStr">
        <is>
          <t>C-104</t>
        </is>
      </c>
      <c r="G53" s="12" t="inlineStr">
        <is>
          <t>NONE</t>
        </is>
      </c>
      <c r="H53" s="11" t="inlineStr">
        <is>
          <t>Sale Tender</t>
        </is>
      </c>
      <c r="I53" s="12" t="inlineStr">
        <is>
          <t>Cash</t>
        </is>
      </c>
      <c r="J53" s="20" t="n">
        <v>2</v>
      </c>
      <c r="K53" s="25" t="n">
        <v>20.34</v>
      </c>
      <c r="L53" s="25" t="n">
        <v>20.34</v>
      </c>
      <c r="M53" s="24" t="n">
        <v>46305.70800925926</v>
      </c>
      <c r="N53" s="26">
        <f>IFERROR(IF(OR(ISBLANK(M53), M53="", ISBLANK(C53), C53=""), 0, MAX(0, ROUND((C53-M53)*86400, 0))), 0)</f>
        <v/>
      </c>
      <c r="O53" s="11">
        <f>IF(H53="Post-Bill Void", IF(AND(G53="M-904", I53="Cash"), "EXCEPTION: Concurrent Cash Void", IF(AND(I53="Cash", N53&gt;120), "CRITICAL: Delayed Cash Void", IF(N53&gt;120, "EXCEPTION: Delayed Void", "Standard Void"))), IF(H53="Line Item Void", IF(I53="Cash", "EXCEPTION: Cash Line Void", "Standard Line Void"), IF(H53="No-Sale Drawer Opening", "DRAWER OPENING", "Standard Sale")))</f>
        <v/>
      </c>
    </row>
    <row r="54" ht="18" customHeight="1">
      <c r="A54" s="15" t="inlineStr">
        <is>
          <t>EVT-10050</t>
        </is>
      </c>
      <c r="B54" s="15" t="inlineStr">
        <is>
          <t>TX-80050</t>
        </is>
      </c>
      <c r="C54" s="27" t="n">
        <v>46305.71576388889</v>
      </c>
      <c r="D54" s="15" t="inlineStr">
        <is>
          <t>BR-02</t>
        </is>
      </c>
      <c r="E54" s="15" t="inlineStr">
        <is>
          <t>T-01</t>
        </is>
      </c>
      <c r="F54" s="15" t="inlineStr">
        <is>
          <t>C-108</t>
        </is>
      </c>
      <c r="G54" s="15" t="inlineStr">
        <is>
          <t>NONE</t>
        </is>
      </c>
      <c r="H54" s="14" t="inlineStr">
        <is>
          <t>Sale Tender</t>
        </is>
      </c>
      <c r="I54" s="15" t="inlineStr">
        <is>
          <t>Delivery Aggregator</t>
        </is>
      </c>
      <c r="J54" s="17" t="n">
        <v>3</v>
      </c>
      <c r="K54" s="28" t="n">
        <v>33.4</v>
      </c>
      <c r="L54" s="28" t="n">
        <v>33.4</v>
      </c>
      <c r="M54" s="27" t="n">
        <v>46305.71538194444</v>
      </c>
      <c r="N54" s="29">
        <f>IFERROR(IF(OR(ISBLANK(M54), M54="", ISBLANK(C54), C54=""), 0, MAX(0, ROUND((C54-M54)*86400, 0))), 0)</f>
        <v/>
      </c>
      <c r="O54" s="14">
        <f>IF(H54="Post-Bill Void", IF(AND(G54="M-904", I54="Cash"), "EXCEPTION: Concurrent Cash Void", IF(AND(I54="Cash", N54&gt;120), "CRITICAL: Delayed Cash Void", IF(N54&gt;120, "EXCEPTION: Delayed Void", "Standard Void"))), IF(H54="Line Item Void", IF(I54="Cash", "EXCEPTION: Cash Line Void", "Standard Line Void"), IF(H54="No-Sale Drawer Opening", "DRAWER OPENING", "Standard Sale")))</f>
        <v/>
      </c>
    </row>
    <row r="55" ht="18" customHeight="1">
      <c r="A55" s="12" t="inlineStr">
        <is>
          <t>EVT-10051</t>
        </is>
      </c>
      <c r="B55" s="12" t="inlineStr">
        <is>
          <t>TX-80051</t>
        </is>
      </c>
      <c r="C55" s="24" t="n">
        <v>46305.7225925926</v>
      </c>
      <c r="D55" s="12" t="inlineStr">
        <is>
          <t>BR-04</t>
        </is>
      </c>
      <c r="E55" s="12" t="inlineStr">
        <is>
          <t>T-02</t>
        </is>
      </c>
      <c r="F55" s="12" t="inlineStr">
        <is>
          <t>C-115</t>
        </is>
      </c>
      <c r="G55" s="12" t="inlineStr">
        <is>
          <t>NONE</t>
        </is>
      </c>
      <c r="H55" s="11" t="inlineStr">
        <is>
          <t>Sale Tender</t>
        </is>
      </c>
      <c r="I55" s="12" t="inlineStr">
        <is>
          <t>Cash</t>
        </is>
      </c>
      <c r="J55" s="20" t="n">
        <v>1</v>
      </c>
      <c r="K55" s="25" t="n">
        <v>9.369999999999999</v>
      </c>
      <c r="L55" s="25" t="n">
        <v>9.369999999999999</v>
      </c>
      <c r="M55" s="24" t="n">
        <v>46305.7215162037</v>
      </c>
      <c r="N55" s="26">
        <f>IFERROR(IF(OR(ISBLANK(M55), M55="", ISBLANK(C55), C55=""), 0, MAX(0, ROUND((C55-M55)*86400, 0))), 0)</f>
        <v/>
      </c>
      <c r="O55" s="11">
        <f>IF(H55="Post-Bill Void", IF(AND(G55="M-904", I55="Cash"), "EXCEPTION: Concurrent Cash Void", IF(AND(I55="Cash", N55&gt;120), "CRITICAL: Delayed Cash Void", IF(N55&gt;120, "EXCEPTION: Delayed Void", "Standard Void"))), IF(H55="Line Item Void", IF(I55="Cash", "EXCEPTION: Cash Line Void", "Standard Line Void"), IF(H55="No-Sale Drawer Opening", "DRAWER OPENING", "Standard Sale")))</f>
        <v/>
      </c>
    </row>
    <row r="56" ht="18" customHeight="1">
      <c r="A56" s="15" t="inlineStr">
        <is>
          <t>EVT-10052</t>
        </is>
      </c>
      <c r="B56" s="15" t="inlineStr">
        <is>
          <t>TX-80052</t>
        </is>
      </c>
      <c r="C56" s="27" t="n">
        <v>46305.72935185185</v>
      </c>
      <c r="D56" s="15" t="inlineStr">
        <is>
          <t>BR-02</t>
        </is>
      </c>
      <c r="E56" s="15" t="inlineStr">
        <is>
          <t>T-01</t>
        </is>
      </c>
      <c r="F56" s="15" t="inlineStr">
        <is>
          <t>C-107</t>
        </is>
      </c>
      <c r="G56" s="15" t="inlineStr">
        <is>
          <t>NONE</t>
        </is>
      </c>
      <c r="H56" s="14" t="inlineStr">
        <is>
          <t>Sale Tender</t>
        </is>
      </c>
      <c r="I56" s="15" t="inlineStr">
        <is>
          <t>Cash</t>
        </is>
      </c>
      <c r="J56" s="17" t="n">
        <v>3</v>
      </c>
      <c r="K56" s="28" t="n">
        <v>35.32</v>
      </c>
      <c r="L56" s="28" t="n">
        <v>35.32</v>
      </c>
      <c r="M56" s="27" t="n">
        <v>46305.72842592592</v>
      </c>
      <c r="N56" s="29">
        <f>IFERROR(IF(OR(ISBLANK(M56), M56="", ISBLANK(C56), C56=""), 0, MAX(0, ROUND((C56-M56)*86400, 0))), 0)</f>
        <v/>
      </c>
      <c r="O56" s="14">
        <f>IF(H56="Post-Bill Void", IF(AND(G56="M-904", I56="Cash"), "EXCEPTION: Concurrent Cash Void", IF(AND(I56="Cash", N56&gt;120), "CRITICAL: Delayed Cash Void", IF(N56&gt;120, "EXCEPTION: Delayed Void", "Standard Void"))), IF(H56="Line Item Void", IF(I56="Cash", "EXCEPTION: Cash Line Void", "Standard Line Void"), IF(H56="No-Sale Drawer Opening", "DRAWER OPENING", "Standard Sale")))</f>
        <v/>
      </c>
    </row>
    <row r="57" ht="18" customHeight="1">
      <c r="A57" s="12" t="inlineStr">
        <is>
          <t>EVT-10053</t>
        </is>
      </c>
      <c r="B57" s="12" t="inlineStr">
        <is>
          <t>TX-80053</t>
        </is>
      </c>
      <c r="C57" s="24" t="n">
        <v>46305.73648148148</v>
      </c>
      <c r="D57" s="12" t="inlineStr">
        <is>
          <t>BR-01</t>
        </is>
      </c>
      <c r="E57" s="12" t="inlineStr">
        <is>
          <t>T-02</t>
        </is>
      </c>
      <c r="F57" s="12" t="inlineStr">
        <is>
          <t>C-104</t>
        </is>
      </c>
      <c r="G57" s="12" t="inlineStr">
        <is>
          <t>NONE</t>
        </is>
      </c>
      <c r="H57" s="11" t="inlineStr">
        <is>
          <t>Sale Tender</t>
        </is>
      </c>
      <c r="I57" s="12" t="inlineStr">
        <is>
          <t>Cash</t>
        </is>
      </c>
      <c r="J57" s="20" t="n">
        <v>6</v>
      </c>
      <c r="K57" s="25" t="n">
        <v>70.62</v>
      </c>
      <c r="L57" s="25" t="n">
        <v>70.62</v>
      </c>
      <c r="M57" s="24" t="n">
        <v>46305.73591435186</v>
      </c>
      <c r="N57" s="26">
        <f>IFERROR(IF(OR(ISBLANK(M57), M57="", ISBLANK(C57), C57=""), 0, MAX(0, ROUND((C57-M57)*86400, 0))), 0)</f>
        <v/>
      </c>
      <c r="O57" s="11">
        <f>IF(H57="Post-Bill Void", IF(AND(G57="M-904", I57="Cash"), "EXCEPTION: Concurrent Cash Void", IF(AND(I57="Cash", N57&gt;120), "CRITICAL: Delayed Cash Void", IF(N57&gt;120, "EXCEPTION: Delayed Void", "Standard Void"))), IF(H57="Line Item Void", IF(I57="Cash", "EXCEPTION: Cash Line Void", "Standard Line Void"), IF(H57="No-Sale Drawer Opening", "DRAWER OPENING", "Standard Sale")))</f>
        <v/>
      </c>
    </row>
    <row r="58" ht="18" customHeight="1">
      <c r="A58" s="15" t="inlineStr">
        <is>
          <t>EVT-10054</t>
        </is>
      </c>
      <c r="B58" s="15" t="inlineStr">
        <is>
          <t>TX-80054</t>
        </is>
      </c>
      <c r="C58" s="27" t="n">
        <v>46305.7434375</v>
      </c>
      <c r="D58" s="15" t="inlineStr">
        <is>
          <t>BR-02</t>
        </is>
      </c>
      <c r="E58" s="15" t="inlineStr">
        <is>
          <t>T-01</t>
        </is>
      </c>
      <c r="F58" s="15" t="inlineStr">
        <is>
          <t>C-107</t>
        </is>
      </c>
      <c r="G58" s="15" t="inlineStr">
        <is>
          <t>NONE</t>
        </is>
      </c>
      <c r="H58" s="14" t="inlineStr">
        <is>
          <t>Sale Tender</t>
        </is>
      </c>
      <c r="I58" s="15" t="inlineStr">
        <is>
          <t>Card</t>
        </is>
      </c>
      <c r="J58" s="17" t="n">
        <v>6</v>
      </c>
      <c r="K58" s="28" t="n">
        <v>89.16</v>
      </c>
      <c r="L58" s="28" t="n">
        <v>89.16</v>
      </c>
      <c r="M58" s="27" t="n">
        <v>46305.74266203704</v>
      </c>
      <c r="N58" s="29">
        <f>IFERROR(IF(OR(ISBLANK(M58), M58="", ISBLANK(C58), C58=""), 0, MAX(0, ROUND((C58-M58)*86400, 0))), 0)</f>
        <v/>
      </c>
      <c r="O58" s="14">
        <f>IF(H58="Post-Bill Void", IF(AND(G58="M-904", I58="Cash"), "EXCEPTION: Concurrent Cash Void", IF(AND(I58="Cash", N58&gt;120), "CRITICAL: Delayed Cash Void", IF(N58&gt;120, "EXCEPTION: Delayed Void", "Standard Void"))), IF(H58="Line Item Void", IF(I58="Cash", "EXCEPTION: Cash Line Void", "Standard Line Void"), IF(H58="No-Sale Drawer Opening", "DRAWER OPENING", "Standard Sale")))</f>
        <v/>
      </c>
    </row>
    <row r="59" ht="18" customHeight="1">
      <c r="A59" s="12" t="inlineStr">
        <is>
          <t>EVT-10055</t>
        </is>
      </c>
      <c r="B59" s="12" t="inlineStr">
        <is>
          <t>TX-80055</t>
        </is>
      </c>
      <c r="C59" s="24" t="n">
        <v>46305.75053240741</v>
      </c>
      <c r="D59" s="12" t="inlineStr">
        <is>
          <t>BR-03</t>
        </is>
      </c>
      <c r="E59" s="12" t="inlineStr">
        <is>
          <t>T-02</t>
        </is>
      </c>
      <c r="F59" s="12" t="inlineStr">
        <is>
          <t>C-111</t>
        </is>
      </c>
      <c r="G59" s="12" t="inlineStr">
        <is>
          <t>NONE</t>
        </is>
      </c>
      <c r="H59" s="11" t="inlineStr">
        <is>
          <t>Sale Tender</t>
        </is>
      </c>
      <c r="I59" s="12" t="inlineStr">
        <is>
          <t>Card</t>
        </is>
      </c>
      <c r="J59" s="20" t="n">
        <v>3</v>
      </c>
      <c r="K59" s="25" t="n">
        <v>37.97</v>
      </c>
      <c r="L59" s="25" t="n">
        <v>37.97</v>
      </c>
      <c r="M59" s="24" t="n">
        <v>46305.74976851852</v>
      </c>
      <c r="N59" s="26">
        <f>IFERROR(IF(OR(ISBLANK(M59), M59="", ISBLANK(C59), C59=""), 0, MAX(0, ROUND((C59-M59)*86400, 0))), 0)</f>
        <v/>
      </c>
      <c r="O59" s="11">
        <f>IF(H59="Post-Bill Void", IF(AND(G59="M-904", I59="Cash"), "EXCEPTION: Concurrent Cash Void", IF(AND(I59="Cash", N59&gt;120), "CRITICAL: Delayed Cash Void", IF(N59&gt;120, "EXCEPTION: Delayed Void", "Standard Void"))), IF(H59="Line Item Void", IF(I59="Cash", "EXCEPTION: Cash Line Void", "Standard Line Void"), IF(H59="No-Sale Drawer Opening", "DRAWER OPENING", "Standard Sale")))</f>
        <v/>
      </c>
    </row>
    <row r="60" ht="18" customHeight="1">
      <c r="A60" s="15" t="inlineStr">
        <is>
          <t>EVT-10056</t>
        </is>
      </c>
      <c r="B60" s="15" t="inlineStr">
        <is>
          <t>TX-80056</t>
        </is>
      </c>
      <c r="C60" s="27" t="n">
        <v>46305.75708333333</v>
      </c>
      <c r="D60" s="15" t="inlineStr">
        <is>
          <t>BR-04</t>
        </is>
      </c>
      <c r="E60" s="15" t="inlineStr">
        <is>
          <t>T-02</t>
        </is>
      </c>
      <c r="F60" s="15" t="inlineStr">
        <is>
          <t>C-115</t>
        </is>
      </c>
      <c r="G60" s="15" t="inlineStr">
        <is>
          <t>NONE</t>
        </is>
      </c>
      <c r="H60" s="14" t="inlineStr">
        <is>
          <t>Sale Tender</t>
        </is>
      </c>
      <c r="I60" s="15" t="inlineStr">
        <is>
          <t>Card</t>
        </is>
      </c>
      <c r="J60" s="17" t="n">
        <v>3</v>
      </c>
      <c r="K60" s="28" t="n">
        <v>34.64</v>
      </c>
      <c r="L60" s="28" t="n">
        <v>34.64</v>
      </c>
      <c r="M60" s="27" t="n">
        <v>46305.75653935185</v>
      </c>
      <c r="N60" s="29">
        <f>IFERROR(IF(OR(ISBLANK(M60), M60="", ISBLANK(C60), C60=""), 0, MAX(0, ROUND((C60-M60)*86400, 0))), 0)</f>
        <v/>
      </c>
      <c r="O60" s="14">
        <f>IF(H60="Post-Bill Void", IF(AND(G60="M-904", I60="Cash"), "EXCEPTION: Concurrent Cash Void", IF(AND(I60="Cash", N60&gt;120), "CRITICAL: Delayed Cash Void", IF(N60&gt;120, "EXCEPTION: Delayed Void", "Standard Void"))), IF(H60="Line Item Void", IF(I60="Cash", "EXCEPTION: Cash Line Void", "Standard Line Void"), IF(H60="No-Sale Drawer Opening", "DRAWER OPENING", "Standard Sale")))</f>
        <v/>
      </c>
    </row>
    <row r="61" ht="18" customHeight="1">
      <c r="A61" s="12" t="inlineStr">
        <is>
          <t>EVT-10057</t>
        </is>
      </c>
      <c r="B61" s="12" t="inlineStr">
        <is>
          <t>TX-80057</t>
        </is>
      </c>
      <c r="C61" s="24" t="n">
        <v>46305.76450231481</v>
      </c>
      <c r="D61" s="12" t="inlineStr">
        <is>
          <t>BR-01</t>
        </is>
      </c>
      <c r="E61" s="12" t="inlineStr">
        <is>
          <t>T-01</t>
        </is>
      </c>
      <c r="F61" s="12" t="inlineStr">
        <is>
          <t>C-103</t>
        </is>
      </c>
      <c r="G61" s="12" t="inlineStr">
        <is>
          <t>NONE</t>
        </is>
      </c>
      <c r="H61" s="11" t="inlineStr">
        <is>
          <t>Sale Tender</t>
        </is>
      </c>
      <c r="I61" s="12" t="inlineStr">
        <is>
          <t>Card</t>
        </is>
      </c>
      <c r="J61" s="20" t="n">
        <v>5</v>
      </c>
      <c r="K61" s="25" t="n">
        <v>67.05</v>
      </c>
      <c r="L61" s="25" t="n">
        <v>67.05</v>
      </c>
      <c r="M61" s="24" t="n">
        <v>46305.76357638889</v>
      </c>
      <c r="N61" s="26">
        <f>IFERROR(IF(OR(ISBLANK(M61), M61="", ISBLANK(C61), C61=""), 0, MAX(0, ROUND((C61-M61)*86400, 0))), 0)</f>
        <v/>
      </c>
      <c r="O61" s="11">
        <f>IF(H61="Post-Bill Void", IF(AND(G61="M-904", I61="Cash"), "EXCEPTION: Concurrent Cash Void", IF(AND(I61="Cash", N61&gt;120), "CRITICAL: Delayed Cash Void", IF(N61&gt;120, "EXCEPTION: Delayed Void", "Standard Void"))), IF(H61="Line Item Void", IF(I61="Cash", "EXCEPTION: Cash Line Void", "Standard Line Void"), IF(H61="No-Sale Drawer Opening", "DRAWER OPENING", "Standard Sale")))</f>
        <v/>
      </c>
    </row>
    <row r="62" ht="18" customHeight="1">
      <c r="A62" s="15" t="inlineStr">
        <is>
          <t>EVT-10058</t>
        </is>
      </c>
      <c r="B62" s="15" t="inlineStr">
        <is>
          <t>TX-80058</t>
        </is>
      </c>
      <c r="C62" s="27" t="n">
        <v>46305.77116898148</v>
      </c>
      <c r="D62" s="15" t="inlineStr">
        <is>
          <t>BR-04</t>
        </is>
      </c>
      <c r="E62" s="15" t="inlineStr">
        <is>
          <t>T-02</t>
        </is>
      </c>
      <c r="F62" s="15" t="inlineStr">
        <is>
          <t>C-114</t>
        </is>
      </c>
      <c r="G62" s="15" t="inlineStr">
        <is>
          <t>NONE</t>
        </is>
      </c>
      <c r="H62" s="14" t="inlineStr">
        <is>
          <t>Sale Tender</t>
        </is>
      </c>
      <c r="I62" s="15" t="inlineStr">
        <is>
          <t>Card</t>
        </is>
      </c>
      <c r="J62" s="17" t="n">
        <v>6</v>
      </c>
      <c r="K62" s="28" t="n">
        <v>58.64</v>
      </c>
      <c r="L62" s="28" t="n">
        <v>58.64</v>
      </c>
      <c r="M62" s="27" t="n">
        <v>46305.77012731481</v>
      </c>
      <c r="N62" s="29">
        <f>IFERROR(IF(OR(ISBLANK(M62), M62="", ISBLANK(C62), C62=""), 0, MAX(0, ROUND((C62-M62)*86400, 0))), 0)</f>
        <v/>
      </c>
      <c r="O62" s="14">
        <f>IF(H62="Post-Bill Void", IF(AND(G62="M-904", I62="Cash"), "EXCEPTION: Concurrent Cash Void", IF(AND(I62="Cash", N62&gt;120), "CRITICAL: Delayed Cash Void", IF(N62&gt;120, "EXCEPTION: Delayed Void", "Standard Void"))), IF(H62="Line Item Void", IF(I62="Cash", "EXCEPTION: Cash Line Void", "Standard Line Void"), IF(H62="No-Sale Drawer Opening", "DRAWER OPENING", "Standard Sale")))</f>
        <v/>
      </c>
    </row>
    <row r="63" ht="18" customHeight="1">
      <c r="A63" s="12" t="inlineStr">
        <is>
          <t>EVT-10059</t>
        </is>
      </c>
      <c r="B63" s="12" t="inlineStr">
        <is>
          <t>TX-80059</t>
        </is>
      </c>
      <c r="C63" s="24" t="n">
        <v>46305.77783564815</v>
      </c>
      <c r="D63" s="12" t="inlineStr">
        <is>
          <t>BR-03</t>
        </is>
      </c>
      <c r="E63" s="12" t="inlineStr">
        <is>
          <t>T-01</t>
        </is>
      </c>
      <c r="F63" s="12" t="inlineStr">
        <is>
          <t>C-111</t>
        </is>
      </c>
      <c r="G63" s="12" t="inlineStr">
        <is>
          <t>NONE</t>
        </is>
      </c>
      <c r="H63" s="11" t="inlineStr">
        <is>
          <t>Sale Tender</t>
        </is>
      </c>
      <c r="I63" s="12" t="inlineStr">
        <is>
          <t>Card</t>
        </is>
      </c>
      <c r="J63" s="20" t="n">
        <v>2</v>
      </c>
      <c r="K63" s="25" t="n">
        <v>29.1</v>
      </c>
      <c r="L63" s="25" t="n">
        <v>29.1</v>
      </c>
      <c r="M63" s="24" t="n">
        <v>46305.77719907407</v>
      </c>
      <c r="N63" s="26">
        <f>IFERROR(IF(OR(ISBLANK(M63), M63="", ISBLANK(C63), C63=""), 0, MAX(0, ROUND((C63-M63)*86400, 0))), 0)</f>
        <v/>
      </c>
      <c r="O63" s="11">
        <f>IF(H63="Post-Bill Void", IF(AND(G63="M-904", I63="Cash"), "EXCEPTION: Concurrent Cash Void", IF(AND(I63="Cash", N63&gt;120), "CRITICAL: Delayed Cash Void", IF(N63&gt;120, "EXCEPTION: Delayed Void", "Standard Void"))), IF(H63="Line Item Void", IF(I63="Cash", "EXCEPTION: Cash Line Void", "Standard Line Void"), IF(H63="No-Sale Drawer Opening", "DRAWER OPENING", "Standard Sale")))</f>
        <v/>
      </c>
    </row>
    <row r="64" ht="18" customHeight="1">
      <c r="A64" s="15" t="inlineStr">
        <is>
          <t>EVT-10060</t>
        </is>
      </c>
      <c r="B64" s="15" t="inlineStr">
        <is>
          <t>TX-80060</t>
        </is>
      </c>
      <c r="C64" s="27" t="n">
        <v>46305.78482638889</v>
      </c>
      <c r="D64" s="15" t="inlineStr">
        <is>
          <t>BR-01</t>
        </is>
      </c>
      <c r="E64" s="15" t="inlineStr">
        <is>
          <t>T-01</t>
        </is>
      </c>
      <c r="F64" s="15" t="inlineStr">
        <is>
          <t>C-101</t>
        </is>
      </c>
      <c r="G64" s="15" t="inlineStr">
        <is>
          <t>NONE</t>
        </is>
      </c>
      <c r="H64" s="14" t="inlineStr">
        <is>
          <t>Sale Tender</t>
        </is>
      </c>
      <c r="I64" s="15" t="inlineStr">
        <is>
          <t>Card</t>
        </is>
      </c>
      <c r="J64" s="17" t="n">
        <v>1</v>
      </c>
      <c r="K64" s="28" t="n">
        <v>11.92</v>
      </c>
      <c r="L64" s="28" t="n">
        <v>11.92</v>
      </c>
      <c r="M64" s="27" t="n">
        <v>46305.78384259259</v>
      </c>
      <c r="N64" s="29">
        <f>IFERROR(IF(OR(ISBLANK(M64), M64="", ISBLANK(C64), C64=""), 0, MAX(0, ROUND((C64-M64)*86400, 0))), 0)</f>
        <v/>
      </c>
      <c r="O64" s="14">
        <f>IF(H64="Post-Bill Void", IF(AND(G64="M-904", I64="Cash"), "EXCEPTION: Concurrent Cash Void", IF(AND(I64="Cash", N64&gt;120), "CRITICAL: Delayed Cash Void", IF(N64&gt;120, "EXCEPTION: Delayed Void", "Standard Void"))), IF(H64="Line Item Void", IF(I64="Cash", "EXCEPTION: Cash Line Void", "Standard Line Void"), IF(H64="No-Sale Drawer Opening", "DRAWER OPENING", "Standard Sale")))</f>
        <v/>
      </c>
    </row>
    <row r="65" ht="18" customHeight="1">
      <c r="A65" s="12" t="inlineStr">
        <is>
          <t>EVT-10061</t>
        </is>
      </c>
      <c r="B65" s="12" t="inlineStr">
        <is>
          <t>TX-80061</t>
        </is>
      </c>
      <c r="C65" s="24" t="n">
        <v>46305.79231481482</v>
      </c>
      <c r="D65" s="12" t="inlineStr">
        <is>
          <t>BR-02</t>
        </is>
      </c>
      <c r="E65" s="12" t="inlineStr">
        <is>
          <t>T-01</t>
        </is>
      </c>
      <c r="F65" s="12" t="inlineStr">
        <is>
          <t>C-108</t>
        </is>
      </c>
      <c r="G65" s="12" t="inlineStr">
        <is>
          <t>NONE</t>
        </is>
      </c>
      <c r="H65" s="11" t="inlineStr">
        <is>
          <t>Sale Tender</t>
        </is>
      </c>
      <c r="I65" s="12" t="inlineStr">
        <is>
          <t>Cash</t>
        </is>
      </c>
      <c r="J65" s="20" t="n">
        <v>6</v>
      </c>
      <c r="K65" s="25" t="n">
        <v>51.25</v>
      </c>
      <c r="L65" s="25" t="n">
        <v>51.25</v>
      </c>
      <c r="M65" s="24" t="n">
        <v>46305.79166666666</v>
      </c>
      <c r="N65" s="26">
        <f>IFERROR(IF(OR(ISBLANK(M65), M65="", ISBLANK(C65), C65=""), 0, MAX(0, ROUND((C65-M65)*86400, 0))), 0)</f>
        <v/>
      </c>
      <c r="O65" s="11">
        <f>IF(H65="Post-Bill Void", IF(AND(G65="M-904", I65="Cash"), "EXCEPTION: Concurrent Cash Void", IF(AND(I65="Cash", N65&gt;120), "CRITICAL: Delayed Cash Void", IF(N65&gt;120, "EXCEPTION: Delayed Void", "Standard Void"))), IF(H65="Line Item Void", IF(I65="Cash", "EXCEPTION: Cash Line Void", "Standard Line Void"), IF(H65="No-Sale Drawer Opening", "DRAWER OPENING", "Standard Sale")))</f>
        <v/>
      </c>
    </row>
    <row r="66" ht="18" customHeight="1">
      <c r="A66" s="15" t="inlineStr">
        <is>
          <t>EVT-10062</t>
        </is>
      </c>
      <c r="B66" s="15" t="inlineStr">
        <is>
          <t>TX-80062</t>
        </is>
      </c>
      <c r="C66" s="27" t="n">
        <v>46305.79916666666</v>
      </c>
      <c r="D66" s="15" t="inlineStr">
        <is>
          <t>BR-01</t>
        </is>
      </c>
      <c r="E66" s="15" t="inlineStr">
        <is>
          <t>T-01</t>
        </is>
      </c>
      <c r="F66" s="15" t="inlineStr">
        <is>
          <t>C-104</t>
        </is>
      </c>
      <c r="G66" s="15" t="inlineStr">
        <is>
          <t>NONE</t>
        </is>
      </c>
      <c r="H66" s="14" t="inlineStr">
        <is>
          <t>Sale Tender</t>
        </is>
      </c>
      <c r="I66" s="15" t="inlineStr">
        <is>
          <t>Card</t>
        </is>
      </c>
      <c r="J66" s="17" t="n">
        <v>5</v>
      </c>
      <c r="K66" s="28" t="n">
        <v>51.84</v>
      </c>
      <c r="L66" s="28" t="n">
        <v>51.84</v>
      </c>
      <c r="M66" s="27" t="n">
        <v>46305.79811342592</v>
      </c>
      <c r="N66" s="29">
        <f>IFERROR(IF(OR(ISBLANK(M66), M66="", ISBLANK(C66), C66=""), 0, MAX(0, ROUND((C66-M66)*86400, 0))), 0)</f>
        <v/>
      </c>
      <c r="O66" s="14">
        <f>IF(H66="Post-Bill Void", IF(AND(G66="M-904", I66="Cash"), "EXCEPTION: Concurrent Cash Void", IF(AND(I66="Cash", N66&gt;120), "CRITICAL: Delayed Cash Void", IF(N66&gt;120, "EXCEPTION: Delayed Void", "Standard Void"))), IF(H66="Line Item Void", IF(I66="Cash", "EXCEPTION: Cash Line Void", "Standard Line Void"), IF(H66="No-Sale Drawer Opening", "DRAWER OPENING", "Standard Sale")))</f>
        <v/>
      </c>
    </row>
    <row r="67" ht="18" customHeight="1">
      <c r="A67" s="12" t="inlineStr">
        <is>
          <t>EVT-10063</t>
        </is>
      </c>
      <c r="B67" s="12" t="inlineStr">
        <is>
          <t>TX-80063</t>
        </is>
      </c>
      <c r="C67" s="24" t="n">
        <v>46305.80618055556</v>
      </c>
      <c r="D67" s="12" t="inlineStr">
        <is>
          <t>BR-01</t>
        </is>
      </c>
      <c r="E67" s="12" t="inlineStr">
        <is>
          <t>T-01</t>
        </is>
      </c>
      <c r="F67" s="12" t="inlineStr">
        <is>
          <t>C-104</t>
        </is>
      </c>
      <c r="G67" s="12" t="inlineStr">
        <is>
          <t>NONE</t>
        </is>
      </c>
      <c r="H67" s="11" t="inlineStr">
        <is>
          <t>Sale Tender</t>
        </is>
      </c>
      <c r="I67" s="12" t="inlineStr">
        <is>
          <t>Card</t>
        </is>
      </c>
      <c r="J67" s="20" t="n">
        <v>5</v>
      </c>
      <c r="K67" s="25" t="n">
        <v>64.83</v>
      </c>
      <c r="L67" s="25" t="n">
        <v>64.83</v>
      </c>
      <c r="M67" s="24" t="n">
        <v>46305.80520833333</v>
      </c>
      <c r="N67" s="26">
        <f>IFERROR(IF(OR(ISBLANK(M67), M67="", ISBLANK(C67), C67=""), 0, MAX(0, ROUND((C67-M67)*86400, 0))), 0)</f>
        <v/>
      </c>
      <c r="O67" s="11">
        <f>IF(H67="Post-Bill Void", IF(AND(G67="M-904", I67="Cash"), "EXCEPTION: Concurrent Cash Void", IF(AND(I67="Cash", N67&gt;120), "CRITICAL: Delayed Cash Void", IF(N67&gt;120, "EXCEPTION: Delayed Void", "Standard Void"))), IF(H67="Line Item Void", IF(I67="Cash", "EXCEPTION: Cash Line Void", "Standard Line Void"), IF(H67="No-Sale Drawer Opening", "DRAWER OPENING", "Standard Sale")))</f>
        <v/>
      </c>
    </row>
    <row r="68" ht="18" customHeight="1">
      <c r="A68" s="15" t="inlineStr">
        <is>
          <t>EVT-10064</t>
        </is>
      </c>
      <c r="B68" s="15" t="inlineStr">
        <is>
          <t>TX-80064</t>
        </is>
      </c>
      <c r="C68" s="27" t="n">
        <v>46305.81305555555</v>
      </c>
      <c r="D68" s="15" t="inlineStr">
        <is>
          <t>BR-04</t>
        </is>
      </c>
      <c r="E68" s="15" t="inlineStr">
        <is>
          <t>T-02</t>
        </is>
      </c>
      <c r="F68" s="15" t="inlineStr">
        <is>
          <t>C-115</t>
        </is>
      </c>
      <c r="G68" s="15" t="inlineStr">
        <is>
          <t>NONE</t>
        </is>
      </c>
      <c r="H68" s="14" t="inlineStr">
        <is>
          <t>Sale Tender</t>
        </is>
      </c>
      <c r="I68" s="15" t="inlineStr">
        <is>
          <t>Card</t>
        </is>
      </c>
      <c r="J68" s="17" t="n">
        <v>5</v>
      </c>
      <c r="K68" s="28" t="n">
        <v>59.22</v>
      </c>
      <c r="L68" s="28" t="n">
        <v>59.22</v>
      </c>
      <c r="M68" s="27" t="n">
        <v>46305.81202546296</v>
      </c>
      <c r="N68" s="29">
        <f>IFERROR(IF(OR(ISBLANK(M68), M68="", ISBLANK(C68), C68=""), 0, MAX(0, ROUND((C68-M68)*86400, 0))), 0)</f>
        <v/>
      </c>
      <c r="O68" s="14">
        <f>IF(H68="Post-Bill Void", IF(AND(G68="M-904", I68="Cash"), "EXCEPTION: Concurrent Cash Void", IF(AND(I68="Cash", N68&gt;120), "CRITICAL: Delayed Cash Void", IF(N68&gt;120, "EXCEPTION: Delayed Void", "Standard Void"))), IF(H68="Line Item Void", IF(I68="Cash", "EXCEPTION: Cash Line Void", "Standard Line Void"), IF(H68="No-Sale Drawer Opening", "DRAWER OPENING", "Standard Sale")))</f>
        <v/>
      </c>
    </row>
    <row r="69" ht="18" customHeight="1">
      <c r="A69" s="12" t="inlineStr">
        <is>
          <t>EVT-10065</t>
        </is>
      </c>
      <c r="B69" s="12" t="inlineStr">
        <is>
          <t>TX-80065</t>
        </is>
      </c>
      <c r="C69" s="24" t="n">
        <v>46305.81956018518</v>
      </c>
      <c r="D69" s="12" t="inlineStr">
        <is>
          <t>BR-04</t>
        </is>
      </c>
      <c r="E69" s="12" t="inlineStr">
        <is>
          <t>T-01</t>
        </is>
      </c>
      <c r="F69" s="12" t="inlineStr">
        <is>
          <t>C-114</t>
        </is>
      </c>
      <c r="G69" s="12" t="inlineStr">
        <is>
          <t>NONE</t>
        </is>
      </c>
      <c r="H69" s="11" t="inlineStr">
        <is>
          <t>Sale Tender</t>
        </is>
      </c>
      <c r="I69" s="12" t="inlineStr">
        <is>
          <t>Card</t>
        </is>
      </c>
      <c r="J69" s="20" t="n">
        <v>3</v>
      </c>
      <c r="K69" s="25" t="n">
        <v>42.73</v>
      </c>
      <c r="L69" s="25" t="n">
        <v>42.73</v>
      </c>
      <c r="M69" s="24" t="n">
        <v>46305.81891203704</v>
      </c>
      <c r="N69" s="26">
        <f>IFERROR(IF(OR(ISBLANK(M69), M69="", ISBLANK(C69), C69=""), 0, MAX(0, ROUND((C69-M69)*86400, 0))), 0)</f>
        <v/>
      </c>
      <c r="O69" s="11">
        <f>IF(H69="Post-Bill Void", IF(AND(G69="M-904", I69="Cash"), "EXCEPTION: Concurrent Cash Void", IF(AND(I69="Cash", N69&gt;120), "CRITICAL: Delayed Cash Void", IF(N69&gt;120, "EXCEPTION: Delayed Void", "Standard Void"))), IF(H69="Line Item Void", IF(I69="Cash", "EXCEPTION: Cash Line Void", "Standard Line Void"), IF(H69="No-Sale Drawer Opening", "DRAWER OPENING", "Standard Sale")))</f>
        <v/>
      </c>
    </row>
    <row r="70" ht="18" customHeight="1">
      <c r="A70" s="15" t="inlineStr">
        <is>
          <t>EVT-10628</t>
        </is>
      </c>
      <c r="B70" s="15" t="inlineStr">
        <is>
          <t>N/A - NO SALE</t>
        </is>
      </c>
      <c r="C70" s="27" t="n">
        <v>46305.82361111111</v>
      </c>
      <c r="D70" s="15" t="inlineStr">
        <is>
          <t>BR-01</t>
        </is>
      </c>
      <c r="E70" s="15" t="inlineStr">
        <is>
          <t>T-01</t>
        </is>
      </c>
      <c r="F70" s="15" t="inlineStr">
        <is>
          <t>C-101</t>
        </is>
      </c>
      <c r="G70" s="15" t="inlineStr">
        <is>
          <t>NONE</t>
        </is>
      </c>
      <c r="H70" s="14" t="inlineStr">
        <is>
          <t>No-Sale Drawer Opening</t>
        </is>
      </c>
      <c r="I70" s="15" t="inlineStr">
        <is>
          <t>N/A</t>
        </is>
      </c>
      <c r="J70" s="17" t="n">
        <v>0</v>
      </c>
      <c r="K70" s="28" t="n">
        <v>0</v>
      </c>
      <c r="L70" s="28" t="n">
        <v>0</v>
      </c>
      <c r="M70" s="27" t="n">
        <v>46305.82361111111</v>
      </c>
      <c r="N70" s="29">
        <f>IFERROR(IF(OR(ISBLANK(M70), M70="", ISBLANK(C70), C70=""), 0, MAX(0, ROUND((C70-M70)*86400, 0))), 0)</f>
        <v/>
      </c>
      <c r="O70" s="14">
        <f>IF(H70="Post-Bill Void", IF(AND(G70="M-904", I70="Cash"), "EXCEPTION: Concurrent Cash Void", IF(AND(I70="Cash", N70&gt;120), "CRITICAL: Delayed Cash Void", IF(N70&gt;120, "EXCEPTION: Delayed Void", "Standard Void"))), IF(H70="Line Item Void", IF(I70="Cash", "EXCEPTION: Cash Line Void", "Standard Line Void"), IF(H70="No-Sale Drawer Opening", "DRAWER OPENING", "Standard Sale")))</f>
        <v/>
      </c>
    </row>
    <row r="71" ht="18" customHeight="1">
      <c r="A71" s="12" t="inlineStr">
        <is>
          <t>EVT-10066</t>
        </is>
      </c>
      <c r="B71" s="12" t="inlineStr">
        <is>
          <t>TX-80066</t>
        </is>
      </c>
      <c r="C71" s="24" t="n">
        <v>46305.82677083334</v>
      </c>
      <c r="D71" s="12" t="inlineStr">
        <is>
          <t>BR-04</t>
        </is>
      </c>
      <c r="E71" s="12" t="inlineStr">
        <is>
          <t>T-01</t>
        </is>
      </c>
      <c r="F71" s="12" t="inlineStr">
        <is>
          <t>C-115</t>
        </is>
      </c>
      <c r="G71" s="12" t="inlineStr">
        <is>
          <t>NONE</t>
        </is>
      </c>
      <c r="H71" s="11" t="inlineStr">
        <is>
          <t>Sale Tender</t>
        </is>
      </c>
      <c r="I71" s="12" t="inlineStr">
        <is>
          <t>Cash</t>
        </is>
      </c>
      <c r="J71" s="20" t="n">
        <v>3</v>
      </c>
      <c r="K71" s="25" t="n">
        <v>30.78</v>
      </c>
      <c r="L71" s="25" t="n">
        <v>30.78</v>
      </c>
      <c r="M71" s="24" t="n">
        <v>46305.82583333334</v>
      </c>
      <c r="N71" s="26">
        <f>IFERROR(IF(OR(ISBLANK(M71), M71="", ISBLANK(C71), C71=""), 0, MAX(0, ROUND((C71-M71)*86400, 0))), 0)</f>
        <v/>
      </c>
      <c r="O71" s="11">
        <f>IF(H71="Post-Bill Void", IF(AND(G71="M-904", I71="Cash"), "EXCEPTION: Concurrent Cash Void", IF(AND(I71="Cash", N71&gt;120), "CRITICAL: Delayed Cash Void", IF(N71&gt;120, "EXCEPTION: Delayed Void", "Standard Void"))), IF(H71="Line Item Void", IF(I71="Cash", "EXCEPTION: Cash Line Void", "Standard Line Void"), IF(H71="No-Sale Drawer Opening", "DRAWER OPENING", "Standard Sale")))</f>
        <v/>
      </c>
    </row>
    <row r="72" ht="18" customHeight="1">
      <c r="A72" s="15" t="inlineStr">
        <is>
          <t>EVT-10067</t>
        </is>
      </c>
      <c r="B72" s="15" t="inlineStr">
        <is>
          <t>TX-80067</t>
        </is>
      </c>
      <c r="C72" s="27" t="n">
        <v>46305.83357638889</v>
      </c>
      <c r="D72" s="15" t="inlineStr">
        <is>
          <t>BR-03</t>
        </is>
      </c>
      <c r="E72" s="15" t="inlineStr">
        <is>
          <t>T-01</t>
        </is>
      </c>
      <c r="F72" s="15" t="inlineStr">
        <is>
          <t>C-109</t>
        </is>
      </c>
      <c r="G72" s="15" t="inlineStr">
        <is>
          <t>NONE</t>
        </is>
      </c>
      <c r="H72" s="14" t="inlineStr">
        <is>
          <t>Sale Tender</t>
        </is>
      </c>
      <c r="I72" s="15" t="inlineStr">
        <is>
          <t>Card</t>
        </is>
      </c>
      <c r="J72" s="17" t="n">
        <v>2</v>
      </c>
      <c r="K72" s="28" t="n">
        <v>27.6</v>
      </c>
      <c r="L72" s="28" t="n">
        <v>27.6</v>
      </c>
      <c r="M72" s="27" t="n">
        <v>46305.83295138889</v>
      </c>
      <c r="N72" s="29">
        <f>IFERROR(IF(OR(ISBLANK(M72), M72="", ISBLANK(C72), C72=""), 0, MAX(0, ROUND((C72-M72)*86400, 0))), 0)</f>
        <v/>
      </c>
      <c r="O72" s="14">
        <f>IF(H72="Post-Bill Void", IF(AND(G72="M-904", I72="Cash"), "EXCEPTION: Concurrent Cash Void", IF(AND(I72="Cash", N72&gt;120), "CRITICAL: Delayed Cash Void", IF(N72&gt;120, "EXCEPTION: Delayed Void", "Standard Void"))), IF(H72="Line Item Void", IF(I72="Cash", "EXCEPTION: Cash Line Void", "Standard Line Void"), IF(H72="No-Sale Drawer Opening", "DRAWER OPENING", "Standard Sale")))</f>
        <v/>
      </c>
    </row>
    <row r="73" ht="18" customHeight="1">
      <c r="A73" s="12" t="inlineStr">
        <is>
          <t>EVT-10068</t>
        </is>
      </c>
      <c r="B73" s="12" t="inlineStr">
        <is>
          <t>TX-80068</t>
        </is>
      </c>
      <c r="C73" s="24" t="n">
        <v>46305.84032407407</v>
      </c>
      <c r="D73" s="12" t="inlineStr">
        <is>
          <t>BR-04</t>
        </is>
      </c>
      <c r="E73" s="12" t="inlineStr">
        <is>
          <t>T-01</t>
        </is>
      </c>
      <c r="F73" s="12" t="inlineStr">
        <is>
          <t>C-114</t>
        </is>
      </c>
      <c r="G73" s="12" t="inlineStr">
        <is>
          <t>NONE</t>
        </is>
      </c>
      <c r="H73" s="11" t="inlineStr">
        <is>
          <t>Sale Tender</t>
        </is>
      </c>
      <c r="I73" s="12" t="inlineStr">
        <is>
          <t>Card</t>
        </is>
      </c>
      <c r="J73" s="20" t="n">
        <v>2</v>
      </c>
      <c r="K73" s="25" t="n">
        <v>29.49</v>
      </c>
      <c r="L73" s="25" t="n">
        <v>29.49</v>
      </c>
      <c r="M73" s="24" t="n">
        <v>46305.83935185185</v>
      </c>
      <c r="N73" s="26">
        <f>IFERROR(IF(OR(ISBLANK(M73), M73="", ISBLANK(C73), C73=""), 0, MAX(0, ROUND((C73-M73)*86400, 0))), 0)</f>
        <v/>
      </c>
      <c r="O73" s="11">
        <f>IF(H73="Post-Bill Void", IF(AND(G73="M-904", I73="Cash"), "EXCEPTION: Concurrent Cash Void", IF(AND(I73="Cash", N73&gt;120), "CRITICAL: Delayed Cash Void", IF(N73&gt;120, "EXCEPTION: Delayed Void", "Standard Void"))), IF(H73="Line Item Void", IF(I73="Cash", "EXCEPTION: Cash Line Void", "Standard Line Void"), IF(H73="No-Sale Drawer Opening", "DRAWER OPENING", "Standard Sale")))</f>
        <v/>
      </c>
    </row>
    <row r="74" ht="18" customHeight="1">
      <c r="A74" s="15" t="inlineStr">
        <is>
          <t>EVT-10069</t>
        </is>
      </c>
      <c r="B74" s="15" t="inlineStr">
        <is>
          <t>TX-80069</t>
        </is>
      </c>
      <c r="C74" s="27" t="n">
        <v>46305.8475</v>
      </c>
      <c r="D74" s="15" t="inlineStr">
        <is>
          <t>BR-01</t>
        </is>
      </c>
      <c r="E74" s="15" t="inlineStr">
        <is>
          <t>T-01</t>
        </is>
      </c>
      <c r="F74" s="15" t="inlineStr">
        <is>
          <t>C-104</t>
        </is>
      </c>
      <c r="G74" s="15" t="inlineStr">
        <is>
          <t>NONE</t>
        </is>
      </c>
      <c r="H74" s="14" t="inlineStr">
        <is>
          <t>Sale Tender</t>
        </is>
      </c>
      <c r="I74" s="15" t="inlineStr">
        <is>
          <t>Cash</t>
        </is>
      </c>
      <c r="J74" s="17" t="n">
        <v>4</v>
      </c>
      <c r="K74" s="28" t="n">
        <v>59.6</v>
      </c>
      <c r="L74" s="28" t="n">
        <v>59.6</v>
      </c>
      <c r="M74" s="27" t="n">
        <v>46305.84668981482</v>
      </c>
      <c r="N74" s="29">
        <f>IFERROR(IF(OR(ISBLANK(M74), M74="", ISBLANK(C74), C74=""), 0, MAX(0, ROUND((C74-M74)*86400, 0))), 0)</f>
        <v/>
      </c>
      <c r="O74" s="14">
        <f>IF(H74="Post-Bill Void", IF(AND(G74="M-904", I74="Cash"), "EXCEPTION: Concurrent Cash Void", IF(AND(I74="Cash", N74&gt;120), "CRITICAL: Delayed Cash Void", IF(N74&gt;120, "EXCEPTION: Delayed Void", "Standard Void"))), IF(H74="Line Item Void", IF(I74="Cash", "EXCEPTION: Cash Line Void", "Standard Line Void"), IF(H74="No-Sale Drawer Opening", "DRAWER OPENING", "Standard Sale")))</f>
        <v/>
      </c>
    </row>
    <row r="75" ht="18" customHeight="1">
      <c r="A75" s="12" t="inlineStr">
        <is>
          <t>EVT-10637</t>
        </is>
      </c>
      <c r="B75" s="12" t="inlineStr">
        <is>
          <t>N/A - NO SALE</t>
        </is>
      </c>
      <c r="C75" s="24" t="n">
        <v>46305.85277777778</v>
      </c>
      <c r="D75" s="12" t="inlineStr">
        <is>
          <t>BR-02</t>
        </is>
      </c>
      <c r="E75" s="12" t="inlineStr">
        <is>
          <t>T-01</t>
        </is>
      </c>
      <c r="F75" s="12" t="inlineStr">
        <is>
          <t>C-105</t>
        </is>
      </c>
      <c r="G75" s="12" t="inlineStr">
        <is>
          <t>NONE</t>
        </is>
      </c>
      <c r="H75" s="11" t="inlineStr">
        <is>
          <t>No-Sale Drawer Opening</t>
        </is>
      </c>
      <c r="I75" s="12" t="inlineStr">
        <is>
          <t>N/A</t>
        </is>
      </c>
      <c r="J75" s="20" t="n">
        <v>0</v>
      </c>
      <c r="K75" s="25" t="n">
        <v>0</v>
      </c>
      <c r="L75" s="25" t="n">
        <v>0</v>
      </c>
      <c r="M75" s="24" t="n">
        <v>46305.85277777778</v>
      </c>
      <c r="N75" s="26">
        <f>IFERROR(IF(OR(ISBLANK(M75), M75="", ISBLANK(C75), C75=""), 0, MAX(0, ROUND((C75-M75)*86400, 0))), 0)</f>
        <v/>
      </c>
      <c r="O75" s="11">
        <f>IF(H75="Post-Bill Void", IF(AND(G75="M-904", I75="Cash"), "EXCEPTION: Concurrent Cash Void", IF(AND(I75="Cash", N75&gt;120), "CRITICAL: Delayed Cash Void", IF(N75&gt;120, "EXCEPTION: Delayed Void", "Standard Void"))), IF(H75="Line Item Void", IF(I75="Cash", "EXCEPTION: Cash Line Void", "Standard Line Void"), IF(H75="No-Sale Drawer Opening", "DRAWER OPENING", "Standard Sale")))</f>
        <v/>
      </c>
    </row>
    <row r="76" ht="18" customHeight="1">
      <c r="A76" s="15" t="inlineStr">
        <is>
          <t>EVT-10655</t>
        </is>
      </c>
      <c r="B76" s="15" t="inlineStr">
        <is>
          <t>TX-80602</t>
        </is>
      </c>
      <c r="C76" s="27" t="n">
        <v>46305.85277777778</v>
      </c>
      <c r="D76" s="15" t="inlineStr">
        <is>
          <t>BR-04</t>
        </is>
      </c>
      <c r="E76" s="15" t="inlineStr">
        <is>
          <t>T-01</t>
        </is>
      </c>
      <c r="F76" s="15" t="inlineStr">
        <is>
          <t>C-113</t>
        </is>
      </c>
      <c r="G76" s="15" t="inlineStr">
        <is>
          <t>M-904</t>
        </is>
      </c>
      <c r="H76" s="14" t="inlineStr">
        <is>
          <t>Post-Bill Void</t>
        </is>
      </c>
      <c r="I76" s="15" t="inlineStr">
        <is>
          <t>Cash</t>
        </is>
      </c>
      <c r="J76" s="17" t="n">
        <v>1</v>
      </c>
      <c r="K76" s="28" t="n">
        <v>19.98</v>
      </c>
      <c r="L76" s="28" t="n">
        <v>0</v>
      </c>
      <c r="M76" s="27" t="n">
        <v>46305.85260416667</v>
      </c>
      <c r="N76" s="29">
        <f>IFERROR(IF(OR(ISBLANK(M76), M76="", ISBLANK(C76), C76=""), 0, MAX(0, ROUND((C76-M76)*86400, 0))), 0)</f>
        <v/>
      </c>
      <c r="O76" s="14">
        <f>IF(H76="Post-Bill Void", IF(AND(G76="M-904", I76="Cash"), "EXCEPTION: Concurrent Cash Void", IF(AND(I76="Cash", N76&gt;120), "CRITICAL: Delayed Cash Void", IF(N76&gt;120, "EXCEPTION: Delayed Void", "Standard Void"))), IF(H76="Line Item Void", IF(I76="Cash", "EXCEPTION: Cash Line Void", "Standard Line Void"), IF(H76="No-Sale Drawer Opening", "DRAWER OPENING", "Standard Sale")))</f>
        <v/>
      </c>
    </row>
    <row r="77" ht="18" customHeight="1">
      <c r="A77" s="12" t="inlineStr">
        <is>
          <t>EVT-10070</t>
        </is>
      </c>
      <c r="B77" s="12" t="inlineStr">
        <is>
          <t>TX-80070</t>
        </is>
      </c>
      <c r="C77" s="24" t="n">
        <v>46305.8547800926</v>
      </c>
      <c r="D77" s="12" t="inlineStr">
        <is>
          <t>BR-04</t>
        </is>
      </c>
      <c r="E77" s="12" t="inlineStr">
        <is>
          <t>T-02</t>
        </is>
      </c>
      <c r="F77" s="12" t="inlineStr">
        <is>
          <t>C-115</t>
        </is>
      </c>
      <c r="G77" s="12" t="inlineStr">
        <is>
          <t>NONE</t>
        </is>
      </c>
      <c r="H77" s="11" t="inlineStr">
        <is>
          <t>Sale Tender</t>
        </is>
      </c>
      <c r="I77" s="12" t="inlineStr">
        <is>
          <t>Card</t>
        </is>
      </c>
      <c r="J77" s="20" t="n">
        <v>2</v>
      </c>
      <c r="K77" s="25" t="n">
        <v>24.32</v>
      </c>
      <c r="L77" s="25" t="n">
        <v>24.32</v>
      </c>
      <c r="M77" s="24" t="n">
        <v>46305.85369212963</v>
      </c>
      <c r="N77" s="26">
        <f>IFERROR(IF(OR(ISBLANK(M77), M77="", ISBLANK(C77), C77=""), 0, MAX(0, ROUND((C77-M77)*86400, 0))), 0)</f>
        <v/>
      </c>
      <c r="O77" s="11">
        <f>IF(H77="Post-Bill Void", IF(AND(G77="M-904", I77="Cash"), "EXCEPTION: Concurrent Cash Void", IF(AND(I77="Cash", N77&gt;120), "CRITICAL: Delayed Cash Void", IF(N77&gt;120, "EXCEPTION: Delayed Void", "Standard Void"))), IF(H77="Line Item Void", IF(I77="Cash", "EXCEPTION: Cash Line Void", "Standard Line Void"), IF(H77="No-Sale Drawer Opening", "DRAWER OPENING", "Standard Sale")))</f>
        <v/>
      </c>
    </row>
    <row r="78" ht="18" customHeight="1">
      <c r="A78" s="15" t="inlineStr">
        <is>
          <t>EVT-10071</t>
        </is>
      </c>
      <c r="B78" s="15" t="inlineStr">
        <is>
          <t>TX-80071</t>
        </is>
      </c>
      <c r="C78" s="27" t="n">
        <v>46305.86130787037</v>
      </c>
      <c r="D78" s="15" t="inlineStr">
        <is>
          <t>BR-04</t>
        </is>
      </c>
      <c r="E78" s="15" t="inlineStr">
        <is>
          <t>T-01</t>
        </is>
      </c>
      <c r="F78" s="15" t="inlineStr">
        <is>
          <t>C-114</t>
        </is>
      </c>
      <c r="G78" s="15" t="inlineStr">
        <is>
          <t>NONE</t>
        </is>
      </c>
      <c r="H78" s="14" t="inlineStr">
        <is>
          <t>Sale Tender</t>
        </is>
      </c>
      <c r="I78" s="15" t="inlineStr">
        <is>
          <t>Card</t>
        </is>
      </c>
      <c r="J78" s="17" t="n">
        <v>4</v>
      </c>
      <c r="K78" s="28" t="n">
        <v>55.73</v>
      </c>
      <c r="L78" s="28" t="n">
        <v>55.73</v>
      </c>
      <c r="M78" s="27" t="n">
        <v>46305.86052083333</v>
      </c>
      <c r="N78" s="29">
        <f>IFERROR(IF(OR(ISBLANK(M78), M78="", ISBLANK(C78), C78=""), 0, MAX(0, ROUND((C78-M78)*86400, 0))), 0)</f>
        <v/>
      </c>
      <c r="O78" s="14">
        <f>IF(H78="Post-Bill Void", IF(AND(G78="M-904", I78="Cash"), "EXCEPTION: Concurrent Cash Void", IF(AND(I78="Cash", N78&gt;120), "CRITICAL: Delayed Cash Void", IF(N78&gt;120, "EXCEPTION: Delayed Void", "Standard Void"))), IF(H78="Line Item Void", IF(I78="Cash", "EXCEPTION: Cash Line Void", "Standard Line Void"), IF(H78="No-Sale Drawer Opening", "DRAWER OPENING", "Standard Sale")))</f>
        <v/>
      </c>
    </row>
    <row r="79" ht="18" customHeight="1">
      <c r="A79" s="12" t="inlineStr">
        <is>
          <t>EVT-10072</t>
        </is>
      </c>
      <c r="B79" s="12" t="inlineStr">
        <is>
          <t>TX-80072</t>
        </is>
      </c>
      <c r="C79" s="24" t="n">
        <v>46305.86866898148</v>
      </c>
      <c r="D79" s="12" t="inlineStr">
        <is>
          <t>BR-04</t>
        </is>
      </c>
      <c r="E79" s="12" t="inlineStr">
        <is>
          <t>T-02</t>
        </is>
      </c>
      <c r="F79" s="12" t="inlineStr">
        <is>
          <t>C-113</t>
        </is>
      </c>
      <c r="G79" s="12" t="inlineStr">
        <is>
          <t>NONE</t>
        </is>
      </c>
      <c r="H79" s="11" t="inlineStr">
        <is>
          <t>Sale Tender</t>
        </is>
      </c>
      <c r="I79" s="12" t="inlineStr">
        <is>
          <t>Cash</t>
        </is>
      </c>
      <c r="J79" s="20" t="n">
        <v>4</v>
      </c>
      <c r="K79" s="25" t="n">
        <v>51.76</v>
      </c>
      <c r="L79" s="25" t="n">
        <v>51.76</v>
      </c>
      <c r="M79" s="24" t="n">
        <v>46305.86759259259</v>
      </c>
      <c r="N79" s="26">
        <f>IFERROR(IF(OR(ISBLANK(M79), M79="", ISBLANK(C79), C79=""), 0, MAX(0, ROUND((C79-M79)*86400, 0))), 0)</f>
        <v/>
      </c>
      <c r="O79" s="11">
        <f>IF(H79="Post-Bill Void", IF(AND(G79="M-904", I79="Cash"), "EXCEPTION: Concurrent Cash Void", IF(AND(I79="Cash", N79&gt;120), "CRITICAL: Delayed Cash Void", IF(N79&gt;120, "EXCEPTION: Delayed Void", "Standard Void"))), IF(H79="Line Item Void", IF(I79="Cash", "EXCEPTION: Cash Line Void", "Standard Line Void"), IF(H79="No-Sale Drawer Opening", "DRAWER OPENING", "Standard Sale")))</f>
        <v/>
      </c>
    </row>
    <row r="80" ht="18" customHeight="1">
      <c r="A80" s="15" t="inlineStr">
        <is>
          <t>EVT-10073</t>
        </is>
      </c>
      <c r="B80" s="15" t="inlineStr">
        <is>
          <t>TX-80073</t>
        </is>
      </c>
      <c r="C80" s="27" t="n">
        <v>46305.87548611111</v>
      </c>
      <c r="D80" s="15" t="inlineStr">
        <is>
          <t>BR-01</t>
        </is>
      </c>
      <c r="E80" s="15" t="inlineStr">
        <is>
          <t>T-02</t>
        </is>
      </c>
      <c r="F80" s="15" t="inlineStr">
        <is>
          <t>C-101</t>
        </is>
      </c>
      <c r="G80" s="15" t="inlineStr">
        <is>
          <t>NONE</t>
        </is>
      </c>
      <c r="H80" s="14" t="inlineStr">
        <is>
          <t>Sale Tender</t>
        </is>
      </c>
      <c r="I80" s="15" t="inlineStr">
        <is>
          <t>Delivery Aggregator</t>
        </is>
      </c>
      <c r="J80" s="17" t="n">
        <v>2</v>
      </c>
      <c r="K80" s="28" t="n">
        <v>17.75</v>
      </c>
      <c r="L80" s="28" t="n">
        <v>17.75</v>
      </c>
      <c r="M80" s="27" t="n">
        <v>46305.875</v>
      </c>
      <c r="N80" s="29">
        <f>IFERROR(IF(OR(ISBLANK(M80), M80="", ISBLANK(C80), C80=""), 0, MAX(0, ROUND((C80-M80)*86400, 0))), 0)</f>
        <v/>
      </c>
      <c r="O80" s="14">
        <f>IF(H80="Post-Bill Void", IF(AND(G80="M-904", I80="Cash"), "EXCEPTION: Concurrent Cash Void", IF(AND(I80="Cash", N80&gt;120), "CRITICAL: Delayed Cash Void", IF(N80&gt;120, "EXCEPTION: Delayed Void", "Standard Void"))), IF(H80="Line Item Void", IF(I80="Cash", "EXCEPTION: Cash Line Void", "Standard Line Void"), IF(H80="No-Sale Drawer Opening", "DRAWER OPENING", "Standard Sale")))</f>
        <v/>
      </c>
    </row>
    <row r="81" ht="18" customHeight="1">
      <c r="A81" s="12" t="inlineStr">
        <is>
          <t>EVT-10623</t>
        </is>
      </c>
      <c r="B81" s="12" t="inlineStr">
        <is>
          <t>N/A - NO SALE</t>
        </is>
      </c>
      <c r="C81" s="24" t="n">
        <v>46305.87638888889</v>
      </c>
      <c r="D81" s="12" t="inlineStr">
        <is>
          <t>BR-03</t>
        </is>
      </c>
      <c r="E81" s="12" t="inlineStr">
        <is>
          <t>T-02</t>
        </is>
      </c>
      <c r="F81" s="12" t="inlineStr">
        <is>
          <t>C-112</t>
        </is>
      </c>
      <c r="G81" s="12" t="inlineStr">
        <is>
          <t>NONE</t>
        </is>
      </c>
      <c r="H81" s="11" t="inlineStr">
        <is>
          <t>No-Sale Drawer Opening</t>
        </is>
      </c>
      <c r="I81" s="12" t="inlineStr">
        <is>
          <t>N/A</t>
        </is>
      </c>
      <c r="J81" s="20" t="n">
        <v>0</v>
      </c>
      <c r="K81" s="25" t="n">
        <v>0</v>
      </c>
      <c r="L81" s="25" t="n">
        <v>0</v>
      </c>
      <c r="M81" s="24" t="n">
        <v>46305.87638888889</v>
      </c>
      <c r="N81" s="26">
        <f>IFERROR(IF(OR(ISBLANK(M81), M81="", ISBLANK(C81), C81=""), 0, MAX(0, ROUND((C81-M81)*86400, 0))), 0)</f>
        <v/>
      </c>
      <c r="O81" s="11">
        <f>IF(H81="Post-Bill Void", IF(AND(G81="M-904", I81="Cash"), "EXCEPTION: Concurrent Cash Void", IF(AND(I81="Cash", N81&gt;120), "CRITICAL: Delayed Cash Void", IF(N81&gt;120, "EXCEPTION: Delayed Void", "Standard Void"))), IF(H81="Line Item Void", IF(I81="Cash", "EXCEPTION: Cash Line Void", "Standard Line Void"), IF(H81="No-Sale Drawer Opening", "DRAWER OPENING", "Standard Sale")))</f>
        <v/>
      </c>
    </row>
    <row r="82" ht="18" customHeight="1">
      <c r="A82" s="15" t="inlineStr">
        <is>
          <t>EVT-10074</t>
        </is>
      </c>
      <c r="B82" s="15" t="inlineStr">
        <is>
          <t>TX-80074</t>
        </is>
      </c>
      <c r="C82" s="27" t="n">
        <v>46305.88222222222</v>
      </c>
      <c r="D82" s="15" t="inlineStr">
        <is>
          <t>BR-03</t>
        </is>
      </c>
      <c r="E82" s="15" t="inlineStr">
        <is>
          <t>T-01</t>
        </is>
      </c>
      <c r="F82" s="15" t="inlineStr">
        <is>
          <t>C-110</t>
        </is>
      </c>
      <c r="G82" s="15" t="inlineStr">
        <is>
          <t>NONE</t>
        </is>
      </c>
      <c r="H82" s="14" t="inlineStr">
        <is>
          <t>Sale Tender</t>
        </is>
      </c>
      <c r="I82" s="15" t="inlineStr">
        <is>
          <t>Card</t>
        </is>
      </c>
      <c r="J82" s="17" t="n">
        <v>4</v>
      </c>
      <c r="K82" s="28" t="n">
        <v>42.35</v>
      </c>
      <c r="L82" s="28" t="n">
        <v>42.35</v>
      </c>
      <c r="M82" s="27" t="n">
        <v>46305.88143518518</v>
      </c>
      <c r="N82" s="29">
        <f>IFERROR(IF(OR(ISBLANK(M82), M82="", ISBLANK(C82), C82=""), 0, MAX(0, ROUND((C82-M82)*86400, 0))), 0)</f>
        <v/>
      </c>
      <c r="O82" s="14">
        <f>IF(H82="Post-Bill Void", IF(AND(G82="M-904", I82="Cash"), "EXCEPTION: Concurrent Cash Void", IF(AND(I82="Cash", N82&gt;120), "CRITICAL: Delayed Cash Void", IF(N82&gt;120, "EXCEPTION: Delayed Void", "Standard Void"))), IF(H82="Line Item Void", IF(I82="Cash", "EXCEPTION: Cash Line Void", "Standard Line Void"), IF(H82="No-Sale Drawer Opening", "DRAWER OPENING", "Standard Sale")))</f>
        <v/>
      </c>
    </row>
    <row r="83" ht="18" customHeight="1">
      <c r="A83" s="12" t="inlineStr">
        <is>
          <t>EVT-10075</t>
        </is>
      </c>
      <c r="B83" s="12" t="inlineStr">
        <is>
          <t>TX-80075</t>
        </is>
      </c>
      <c r="C83" s="24" t="n">
        <v>46305.88950231481</v>
      </c>
      <c r="D83" s="12" t="inlineStr">
        <is>
          <t>BR-04</t>
        </is>
      </c>
      <c r="E83" s="12" t="inlineStr">
        <is>
          <t>T-02</t>
        </is>
      </c>
      <c r="F83" s="12" t="inlineStr">
        <is>
          <t>C-114</t>
        </is>
      </c>
      <c r="G83" s="12" t="inlineStr">
        <is>
          <t>NONE</t>
        </is>
      </c>
      <c r="H83" s="11" t="inlineStr">
        <is>
          <t>Sale Tender</t>
        </is>
      </c>
      <c r="I83" s="12" t="inlineStr">
        <is>
          <t>Cash</t>
        </is>
      </c>
      <c r="J83" s="20" t="n">
        <v>5</v>
      </c>
      <c r="K83" s="25" t="n">
        <v>44.45</v>
      </c>
      <c r="L83" s="25" t="n">
        <v>44.45</v>
      </c>
      <c r="M83" s="24" t="n">
        <v>46305.88851851852</v>
      </c>
      <c r="N83" s="26">
        <f>IFERROR(IF(OR(ISBLANK(M83), M83="", ISBLANK(C83), C83=""), 0, MAX(0, ROUND((C83-M83)*86400, 0))), 0)</f>
        <v/>
      </c>
      <c r="O83" s="11">
        <f>IF(H83="Post-Bill Void", IF(AND(G83="M-904", I83="Cash"), "EXCEPTION: Concurrent Cash Void", IF(AND(I83="Cash", N83&gt;120), "CRITICAL: Delayed Cash Void", IF(N83&gt;120, "EXCEPTION: Delayed Void", "Standard Void"))), IF(H83="Line Item Void", IF(I83="Cash", "EXCEPTION: Cash Line Void", "Standard Line Void"), IF(H83="No-Sale Drawer Opening", "DRAWER OPENING", "Standard Sale")))</f>
        <v/>
      </c>
    </row>
    <row r="84" ht="18" customHeight="1">
      <c r="A84" s="15" t="inlineStr">
        <is>
          <t>EVT-10076</t>
        </is>
      </c>
      <c r="B84" s="15" t="inlineStr">
        <is>
          <t>TX-80076</t>
        </is>
      </c>
      <c r="C84" s="27" t="n">
        <v>46305.89608796296</v>
      </c>
      <c r="D84" s="15" t="inlineStr">
        <is>
          <t>BR-02</t>
        </is>
      </c>
      <c r="E84" s="15" t="inlineStr">
        <is>
          <t>T-02</t>
        </is>
      </c>
      <c r="F84" s="15" t="inlineStr">
        <is>
          <t>C-105</t>
        </is>
      </c>
      <c r="G84" s="15" t="inlineStr">
        <is>
          <t>NONE</t>
        </is>
      </c>
      <c r="H84" s="14" t="inlineStr">
        <is>
          <t>Sale Tender</t>
        </is>
      </c>
      <c r="I84" s="15" t="inlineStr">
        <is>
          <t>Card</t>
        </is>
      </c>
      <c r="J84" s="17" t="n">
        <v>2</v>
      </c>
      <c r="K84" s="28" t="n">
        <v>19.99</v>
      </c>
      <c r="L84" s="28" t="n">
        <v>19.99</v>
      </c>
      <c r="M84" s="27" t="n">
        <v>46305.89574074074</v>
      </c>
      <c r="N84" s="29">
        <f>IFERROR(IF(OR(ISBLANK(M84), M84="", ISBLANK(C84), C84=""), 0, MAX(0, ROUND((C84-M84)*86400, 0))), 0)</f>
        <v/>
      </c>
      <c r="O84" s="14">
        <f>IF(H84="Post-Bill Void", IF(AND(G84="M-904", I84="Cash"), "EXCEPTION: Concurrent Cash Void", IF(AND(I84="Cash", N84&gt;120), "CRITICAL: Delayed Cash Void", IF(N84&gt;120, "EXCEPTION: Delayed Void", "Standard Void"))), IF(H84="Line Item Void", IF(I84="Cash", "EXCEPTION: Cash Line Void", "Standard Line Void"), IF(H84="No-Sale Drawer Opening", "DRAWER OPENING", "Standard Sale")))</f>
        <v/>
      </c>
    </row>
    <row r="85" ht="18" customHeight="1">
      <c r="A85" s="12" t="inlineStr">
        <is>
          <t>EVT-10597</t>
        </is>
      </c>
      <c r="B85" s="12" t="inlineStr">
        <is>
          <t>N/A - NO SALE</t>
        </is>
      </c>
      <c r="C85" s="24" t="n">
        <v>46305.90138888889</v>
      </c>
      <c r="D85" s="12" t="inlineStr">
        <is>
          <t>BR-03</t>
        </is>
      </c>
      <c r="E85" s="12" t="inlineStr">
        <is>
          <t>T-02</t>
        </is>
      </c>
      <c r="F85" s="12" t="inlineStr">
        <is>
          <t>C-112</t>
        </is>
      </c>
      <c r="G85" s="12" t="inlineStr">
        <is>
          <t>NONE</t>
        </is>
      </c>
      <c r="H85" s="11" t="inlineStr">
        <is>
          <t>No-Sale Drawer Opening</t>
        </is>
      </c>
      <c r="I85" s="12" t="inlineStr">
        <is>
          <t>N/A</t>
        </is>
      </c>
      <c r="J85" s="20" t="n">
        <v>0</v>
      </c>
      <c r="K85" s="25" t="n">
        <v>0</v>
      </c>
      <c r="L85" s="25" t="n">
        <v>0</v>
      </c>
      <c r="M85" s="24" t="n">
        <v>46305.90138888889</v>
      </c>
      <c r="N85" s="26">
        <f>IFERROR(IF(OR(ISBLANK(M85), M85="", ISBLANK(C85), C85=""), 0, MAX(0, ROUND((C85-M85)*86400, 0))), 0)</f>
        <v/>
      </c>
      <c r="O85" s="11">
        <f>IF(H85="Post-Bill Void", IF(AND(G85="M-904", I85="Cash"), "EXCEPTION: Concurrent Cash Void", IF(AND(I85="Cash", N85&gt;120), "CRITICAL: Delayed Cash Void", IF(N85&gt;120, "EXCEPTION: Delayed Void", "Standard Void"))), IF(H85="Line Item Void", IF(I85="Cash", "EXCEPTION: Cash Line Void", "Standard Line Void"), IF(H85="No-Sale Drawer Opening", "DRAWER OPENING", "Standard Sale")))</f>
        <v/>
      </c>
    </row>
    <row r="86" ht="18" customHeight="1">
      <c r="A86" s="15" t="inlineStr">
        <is>
          <t>EVT-10077</t>
        </is>
      </c>
      <c r="B86" s="15" t="inlineStr">
        <is>
          <t>TX-80077</t>
        </is>
      </c>
      <c r="C86" s="27" t="n">
        <v>46305.90278935185</v>
      </c>
      <c r="D86" s="15" t="inlineStr">
        <is>
          <t>BR-02</t>
        </is>
      </c>
      <c r="E86" s="15" t="inlineStr">
        <is>
          <t>T-01</t>
        </is>
      </c>
      <c r="F86" s="15" t="inlineStr">
        <is>
          <t>C-106</t>
        </is>
      </c>
      <c r="G86" s="15" t="inlineStr">
        <is>
          <t>NONE</t>
        </is>
      </c>
      <c r="H86" s="14" t="inlineStr">
        <is>
          <t>Sale Tender</t>
        </is>
      </c>
      <c r="I86" s="15" t="inlineStr">
        <is>
          <t>Card</t>
        </is>
      </c>
      <c r="J86" s="17" t="n">
        <v>2</v>
      </c>
      <c r="K86" s="28" t="n">
        <v>23.98</v>
      </c>
      <c r="L86" s="28" t="n">
        <v>23.98</v>
      </c>
      <c r="M86" s="27" t="n">
        <v>46305.90233796297</v>
      </c>
      <c r="N86" s="29">
        <f>IFERROR(IF(OR(ISBLANK(M86), M86="", ISBLANK(C86), C86=""), 0, MAX(0, ROUND((C86-M86)*86400, 0))), 0)</f>
        <v/>
      </c>
      <c r="O86" s="14">
        <f>IF(H86="Post-Bill Void", IF(AND(G86="M-904", I86="Cash"), "EXCEPTION: Concurrent Cash Void", IF(AND(I86="Cash", N86&gt;120), "CRITICAL: Delayed Cash Void", IF(N86&gt;120, "EXCEPTION: Delayed Void", "Standard Void"))), IF(H86="Line Item Void", IF(I86="Cash", "EXCEPTION: Cash Line Void", "Standard Line Void"), IF(H86="No-Sale Drawer Opening", "DRAWER OPENING", "Standard Sale")))</f>
        <v/>
      </c>
    </row>
    <row r="87" ht="18" customHeight="1">
      <c r="A87" s="12" t="inlineStr">
        <is>
          <t>EVT-10078</t>
        </is>
      </c>
      <c r="B87" s="12" t="inlineStr">
        <is>
          <t>TX-80078</t>
        </is>
      </c>
      <c r="C87" s="24" t="n">
        <v>46305.9099074074</v>
      </c>
      <c r="D87" s="12" t="inlineStr">
        <is>
          <t>BR-03</t>
        </is>
      </c>
      <c r="E87" s="12" t="inlineStr">
        <is>
          <t>T-02</t>
        </is>
      </c>
      <c r="F87" s="12" t="inlineStr">
        <is>
          <t>C-110</t>
        </is>
      </c>
      <c r="G87" s="12" t="inlineStr">
        <is>
          <t>NONE</t>
        </is>
      </c>
      <c r="H87" s="11" t="inlineStr">
        <is>
          <t>Sale Tender</t>
        </is>
      </c>
      <c r="I87" s="12" t="inlineStr">
        <is>
          <t>Card</t>
        </is>
      </c>
      <c r="J87" s="20" t="n">
        <v>2</v>
      </c>
      <c r="K87" s="25" t="n">
        <v>31.47</v>
      </c>
      <c r="L87" s="25" t="n">
        <v>31.47</v>
      </c>
      <c r="M87" s="24" t="n">
        <v>46305.90945601852</v>
      </c>
      <c r="N87" s="26">
        <f>IFERROR(IF(OR(ISBLANK(M87), M87="", ISBLANK(C87), C87=""), 0, MAX(0, ROUND((C87-M87)*86400, 0))), 0)</f>
        <v/>
      </c>
      <c r="O87" s="11">
        <f>IF(H87="Post-Bill Void", IF(AND(G87="M-904", I87="Cash"), "EXCEPTION: Concurrent Cash Void", IF(AND(I87="Cash", N87&gt;120), "CRITICAL: Delayed Cash Void", IF(N87&gt;120, "EXCEPTION: Delayed Void", "Standard Void"))), IF(H87="Line Item Void", IF(I87="Cash", "EXCEPTION: Cash Line Void", "Standard Line Void"), IF(H87="No-Sale Drawer Opening", "DRAWER OPENING", "Standard Sale")))</f>
        <v/>
      </c>
    </row>
    <row r="88" ht="18" customHeight="1">
      <c r="A88" s="15" t="inlineStr">
        <is>
          <t>EVT-10604</t>
        </is>
      </c>
      <c r="B88" s="15" t="inlineStr">
        <is>
          <t>N/A - NO SALE</t>
        </is>
      </c>
      <c r="C88" s="27" t="n">
        <v>46305.9375</v>
      </c>
      <c r="D88" s="15" t="inlineStr">
        <is>
          <t>BR-03</t>
        </is>
      </c>
      <c r="E88" s="15" t="inlineStr">
        <is>
          <t>T-02</t>
        </is>
      </c>
      <c r="F88" s="15" t="inlineStr">
        <is>
          <t>C-112</t>
        </is>
      </c>
      <c r="G88" s="15" t="inlineStr">
        <is>
          <t>NONE</t>
        </is>
      </c>
      <c r="H88" s="14" t="inlineStr">
        <is>
          <t>No-Sale Drawer Opening</t>
        </is>
      </c>
      <c r="I88" s="15" t="inlineStr">
        <is>
          <t>N/A</t>
        </is>
      </c>
      <c r="J88" s="17" t="n">
        <v>0</v>
      </c>
      <c r="K88" s="28" t="n">
        <v>0</v>
      </c>
      <c r="L88" s="28" t="n">
        <v>0</v>
      </c>
      <c r="M88" s="27" t="n">
        <v>46305.9375</v>
      </c>
      <c r="N88" s="29">
        <f>IFERROR(IF(OR(ISBLANK(M88), M88="", ISBLANK(C88), C88=""), 0, MAX(0, ROUND((C88-M88)*86400, 0))), 0)</f>
        <v/>
      </c>
      <c r="O88" s="14">
        <f>IF(H88="Post-Bill Void", IF(AND(G88="M-904", I88="Cash"), "EXCEPTION: Concurrent Cash Void", IF(AND(I88="Cash", N88&gt;120), "CRITICAL: Delayed Cash Void", IF(N88&gt;120, "EXCEPTION: Delayed Void", "Standard Void"))), IF(H88="Line Item Void", IF(I88="Cash", "EXCEPTION: Cash Line Void", "Standard Line Void"), IF(H88="No-Sale Drawer Opening", "DRAWER OPENING", "Standard Sale")))</f>
        <v/>
      </c>
    </row>
    <row r="89" ht="18" customHeight="1">
      <c r="A89" s="12" t="inlineStr">
        <is>
          <t>EVT-10603</t>
        </is>
      </c>
      <c r="B89" s="12" t="inlineStr">
        <is>
          <t>N/A - NO SALE</t>
        </is>
      </c>
      <c r="C89" s="24" t="n">
        <v>46305.96041666667</v>
      </c>
      <c r="D89" s="12" t="inlineStr">
        <is>
          <t>BR-03</t>
        </is>
      </c>
      <c r="E89" s="12" t="inlineStr">
        <is>
          <t>T-02</t>
        </is>
      </c>
      <c r="F89" s="12" t="inlineStr">
        <is>
          <t>C-112</t>
        </is>
      </c>
      <c r="G89" s="12" t="inlineStr">
        <is>
          <t>NONE</t>
        </is>
      </c>
      <c r="H89" s="11" t="inlineStr">
        <is>
          <t>No-Sale Drawer Opening</t>
        </is>
      </c>
      <c r="I89" s="12" t="inlineStr">
        <is>
          <t>N/A</t>
        </is>
      </c>
      <c r="J89" s="20" t="n">
        <v>0</v>
      </c>
      <c r="K89" s="25" t="n">
        <v>0</v>
      </c>
      <c r="L89" s="25" t="n">
        <v>0</v>
      </c>
      <c r="M89" s="24" t="n">
        <v>46305.96041666667</v>
      </c>
      <c r="N89" s="26">
        <f>IFERROR(IF(OR(ISBLANK(M89), M89="", ISBLANK(C89), C89=""), 0, MAX(0, ROUND((C89-M89)*86400, 0))), 0)</f>
        <v/>
      </c>
      <c r="O89" s="11">
        <f>IF(H89="Post-Bill Void", IF(AND(G89="M-904", I89="Cash"), "EXCEPTION: Concurrent Cash Void", IF(AND(I89="Cash", N89&gt;120), "CRITICAL: Delayed Cash Void", IF(N89&gt;120, "EXCEPTION: Delayed Void", "Standard Void"))), IF(H89="Line Item Void", IF(I89="Cash", "EXCEPTION: Cash Line Void", "Standard Line Void"), IF(H89="No-Sale Drawer Opening", "DRAWER OPENING", "Standard Sale")))</f>
        <v/>
      </c>
    </row>
    <row r="90" ht="18" customHeight="1">
      <c r="A90" s="15" t="inlineStr">
        <is>
          <t>EVT-10589</t>
        </is>
      </c>
      <c r="B90" s="15" t="inlineStr">
        <is>
          <t>N/A - NO SALE</t>
        </is>
      </c>
      <c r="C90" s="27" t="n">
        <v>46305.96597222222</v>
      </c>
      <c r="D90" s="15" t="inlineStr">
        <is>
          <t>BR-03</t>
        </is>
      </c>
      <c r="E90" s="15" t="inlineStr">
        <is>
          <t>T-02</t>
        </is>
      </c>
      <c r="F90" s="15" t="inlineStr">
        <is>
          <t>C-112</t>
        </is>
      </c>
      <c r="G90" s="15" t="inlineStr">
        <is>
          <t>NONE</t>
        </is>
      </c>
      <c r="H90" s="14" t="inlineStr">
        <is>
          <t>No-Sale Drawer Opening</t>
        </is>
      </c>
      <c r="I90" s="15" t="inlineStr">
        <is>
          <t>N/A</t>
        </is>
      </c>
      <c r="J90" s="17" t="n">
        <v>0</v>
      </c>
      <c r="K90" s="28" t="n">
        <v>0</v>
      </c>
      <c r="L90" s="28" t="n">
        <v>0</v>
      </c>
      <c r="M90" s="27" t="n">
        <v>46305.96597222222</v>
      </c>
      <c r="N90" s="29">
        <f>IFERROR(IF(OR(ISBLANK(M90), M90="", ISBLANK(C90), C90=""), 0, MAX(0, ROUND((C90-M90)*86400, 0))), 0)</f>
        <v/>
      </c>
      <c r="O90" s="14">
        <f>IF(H90="Post-Bill Void", IF(AND(G90="M-904", I90="Cash"), "EXCEPTION: Concurrent Cash Void", IF(AND(I90="Cash", N90&gt;120), "CRITICAL: Delayed Cash Void", IF(N90&gt;120, "EXCEPTION: Delayed Void", "Standard Void"))), IF(H90="Line Item Void", IF(I90="Cash", "EXCEPTION: Cash Line Void", "Standard Line Void"), IF(H90="No-Sale Drawer Opening", "DRAWER OPENING", "Standard Sale")))</f>
        <v/>
      </c>
    </row>
    <row r="91" ht="18" customHeight="1">
      <c r="A91" s="12" t="inlineStr">
        <is>
          <t>EVT-10572</t>
        </is>
      </c>
      <c r="B91" s="12" t="inlineStr">
        <is>
          <t>TX-80572</t>
        </is>
      </c>
      <c r="C91" s="24" t="n">
        <v>46305.99722222222</v>
      </c>
      <c r="D91" s="12" t="inlineStr">
        <is>
          <t>BR-02</t>
        </is>
      </c>
      <c r="E91" s="12" t="inlineStr">
        <is>
          <t>T-01</t>
        </is>
      </c>
      <c r="F91" s="12" t="inlineStr">
        <is>
          <t>C-108</t>
        </is>
      </c>
      <c r="G91" s="12" t="inlineStr">
        <is>
          <t>M-902</t>
        </is>
      </c>
      <c r="H91" s="11" t="inlineStr">
        <is>
          <t>Line Item Void</t>
        </is>
      </c>
      <c r="I91" s="12" t="inlineStr">
        <is>
          <t>Cash</t>
        </is>
      </c>
      <c r="J91" s="20" t="n">
        <v>2</v>
      </c>
      <c r="K91" s="25" t="n">
        <v>40.73</v>
      </c>
      <c r="L91" s="25" t="n">
        <v>0</v>
      </c>
      <c r="M91" s="24" t="n">
        <v>46305.9965162037</v>
      </c>
      <c r="N91" s="26">
        <f>IFERROR(IF(OR(ISBLANK(M91), M91="", ISBLANK(C91), C91=""), 0, MAX(0, ROUND((C91-M91)*86400, 0))), 0)</f>
        <v/>
      </c>
      <c r="O91" s="11">
        <f>IF(H91="Post-Bill Void", IF(AND(G91="M-904", I91="Cash"), "EXCEPTION: Concurrent Cash Void", IF(AND(I91="Cash", N91&gt;120), "CRITICAL: Delayed Cash Void", IF(N91&gt;120, "EXCEPTION: Delayed Void", "Standard Void"))), IF(H91="Line Item Void", IF(I91="Cash", "EXCEPTION: Cash Line Void", "Standard Line Void"), IF(H91="No-Sale Drawer Opening", "DRAWER OPENING", "Standard Sale")))</f>
        <v/>
      </c>
    </row>
    <row r="92" ht="18" customHeight="1">
      <c r="A92" s="15" t="inlineStr">
        <is>
          <t>EVT-10551</t>
        </is>
      </c>
      <c r="B92" s="15" t="inlineStr">
        <is>
          <t>TX-80551</t>
        </is>
      </c>
      <c r="C92" s="27" t="n">
        <v>46306.00763888889</v>
      </c>
      <c r="D92" s="15" t="inlineStr">
        <is>
          <t>BR-01</t>
        </is>
      </c>
      <c r="E92" s="15" t="inlineStr">
        <is>
          <t>T-02</t>
        </is>
      </c>
      <c r="F92" s="15" t="inlineStr">
        <is>
          <t>C-104</t>
        </is>
      </c>
      <c r="G92" s="15" t="inlineStr">
        <is>
          <t>M-901</t>
        </is>
      </c>
      <c r="H92" s="14" t="inlineStr">
        <is>
          <t>Post-Bill Void</t>
        </is>
      </c>
      <c r="I92" s="15" t="inlineStr">
        <is>
          <t>Cash</t>
        </is>
      </c>
      <c r="J92" s="17" t="n">
        <v>2</v>
      </c>
      <c r="K92" s="28" t="n">
        <v>41.47</v>
      </c>
      <c r="L92" s="28" t="n">
        <v>0</v>
      </c>
      <c r="M92" s="27" t="n">
        <v>46306.00393518519</v>
      </c>
      <c r="N92" s="29">
        <f>IFERROR(IF(OR(ISBLANK(M92), M92="", ISBLANK(C92), C92=""), 0, MAX(0, ROUND((C92-M92)*86400, 0))), 0)</f>
        <v/>
      </c>
      <c r="O92" s="14">
        <f>IF(H92="Post-Bill Void", IF(AND(G92="M-904", I92="Cash"), "EXCEPTION: Concurrent Cash Void", IF(AND(I92="Cash", N92&gt;120), "CRITICAL: Delayed Cash Void", IF(N92&gt;120, "EXCEPTION: Delayed Void", "Standard Void"))), IF(H92="Line Item Void", IF(I92="Cash", "EXCEPTION: Cash Line Void", "Standard Line Void"), IF(H92="No-Sale Drawer Opening", "DRAWER OPENING", "Standard Sale")))</f>
        <v/>
      </c>
    </row>
    <row r="93" ht="18" customHeight="1">
      <c r="A93" s="12" t="inlineStr">
        <is>
          <t>EVT-10646</t>
        </is>
      </c>
      <c r="B93" s="12" t="inlineStr">
        <is>
          <t>N/A - NO SALE</t>
        </is>
      </c>
      <c r="C93" s="24" t="n">
        <v>46306.04861111111</v>
      </c>
      <c r="D93" s="12" t="inlineStr">
        <is>
          <t>BR-03</t>
        </is>
      </c>
      <c r="E93" s="12" t="inlineStr">
        <is>
          <t>T-01</t>
        </is>
      </c>
      <c r="F93" s="12" t="inlineStr">
        <is>
          <t>C-109</t>
        </is>
      </c>
      <c r="G93" s="12" t="inlineStr">
        <is>
          <t>NONE</t>
        </is>
      </c>
      <c r="H93" s="11" t="inlineStr">
        <is>
          <t>No-Sale Drawer Opening</t>
        </is>
      </c>
      <c r="I93" s="12" t="inlineStr">
        <is>
          <t>N/A</t>
        </is>
      </c>
      <c r="J93" s="20" t="n">
        <v>0</v>
      </c>
      <c r="K93" s="25" t="n">
        <v>0</v>
      </c>
      <c r="L93" s="25" t="n">
        <v>0</v>
      </c>
      <c r="M93" s="24" t="n">
        <v>46306.04861111111</v>
      </c>
      <c r="N93" s="26">
        <f>IFERROR(IF(OR(ISBLANK(M93), M93="", ISBLANK(C93), C93=""), 0, MAX(0, ROUND((C93-M93)*86400, 0))), 0)</f>
        <v/>
      </c>
      <c r="O93" s="11">
        <f>IF(H93="Post-Bill Void", IF(AND(G93="M-904", I93="Cash"), "EXCEPTION: Concurrent Cash Void", IF(AND(I93="Cash", N93&gt;120), "CRITICAL: Delayed Cash Void", IF(N93&gt;120, "EXCEPTION: Delayed Void", "Standard Void"))), IF(H93="Line Item Void", IF(I93="Cash", "EXCEPTION: Cash Line Void", "Standard Line Void"), IF(H93="No-Sale Drawer Opening", "DRAWER OPENING", "Standard Sale")))</f>
        <v/>
      </c>
    </row>
    <row r="94" ht="18" customHeight="1">
      <c r="A94" s="15" t="inlineStr">
        <is>
          <t>EVT-10563</t>
        </is>
      </c>
      <c r="B94" s="15" t="inlineStr">
        <is>
          <t>TX-80563</t>
        </is>
      </c>
      <c r="C94" s="27" t="n">
        <v>46306.06666666667</v>
      </c>
      <c r="D94" s="15" t="inlineStr">
        <is>
          <t>BR-02</t>
        </is>
      </c>
      <c r="E94" s="15" t="inlineStr">
        <is>
          <t>T-01</t>
        </is>
      </c>
      <c r="F94" s="15" t="inlineStr">
        <is>
          <t>C-108</t>
        </is>
      </c>
      <c r="G94" s="15" t="inlineStr">
        <is>
          <t>M-902</t>
        </is>
      </c>
      <c r="H94" s="14" t="inlineStr">
        <is>
          <t>Line Item Void</t>
        </is>
      </c>
      <c r="I94" s="15" t="inlineStr">
        <is>
          <t>Cash</t>
        </is>
      </c>
      <c r="J94" s="17" t="n">
        <v>2</v>
      </c>
      <c r="K94" s="28" t="n">
        <v>38.47</v>
      </c>
      <c r="L94" s="28" t="n">
        <v>0</v>
      </c>
      <c r="M94" s="27" t="n">
        <v>46306.06582175926</v>
      </c>
      <c r="N94" s="29">
        <f>IFERROR(IF(OR(ISBLANK(M94), M94="", ISBLANK(C94), C94=""), 0, MAX(0, ROUND((C94-M94)*86400, 0))), 0)</f>
        <v/>
      </c>
      <c r="O94" s="14">
        <f>IF(H94="Post-Bill Void", IF(AND(G94="M-904", I94="Cash"), "EXCEPTION: Concurrent Cash Void", IF(AND(I94="Cash", N94&gt;120), "CRITICAL: Delayed Cash Void", IF(N94&gt;120, "EXCEPTION: Delayed Void", "Standard Void"))), IF(H94="Line Item Void", IF(I94="Cash", "EXCEPTION: Cash Line Void", "Standard Line Void"), IF(H94="No-Sale Drawer Opening", "DRAWER OPENING", "Standard Sale")))</f>
        <v/>
      </c>
    </row>
    <row r="95" ht="18" customHeight="1">
      <c r="A95" s="12" t="inlineStr">
        <is>
          <t>EVT-10659</t>
        </is>
      </c>
      <c r="B95" s="12" t="inlineStr">
        <is>
          <t>N/A - NO SALE</t>
        </is>
      </c>
      <c r="C95" s="24" t="n">
        <v>46306.13958333333</v>
      </c>
      <c r="D95" s="12" t="inlineStr">
        <is>
          <t>BR-04</t>
        </is>
      </c>
      <c r="E95" s="12" t="inlineStr">
        <is>
          <t>T-01</t>
        </is>
      </c>
      <c r="F95" s="12" t="inlineStr">
        <is>
          <t>C-114</t>
        </is>
      </c>
      <c r="G95" s="12" t="inlineStr">
        <is>
          <t>NONE</t>
        </is>
      </c>
      <c r="H95" s="11" t="inlineStr">
        <is>
          <t>No-Sale Drawer Opening</t>
        </is>
      </c>
      <c r="I95" s="12" t="inlineStr">
        <is>
          <t>N/A</t>
        </is>
      </c>
      <c r="J95" s="20" t="n">
        <v>0</v>
      </c>
      <c r="K95" s="25" t="n">
        <v>0</v>
      </c>
      <c r="L95" s="25" t="n">
        <v>0</v>
      </c>
      <c r="M95" s="24" t="n">
        <v>46306.13958333333</v>
      </c>
      <c r="N95" s="26">
        <f>IFERROR(IF(OR(ISBLANK(M95), M95="", ISBLANK(C95), C95=""), 0, MAX(0, ROUND((C95-M95)*86400, 0))), 0)</f>
        <v/>
      </c>
      <c r="O95" s="11">
        <f>IF(H95="Post-Bill Void", IF(AND(G95="M-904", I95="Cash"), "EXCEPTION: Concurrent Cash Void", IF(AND(I95="Cash", N95&gt;120), "CRITICAL: Delayed Cash Void", IF(N95&gt;120, "EXCEPTION: Delayed Void", "Standard Void"))), IF(H95="Line Item Void", IF(I95="Cash", "EXCEPTION: Cash Line Void", "Standard Line Void"), IF(H95="No-Sale Drawer Opening", "DRAWER OPENING", "Standard Sale")))</f>
        <v/>
      </c>
    </row>
    <row r="96" ht="18" customHeight="1">
      <c r="A96" s="15" t="inlineStr">
        <is>
          <t>EVT-10651</t>
        </is>
      </c>
      <c r="B96" s="15" t="inlineStr">
        <is>
          <t>TX-80599</t>
        </is>
      </c>
      <c r="C96" s="27" t="n">
        <v>46306.14513888889</v>
      </c>
      <c r="D96" s="15" t="inlineStr">
        <is>
          <t>BR-03</t>
        </is>
      </c>
      <c r="E96" s="15" t="inlineStr">
        <is>
          <t>T-01</t>
        </is>
      </c>
      <c r="F96" s="15" t="inlineStr">
        <is>
          <t>C-111</t>
        </is>
      </c>
      <c r="G96" s="15" t="inlineStr">
        <is>
          <t>M-903</t>
        </is>
      </c>
      <c r="H96" s="14" t="inlineStr">
        <is>
          <t>Post-Bill Void</t>
        </is>
      </c>
      <c r="I96" s="15" t="inlineStr">
        <is>
          <t>Cash</t>
        </is>
      </c>
      <c r="J96" s="17" t="n">
        <v>1</v>
      </c>
      <c r="K96" s="28" t="n">
        <v>16.08</v>
      </c>
      <c r="L96" s="28" t="n">
        <v>0</v>
      </c>
      <c r="M96" s="27" t="n">
        <v>46306.14489583333</v>
      </c>
      <c r="N96" s="29">
        <f>IFERROR(IF(OR(ISBLANK(M96), M96="", ISBLANK(C96), C96=""), 0, MAX(0, ROUND((C96-M96)*86400, 0))), 0)</f>
        <v/>
      </c>
      <c r="O96" s="14">
        <f>IF(H96="Post-Bill Void", IF(AND(G96="M-904", I96="Cash"), "EXCEPTION: Concurrent Cash Void", IF(AND(I96="Cash", N96&gt;120), "CRITICAL: Delayed Cash Void", IF(N96&gt;120, "EXCEPTION: Delayed Void", "Standard Void"))), IF(H96="Line Item Void", IF(I96="Cash", "EXCEPTION: Cash Line Void", "Standard Line Void"), IF(H96="No-Sale Drawer Opening", "DRAWER OPENING", "Standard Sale")))</f>
        <v/>
      </c>
    </row>
    <row r="97" ht="18" customHeight="1">
      <c r="A97" s="12" t="inlineStr">
        <is>
          <t>EVT-10662</t>
        </is>
      </c>
      <c r="B97" s="12" t="inlineStr">
        <is>
          <t>N/A - NO SALE</t>
        </is>
      </c>
      <c r="C97" s="24" t="n">
        <v>46306.19652777778</v>
      </c>
      <c r="D97" s="12" t="inlineStr">
        <is>
          <t>BR-04</t>
        </is>
      </c>
      <c r="E97" s="12" t="inlineStr">
        <is>
          <t>T-01</t>
        </is>
      </c>
      <c r="F97" s="12" t="inlineStr">
        <is>
          <t>C-115</t>
        </is>
      </c>
      <c r="G97" s="12" t="inlineStr">
        <is>
          <t>NONE</t>
        </is>
      </c>
      <c r="H97" s="11" t="inlineStr">
        <is>
          <t>No-Sale Drawer Opening</t>
        </is>
      </c>
      <c r="I97" s="12" t="inlineStr">
        <is>
          <t>N/A</t>
        </is>
      </c>
      <c r="J97" s="20" t="n">
        <v>0</v>
      </c>
      <c r="K97" s="25" t="n">
        <v>0</v>
      </c>
      <c r="L97" s="25" t="n">
        <v>0</v>
      </c>
      <c r="M97" s="24" t="n">
        <v>46306.19652777778</v>
      </c>
      <c r="N97" s="26">
        <f>IFERROR(IF(OR(ISBLANK(M97), M97="", ISBLANK(C97), C97=""), 0, MAX(0, ROUND((C97-M97)*86400, 0))), 0)</f>
        <v/>
      </c>
      <c r="O97" s="11">
        <f>IF(H97="Post-Bill Void", IF(AND(G97="M-904", I97="Cash"), "EXCEPTION: Concurrent Cash Void", IF(AND(I97="Cash", N97&gt;120), "CRITICAL: Delayed Cash Void", IF(N97&gt;120, "EXCEPTION: Delayed Void", "Standard Void"))), IF(H97="Line Item Void", IF(I97="Cash", "EXCEPTION: Cash Line Void", "Standard Line Void"), IF(H97="No-Sale Drawer Opening", "DRAWER OPENING", "Standard Sale")))</f>
        <v/>
      </c>
    </row>
    <row r="98" ht="18" customHeight="1">
      <c r="A98" s="15" t="inlineStr">
        <is>
          <t>EVT-10569</t>
        </is>
      </c>
      <c r="B98" s="15" t="inlineStr">
        <is>
          <t>TX-80569</t>
        </is>
      </c>
      <c r="C98" s="27" t="n">
        <v>46306.22638888889</v>
      </c>
      <c r="D98" s="15" t="inlineStr">
        <is>
          <t>BR-02</t>
        </is>
      </c>
      <c r="E98" s="15" t="inlineStr">
        <is>
          <t>T-01</t>
        </is>
      </c>
      <c r="F98" s="15" t="inlineStr">
        <is>
          <t>C-108</t>
        </is>
      </c>
      <c r="G98" s="15" t="inlineStr">
        <is>
          <t>M-902</t>
        </is>
      </c>
      <c r="H98" s="14" t="inlineStr">
        <is>
          <t>Line Item Void</t>
        </is>
      </c>
      <c r="I98" s="15" t="inlineStr">
        <is>
          <t>Cash</t>
        </is>
      </c>
      <c r="J98" s="17" t="n">
        <v>2</v>
      </c>
      <c r="K98" s="28" t="n">
        <v>33.44</v>
      </c>
      <c r="L98" s="28" t="n">
        <v>0</v>
      </c>
      <c r="M98" s="27" t="n">
        <v>46306.22583333333</v>
      </c>
      <c r="N98" s="29">
        <f>IFERROR(IF(OR(ISBLANK(M98), M98="", ISBLANK(C98), C98=""), 0, MAX(0, ROUND((C98-M98)*86400, 0))), 0)</f>
        <v/>
      </c>
      <c r="O98" s="14">
        <f>IF(H98="Post-Bill Void", IF(AND(G98="M-904", I98="Cash"), "EXCEPTION: Concurrent Cash Void", IF(AND(I98="Cash", N98&gt;120), "CRITICAL: Delayed Cash Void", IF(N98&gt;120, "EXCEPTION: Delayed Void", "Standard Void"))), IF(H98="Line Item Void", IF(I98="Cash", "EXCEPTION: Cash Line Void", "Standard Line Void"), IF(H98="No-Sale Drawer Opening", "DRAWER OPENING", "Standard Sale")))</f>
        <v/>
      </c>
    </row>
    <row r="99" ht="18" customHeight="1">
      <c r="A99" s="12" t="inlineStr">
        <is>
          <t>EVT-10576</t>
        </is>
      </c>
      <c r="B99" s="12" t="inlineStr">
        <is>
          <t>TX-80576</t>
        </is>
      </c>
      <c r="C99" s="24" t="n">
        <v>46306.23541666667</v>
      </c>
      <c r="D99" s="12" t="inlineStr">
        <is>
          <t>BR-02</t>
        </is>
      </c>
      <c r="E99" s="12" t="inlineStr">
        <is>
          <t>T-01</t>
        </is>
      </c>
      <c r="F99" s="12" t="inlineStr">
        <is>
          <t>C-108</t>
        </is>
      </c>
      <c r="G99" s="12" t="inlineStr">
        <is>
          <t>M-902</t>
        </is>
      </c>
      <c r="H99" s="11" t="inlineStr">
        <is>
          <t>Line Item Void</t>
        </is>
      </c>
      <c r="I99" s="12" t="inlineStr">
        <is>
          <t>Cash</t>
        </is>
      </c>
      <c r="J99" s="20" t="n">
        <v>2</v>
      </c>
      <c r="K99" s="25" t="n">
        <v>26.32</v>
      </c>
      <c r="L99" s="25" t="n">
        <v>0</v>
      </c>
      <c r="M99" s="24" t="n">
        <v>46306.23491898148</v>
      </c>
      <c r="N99" s="26">
        <f>IFERROR(IF(OR(ISBLANK(M99), M99="", ISBLANK(C99), C99=""), 0, MAX(0, ROUND((C99-M99)*86400, 0))), 0)</f>
        <v/>
      </c>
      <c r="O99" s="11">
        <f>IF(H99="Post-Bill Void", IF(AND(G99="M-904", I99="Cash"), "EXCEPTION: Concurrent Cash Void", IF(AND(I99="Cash", N99&gt;120), "CRITICAL: Delayed Cash Void", IF(N99&gt;120, "EXCEPTION: Delayed Void", "Standard Void"))), IF(H99="Line Item Void", IF(I99="Cash", "EXCEPTION: Cash Line Void", "Standard Line Void"), IF(H99="No-Sale Drawer Opening", "DRAWER OPENING", "Standard Sale")))</f>
        <v/>
      </c>
    </row>
    <row r="100" ht="18" customHeight="1">
      <c r="A100" s="15" t="inlineStr">
        <is>
          <t>EVT-10079</t>
        </is>
      </c>
      <c r="B100" s="15" t="inlineStr">
        <is>
          <t>TX-80079</t>
        </is>
      </c>
      <c r="C100" s="27" t="n">
        <v>46306.37506944445</v>
      </c>
      <c r="D100" s="15" t="inlineStr">
        <is>
          <t>BR-01</t>
        </is>
      </c>
      <c r="E100" s="15" t="inlineStr">
        <is>
          <t>T-01</t>
        </is>
      </c>
      <c r="F100" s="15" t="inlineStr">
        <is>
          <t>C-103</t>
        </is>
      </c>
      <c r="G100" s="15" t="inlineStr">
        <is>
          <t>NONE</t>
        </is>
      </c>
      <c r="H100" s="14" t="inlineStr">
        <is>
          <t>Sale Tender</t>
        </is>
      </c>
      <c r="I100" s="15" t="inlineStr">
        <is>
          <t>Card</t>
        </is>
      </c>
      <c r="J100" s="17" t="n">
        <v>6</v>
      </c>
      <c r="K100" s="28" t="n">
        <v>59.92</v>
      </c>
      <c r="L100" s="28" t="n">
        <v>59.92</v>
      </c>
      <c r="M100" s="27" t="n">
        <v>46306.37422453704</v>
      </c>
      <c r="N100" s="29">
        <f>IFERROR(IF(OR(ISBLANK(M100), M100="", ISBLANK(C100), C100=""), 0, MAX(0, ROUND((C100-M100)*86400, 0))), 0)</f>
        <v/>
      </c>
      <c r="O100" s="14">
        <f>IF(H100="Post-Bill Void", IF(AND(G100="M-904", I100="Cash"), "EXCEPTION: Concurrent Cash Void", IF(AND(I100="Cash", N100&gt;120), "CRITICAL: Delayed Cash Void", IF(N100&gt;120, "EXCEPTION: Delayed Void", "Standard Void"))), IF(H100="Line Item Void", IF(I100="Cash", "EXCEPTION: Cash Line Void", "Standard Line Void"), IF(H100="No-Sale Drawer Opening", "DRAWER OPENING", "Standard Sale")))</f>
        <v/>
      </c>
    </row>
    <row r="101" ht="18" customHeight="1">
      <c r="A101" s="12" t="inlineStr">
        <is>
          <t>EVT-10080</t>
        </is>
      </c>
      <c r="B101" s="12" t="inlineStr">
        <is>
          <t>TX-80080</t>
        </is>
      </c>
      <c r="C101" s="24" t="n">
        <v>46306.38237268518</v>
      </c>
      <c r="D101" s="12" t="inlineStr">
        <is>
          <t>BR-02</t>
        </is>
      </c>
      <c r="E101" s="12" t="inlineStr">
        <is>
          <t>T-02</t>
        </is>
      </c>
      <c r="F101" s="12" t="inlineStr">
        <is>
          <t>C-105</t>
        </is>
      </c>
      <c r="G101" s="12" t="inlineStr">
        <is>
          <t>NONE</t>
        </is>
      </c>
      <c r="H101" s="11" t="inlineStr">
        <is>
          <t>Sale Tender</t>
        </is>
      </c>
      <c r="I101" s="12" t="inlineStr">
        <is>
          <t>Delivery Aggregator</t>
        </is>
      </c>
      <c r="J101" s="20" t="n">
        <v>5</v>
      </c>
      <c r="K101" s="25" t="n">
        <v>72.70999999999999</v>
      </c>
      <c r="L101" s="25" t="n">
        <v>72.70999999999999</v>
      </c>
      <c r="M101" s="24" t="n">
        <v>46306.38164351852</v>
      </c>
      <c r="N101" s="26">
        <f>IFERROR(IF(OR(ISBLANK(M101), M101="", ISBLANK(C101), C101=""), 0, MAX(0, ROUND((C101-M101)*86400, 0))), 0)</f>
        <v/>
      </c>
      <c r="O101" s="11">
        <f>IF(H101="Post-Bill Void", IF(AND(G101="M-904", I101="Cash"), "EXCEPTION: Concurrent Cash Void", IF(AND(I101="Cash", N101&gt;120), "CRITICAL: Delayed Cash Void", IF(N101&gt;120, "EXCEPTION: Delayed Void", "Standard Void"))), IF(H101="Line Item Void", IF(I101="Cash", "EXCEPTION: Cash Line Void", "Standard Line Void"), IF(H101="No-Sale Drawer Opening", "DRAWER OPENING", "Standard Sale")))</f>
        <v/>
      </c>
    </row>
    <row r="102" ht="18" customHeight="1">
      <c r="A102" s="15" t="inlineStr">
        <is>
          <t>EVT-10081</t>
        </is>
      </c>
      <c r="B102" s="15" t="inlineStr">
        <is>
          <t>TX-80081</t>
        </is>
      </c>
      <c r="C102" s="27" t="n">
        <v>46306.38946759259</v>
      </c>
      <c r="D102" s="15" t="inlineStr">
        <is>
          <t>BR-01</t>
        </is>
      </c>
      <c r="E102" s="15" t="inlineStr">
        <is>
          <t>T-01</t>
        </is>
      </c>
      <c r="F102" s="15" t="inlineStr">
        <is>
          <t>C-103</t>
        </is>
      </c>
      <c r="G102" s="15" t="inlineStr">
        <is>
          <t>NONE</t>
        </is>
      </c>
      <c r="H102" s="14" t="inlineStr">
        <is>
          <t>Sale Tender</t>
        </is>
      </c>
      <c r="I102" s="15" t="inlineStr">
        <is>
          <t>Cash</t>
        </is>
      </c>
      <c r="J102" s="17" t="n">
        <v>6</v>
      </c>
      <c r="K102" s="28" t="n">
        <v>66.36</v>
      </c>
      <c r="L102" s="28" t="n">
        <v>66.36</v>
      </c>
      <c r="M102" s="27" t="n">
        <v>46306.38863425926</v>
      </c>
      <c r="N102" s="29">
        <f>IFERROR(IF(OR(ISBLANK(M102), M102="", ISBLANK(C102), C102=""), 0, MAX(0, ROUND((C102-M102)*86400, 0))), 0)</f>
        <v/>
      </c>
      <c r="O102" s="14">
        <f>IF(H102="Post-Bill Void", IF(AND(G102="M-904", I102="Cash"), "EXCEPTION: Concurrent Cash Void", IF(AND(I102="Cash", N102&gt;120), "CRITICAL: Delayed Cash Void", IF(N102&gt;120, "EXCEPTION: Delayed Void", "Standard Void"))), IF(H102="Line Item Void", IF(I102="Cash", "EXCEPTION: Cash Line Void", "Standard Line Void"), IF(H102="No-Sale Drawer Opening", "DRAWER OPENING", "Standard Sale")))</f>
        <v/>
      </c>
    </row>
    <row r="103" ht="18" customHeight="1">
      <c r="A103" s="12" t="inlineStr">
        <is>
          <t>EVT-10082</t>
        </is>
      </c>
      <c r="B103" s="12" t="inlineStr">
        <is>
          <t>TX-80082</t>
        </is>
      </c>
      <c r="C103" s="24" t="n">
        <v>46306.39645833334</v>
      </c>
      <c r="D103" s="12" t="inlineStr">
        <is>
          <t>BR-04</t>
        </is>
      </c>
      <c r="E103" s="12" t="inlineStr">
        <is>
          <t>T-01</t>
        </is>
      </c>
      <c r="F103" s="12" t="inlineStr">
        <is>
          <t>C-114</t>
        </is>
      </c>
      <c r="G103" s="12" t="inlineStr">
        <is>
          <t>NONE</t>
        </is>
      </c>
      <c r="H103" s="11" t="inlineStr">
        <is>
          <t>Sale Tender</t>
        </is>
      </c>
      <c r="I103" s="12" t="inlineStr">
        <is>
          <t>Card</t>
        </is>
      </c>
      <c r="J103" s="20" t="n">
        <v>4</v>
      </c>
      <c r="K103" s="25" t="n">
        <v>55.22</v>
      </c>
      <c r="L103" s="25" t="n">
        <v>55.22</v>
      </c>
      <c r="M103" s="24" t="n">
        <v>46306.39563657407</v>
      </c>
      <c r="N103" s="26">
        <f>IFERROR(IF(OR(ISBLANK(M103), M103="", ISBLANK(C103), C103=""), 0, MAX(0, ROUND((C103-M103)*86400, 0))), 0)</f>
        <v/>
      </c>
      <c r="O103" s="11">
        <f>IF(H103="Post-Bill Void", IF(AND(G103="M-904", I103="Cash"), "EXCEPTION: Concurrent Cash Void", IF(AND(I103="Cash", N103&gt;120), "CRITICAL: Delayed Cash Void", IF(N103&gt;120, "EXCEPTION: Delayed Void", "Standard Void"))), IF(H103="Line Item Void", IF(I103="Cash", "EXCEPTION: Cash Line Void", "Standard Line Void"), IF(H103="No-Sale Drawer Opening", "DRAWER OPENING", "Standard Sale")))</f>
        <v/>
      </c>
    </row>
    <row r="104" ht="18" customHeight="1">
      <c r="A104" s="15" t="inlineStr">
        <is>
          <t>EVT-10083</t>
        </is>
      </c>
      <c r="B104" s="15" t="inlineStr">
        <is>
          <t>TX-80083</t>
        </is>
      </c>
      <c r="C104" s="27" t="n">
        <v>46306.40309027778</v>
      </c>
      <c r="D104" s="15" t="inlineStr">
        <is>
          <t>BR-02</t>
        </is>
      </c>
      <c r="E104" s="15" t="inlineStr">
        <is>
          <t>T-02</t>
        </is>
      </c>
      <c r="F104" s="15" t="inlineStr">
        <is>
          <t>C-107</t>
        </is>
      </c>
      <c r="G104" s="15" t="inlineStr">
        <is>
          <t>NONE</t>
        </is>
      </c>
      <c r="H104" s="14" t="inlineStr">
        <is>
          <t>Sale Tender</t>
        </is>
      </c>
      <c r="I104" s="15" t="inlineStr">
        <is>
          <t>Card</t>
        </is>
      </c>
      <c r="J104" s="17" t="n">
        <v>4</v>
      </c>
      <c r="K104" s="28" t="n">
        <v>47.07</v>
      </c>
      <c r="L104" s="28" t="n">
        <v>47.07</v>
      </c>
      <c r="M104" s="27" t="n">
        <v>46306.40201388889</v>
      </c>
      <c r="N104" s="29">
        <f>IFERROR(IF(OR(ISBLANK(M104), M104="", ISBLANK(C104), C104=""), 0, MAX(0, ROUND((C104-M104)*86400, 0))), 0)</f>
        <v/>
      </c>
      <c r="O104" s="14">
        <f>IF(H104="Post-Bill Void", IF(AND(G104="M-904", I104="Cash"), "EXCEPTION: Concurrent Cash Void", IF(AND(I104="Cash", N104&gt;120), "CRITICAL: Delayed Cash Void", IF(N104&gt;120, "EXCEPTION: Delayed Void", "Standard Void"))), IF(H104="Line Item Void", IF(I104="Cash", "EXCEPTION: Cash Line Void", "Standard Line Void"), IF(H104="No-Sale Drawer Opening", "DRAWER OPENING", "Standard Sale")))</f>
        <v/>
      </c>
    </row>
    <row r="105" ht="18" customHeight="1">
      <c r="A105" s="12" t="inlineStr">
        <is>
          <t>EVT-10084</t>
        </is>
      </c>
      <c r="B105" s="12" t="inlineStr">
        <is>
          <t>TX-80084</t>
        </is>
      </c>
      <c r="C105" s="24" t="n">
        <v>46306.41025462963</v>
      </c>
      <c r="D105" s="12" t="inlineStr">
        <is>
          <t>BR-03</t>
        </is>
      </c>
      <c r="E105" s="12" t="inlineStr">
        <is>
          <t>T-02</t>
        </is>
      </c>
      <c r="F105" s="12" t="inlineStr">
        <is>
          <t>C-111</t>
        </is>
      </c>
      <c r="G105" s="12" t="inlineStr">
        <is>
          <t>NONE</t>
        </is>
      </c>
      <c r="H105" s="11" t="inlineStr">
        <is>
          <t>Sale Tender</t>
        </is>
      </c>
      <c r="I105" s="12" t="inlineStr">
        <is>
          <t>Cash</t>
        </is>
      </c>
      <c r="J105" s="20" t="n">
        <v>4</v>
      </c>
      <c r="K105" s="25" t="n">
        <v>41.32</v>
      </c>
      <c r="L105" s="25" t="n">
        <v>41.32</v>
      </c>
      <c r="M105" s="24" t="n">
        <v>46306.40983796296</v>
      </c>
      <c r="N105" s="26">
        <f>IFERROR(IF(OR(ISBLANK(M105), M105="", ISBLANK(C105), C105=""), 0, MAX(0, ROUND((C105-M105)*86400, 0))), 0)</f>
        <v/>
      </c>
      <c r="O105" s="11">
        <f>IF(H105="Post-Bill Void", IF(AND(G105="M-904", I105="Cash"), "EXCEPTION: Concurrent Cash Void", IF(AND(I105="Cash", N105&gt;120), "CRITICAL: Delayed Cash Void", IF(N105&gt;120, "EXCEPTION: Delayed Void", "Standard Void"))), IF(H105="Line Item Void", IF(I105="Cash", "EXCEPTION: Cash Line Void", "Standard Line Void"), IF(H105="No-Sale Drawer Opening", "DRAWER OPENING", "Standard Sale")))</f>
        <v/>
      </c>
    </row>
    <row r="106" ht="18" customHeight="1">
      <c r="A106" s="15" t="inlineStr">
        <is>
          <t>EVT-10085</t>
        </is>
      </c>
      <c r="B106" s="15" t="inlineStr">
        <is>
          <t>TX-80085</t>
        </is>
      </c>
      <c r="C106" s="27" t="n">
        <v>46306.41700231482</v>
      </c>
      <c r="D106" s="15" t="inlineStr">
        <is>
          <t>BR-04</t>
        </is>
      </c>
      <c r="E106" s="15" t="inlineStr">
        <is>
          <t>T-01</t>
        </is>
      </c>
      <c r="F106" s="15" t="inlineStr">
        <is>
          <t>C-114</t>
        </is>
      </c>
      <c r="G106" s="15" t="inlineStr">
        <is>
          <t>NONE</t>
        </is>
      </c>
      <c r="H106" s="14" t="inlineStr">
        <is>
          <t>Sale Tender</t>
        </is>
      </c>
      <c r="I106" s="15" t="inlineStr">
        <is>
          <t>Cash</t>
        </is>
      </c>
      <c r="J106" s="17" t="n">
        <v>2</v>
      </c>
      <c r="K106" s="28" t="n">
        <v>22.32</v>
      </c>
      <c r="L106" s="28" t="n">
        <v>22.32</v>
      </c>
      <c r="M106" s="27" t="n">
        <v>46306.41623842593</v>
      </c>
      <c r="N106" s="29">
        <f>IFERROR(IF(OR(ISBLANK(M106), M106="", ISBLANK(C106), C106=""), 0, MAX(0, ROUND((C106-M106)*86400, 0))), 0)</f>
        <v/>
      </c>
      <c r="O106" s="14">
        <f>IF(H106="Post-Bill Void", IF(AND(G106="M-904", I106="Cash"), "EXCEPTION: Concurrent Cash Void", IF(AND(I106="Cash", N106&gt;120), "CRITICAL: Delayed Cash Void", IF(N106&gt;120, "EXCEPTION: Delayed Void", "Standard Void"))), IF(H106="Line Item Void", IF(I106="Cash", "EXCEPTION: Cash Line Void", "Standard Line Void"), IF(H106="No-Sale Drawer Opening", "DRAWER OPENING", "Standard Sale")))</f>
        <v/>
      </c>
    </row>
    <row r="107" ht="18" customHeight="1">
      <c r="A107" s="12" t="inlineStr">
        <is>
          <t>EVT-10086</t>
        </is>
      </c>
      <c r="B107" s="12" t="inlineStr">
        <is>
          <t>TX-80086</t>
        </is>
      </c>
      <c r="C107" s="24" t="n">
        <v>46306.42379629629</v>
      </c>
      <c r="D107" s="12" t="inlineStr">
        <is>
          <t>BR-03</t>
        </is>
      </c>
      <c r="E107" s="12" t="inlineStr">
        <is>
          <t>T-02</t>
        </is>
      </c>
      <c r="F107" s="12" t="inlineStr">
        <is>
          <t>C-111</t>
        </is>
      </c>
      <c r="G107" s="12" t="inlineStr">
        <is>
          <t>NONE</t>
        </is>
      </c>
      <c r="H107" s="11" t="inlineStr">
        <is>
          <t>Sale Tender</t>
        </is>
      </c>
      <c r="I107" s="12" t="inlineStr">
        <is>
          <t>Card</t>
        </is>
      </c>
      <c r="J107" s="20" t="n">
        <v>5</v>
      </c>
      <c r="K107" s="25" t="n">
        <v>78.05</v>
      </c>
      <c r="L107" s="25" t="n">
        <v>78.05</v>
      </c>
      <c r="M107" s="24" t="n">
        <v>46306.42310185185</v>
      </c>
      <c r="N107" s="26">
        <f>IFERROR(IF(OR(ISBLANK(M107), M107="", ISBLANK(C107), C107=""), 0, MAX(0, ROUND((C107-M107)*86400, 0))), 0)</f>
        <v/>
      </c>
      <c r="O107" s="11">
        <f>IF(H107="Post-Bill Void", IF(AND(G107="M-904", I107="Cash"), "EXCEPTION: Concurrent Cash Void", IF(AND(I107="Cash", N107&gt;120), "CRITICAL: Delayed Cash Void", IF(N107&gt;120, "EXCEPTION: Delayed Void", "Standard Void"))), IF(H107="Line Item Void", IF(I107="Cash", "EXCEPTION: Cash Line Void", "Standard Line Void"), IF(H107="No-Sale Drawer Opening", "DRAWER OPENING", "Standard Sale")))</f>
        <v/>
      </c>
    </row>
    <row r="108" ht="18" customHeight="1">
      <c r="A108" s="15" t="inlineStr">
        <is>
          <t>EVT-10087</t>
        </is>
      </c>
      <c r="B108" s="15" t="inlineStr">
        <is>
          <t>TX-80087</t>
        </is>
      </c>
      <c r="C108" s="27" t="n">
        <v>46306.43061342592</v>
      </c>
      <c r="D108" s="15" t="inlineStr">
        <is>
          <t>BR-02</t>
        </is>
      </c>
      <c r="E108" s="15" t="inlineStr">
        <is>
          <t>T-01</t>
        </is>
      </c>
      <c r="F108" s="15" t="inlineStr">
        <is>
          <t>C-108</t>
        </is>
      </c>
      <c r="G108" s="15" t="inlineStr">
        <is>
          <t>NONE</t>
        </is>
      </c>
      <c r="H108" s="14" t="inlineStr">
        <is>
          <t>Sale Tender</t>
        </is>
      </c>
      <c r="I108" s="15" t="inlineStr">
        <is>
          <t>Card</t>
        </is>
      </c>
      <c r="J108" s="17" t="n">
        <v>6</v>
      </c>
      <c r="K108" s="28" t="n">
        <v>83.03</v>
      </c>
      <c r="L108" s="28" t="n">
        <v>83.03</v>
      </c>
      <c r="M108" s="27" t="n">
        <v>46306.42997685185</v>
      </c>
      <c r="N108" s="29">
        <f>IFERROR(IF(OR(ISBLANK(M108), M108="", ISBLANK(C108), C108=""), 0, MAX(0, ROUND((C108-M108)*86400, 0))), 0)</f>
        <v/>
      </c>
      <c r="O108" s="14">
        <f>IF(H108="Post-Bill Void", IF(AND(G108="M-904", I108="Cash"), "EXCEPTION: Concurrent Cash Void", IF(AND(I108="Cash", N108&gt;120), "CRITICAL: Delayed Cash Void", IF(N108&gt;120, "EXCEPTION: Delayed Void", "Standard Void"))), IF(H108="Line Item Void", IF(I108="Cash", "EXCEPTION: Cash Line Void", "Standard Line Void"), IF(H108="No-Sale Drawer Opening", "DRAWER OPENING", "Standard Sale")))</f>
        <v/>
      </c>
    </row>
    <row r="109" ht="18" customHeight="1">
      <c r="A109" s="12" t="inlineStr">
        <is>
          <t>EVT-10088</t>
        </is>
      </c>
      <c r="B109" s="12" t="inlineStr">
        <is>
          <t>TX-80088</t>
        </is>
      </c>
      <c r="C109" s="24" t="n">
        <v>46306.43782407408</v>
      </c>
      <c r="D109" s="12" t="inlineStr">
        <is>
          <t>BR-01</t>
        </is>
      </c>
      <c r="E109" s="12" t="inlineStr">
        <is>
          <t>T-01</t>
        </is>
      </c>
      <c r="F109" s="12" t="inlineStr">
        <is>
          <t>C-101</t>
        </is>
      </c>
      <c r="G109" s="12" t="inlineStr">
        <is>
          <t>NONE</t>
        </is>
      </c>
      <c r="H109" s="11" t="inlineStr">
        <is>
          <t>Sale Tender</t>
        </is>
      </c>
      <c r="I109" s="12" t="inlineStr">
        <is>
          <t>Card</t>
        </is>
      </c>
      <c r="J109" s="20" t="n">
        <v>3</v>
      </c>
      <c r="K109" s="25" t="n">
        <v>40.44</v>
      </c>
      <c r="L109" s="25" t="n">
        <v>40.44</v>
      </c>
      <c r="M109" s="24" t="n">
        <v>46306.43694444445</v>
      </c>
      <c r="N109" s="26">
        <f>IFERROR(IF(OR(ISBLANK(M109), M109="", ISBLANK(C109), C109=""), 0, MAX(0, ROUND((C109-M109)*86400, 0))), 0)</f>
        <v/>
      </c>
      <c r="O109" s="11">
        <f>IF(H109="Post-Bill Void", IF(AND(G109="M-904", I109="Cash"), "EXCEPTION: Concurrent Cash Void", IF(AND(I109="Cash", N109&gt;120), "CRITICAL: Delayed Cash Void", IF(N109&gt;120, "EXCEPTION: Delayed Void", "Standard Void"))), IF(H109="Line Item Void", IF(I109="Cash", "EXCEPTION: Cash Line Void", "Standard Line Void"), IF(H109="No-Sale Drawer Opening", "DRAWER OPENING", "Standard Sale")))</f>
        <v/>
      </c>
    </row>
    <row r="110" ht="18" customHeight="1">
      <c r="A110" s="15" t="inlineStr">
        <is>
          <t>EVT-10089</t>
        </is>
      </c>
      <c r="B110" s="15" t="inlineStr">
        <is>
          <t>TX-80089</t>
        </is>
      </c>
      <c r="C110" s="27" t="n">
        <v>46306.44471064815</v>
      </c>
      <c r="D110" s="15" t="inlineStr">
        <is>
          <t>BR-04</t>
        </is>
      </c>
      <c r="E110" s="15" t="inlineStr">
        <is>
          <t>T-01</t>
        </is>
      </c>
      <c r="F110" s="15" t="inlineStr">
        <is>
          <t>C-115</t>
        </is>
      </c>
      <c r="G110" s="15" t="inlineStr">
        <is>
          <t>NONE</t>
        </is>
      </c>
      <c r="H110" s="14" t="inlineStr">
        <is>
          <t>Sale Tender</t>
        </is>
      </c>
      <c r="I110" s="15" t="inlineStr">
        <is>
          <t>Delivery Aggregator</t>
        </is>
      </c>
      <c r="J110" s="17" t="n">
        <v>5</v>
      </c>
      <c r="K110" s="28" t="n">
        <v>54.9</v>
      </c>
      <c r="L110" s="28" t="n">
        <v>54.9</v>
      </c>
      <c r="M110" s="27" t="n">
        <v>46306.4437962963</v>
      </c>
      <c r="N110" s="29">
        <f>IFERROR(IF(OR(ISBLANK(M110), M110="", ISBLANK(C110), C110=""), 0, MAX(0, ROUND((C110-M110)*86400, 0))), 0)</f>
        <v/>
      </c>
      <c r="O110" s="14">
        <f>IF(H110="Post-Bill Void", IF(AND(G110="M-904", I110="Cash"), "EXCEPTION: Concurrent Cash Void", IF(AND(I110="Cash", N110&gt;120), "CRITICAL: Delayed Cash Void", IF(N110&gt;120, "EXCEPTION: Delayed Void", "Standard Void"))), IF(H110="Line Item Void", IF(I110="Cash", "EXCEPTION: Cash Line Void", "Standard Line Void"), IF(H110="No-Sale Drawer Opening", "DRAWER OPENING", "Standard Sale")))</f>
        <v/>
      </c>
    </row>
    <row r="111" ht="18" customHeight="1">
      <c r="A111" s="12" t="inlineStr">
        <is>
          <t>EVT-10090</t>
        </is>
      </c>
      <c r="B111" s="12" t="inlineStr">
        <is>
          <t>TX-80090</t>
        </is>
      </c>
      <c r="C111" s="24" t="n">
        <v>46306.45189814815</v>
      </c>
      <c r="D111" s="12" t="inlineStr">
        <is>
          <t>BR-04</t>
        </is>
      </c>
      <c r="E111" s="12" t="inlineStr">
        <is>
          <t>T-01</t>
        </is>
      </c>
      <c r="F111" s="12" t="inlineStr">
        <is>
          <t>C-114</t>
        </is>
      </c>
      <c r="G111" s="12" t="inlineStr">
        <is>
          <t>NONE</t>
        </is>
      </c>
      <c r="H111" s="11" t="inlineStr">
        <is>
          <t>Sale Tender</t>
        </is>
      </c>
      <c r="I111" s="12" t="inlineStr">
        <is>
          <t>Cash</t>
        </is>
      </c>
      <c r="J111" s="20" t="n">
        <v>2</v>
      </c>
      <c r="K111" s="25" t="n">
        <v>21.73</v>
      </c>
      <c r="L111" s="25" t="n">
        <v>21.73</v>
      </c>
      <c r="M111" s="24" t="n">
        <v>46306.45127314814</v>
      </c>
      <c r="N111" s="26">
        <f>IFERROR(IF(OR(ISBLANK(M111), M111="", ISBLANK(C111), C111=""), 0, MAX(0, ROUND((C111-M111)*86400, 0))), 0)</f>
        <v/>
      </c>
      <c r="O111" s="11">
        <f>IF(H111="Post-Bill Void", IF(AND(G111="M-904", I111="Cash"), "EXCEPTION: Concurrent Cash Void", IF(AND(I111="Cash", N111&gt;120), "CRITICAL: Delayed Cash Void", IF(N111&gt;120, "EXCEPTION: Delayed Void", "Standard Void"))), IF(H111="Line Item Void", IF(I111="Cash", "EXCEPTION: Cash Line Void", "Standard Line Void"), IF(H111="No-Sale Drawer Opening", "DRAWER OPENING", "Standard Sale")))</f>
        <v/>
      </c>
    </row>
    <row r="112" ht="18" customHeight="1">
      <c r="A112" s="15" t="inlineStr">
        <is>
          <t>EVT-10091</t>
        </is>
      </c>
      <c r="B112" s="15" t="inlineStr">
        <is>
          <t>TX-80091</t>
        </is>
      </c>
      <c r="C112" s="27" t="n">
        <v>46306.45887731481</v>
      </c>
      <c r="D112" s="15" t="inlineStr">
        <is>
          <t>BR-02</t>
        </is>
      </c>
      <c r="E112" s="15" t="inlineStr">
        <is>
          <t>T-01</t>
        </is>
      </c>
      <c r="F112" s="15" t="inlineStr">
        <is>
          <t>C-106</t>
        </is>
      </c>
      <c r="G112" s="15" t="inlineStr">
        <is>
          <t>NONE</t>
        </is>
      </c>
      <c r="H112" s="14" t="inlineStr">
        <is>
          <t>Sale Tender</t>
        </is>
      </c>
      <c r="I112" s="15" t="inlineStr">
        <is>
          <t>Cash</t>
        </is>
      </c>
      <c r="J112" s="17" t="n">
        <v>5</v>
      </c>
      <c r="K112" s="28" t="n">
        <v>79.12</v>
      </c>
      <c r="L112" s="28" t="n">
        <v>79.12</v>
      </c>
      <c r="M112" s="27" t="n">
        <v>46306.45788194444</v>
      </c>
      <c r="N112" s="29">
        <f>IFERROR(IF(OR(ISBLANK(M112), M112="", ISBLANK(C112), C112=""), 0, MAX(0, ROUND((C112-M112)*86400, 0))), 0)</f>
        <v/>
      </c>
      <c r="O112" s="14">
        <f>IF(H112="Post-Bill Void", IF(AND(G112="M-904", I112="Cash"), "EXCEPTION: Concurrent Cash Void", IF(AND(I112="Cash", N112&gt;120), "CRITICAL: Delayed Cash Void", IF(N112&gt;120, "EXCEPTION: Delayed Void", "Standard Void"))), IF(H112="Line Item Void", IF(I112="Cash", "EXCEPTION: Cash Line Void", "Standard Line Void"), IF(H112="No-Sale Drawer Opening", "DRAWER OPENING", "Standard Sale")))</f>
        <v/>
      </c>
    </row>
    <row r="113" ht="18" customHeight="1">
      <c r="A113" s="12" t="inlineStr">
        <is>
          <t>EVT-10092</t>
        </is>
      </c>
      <c r="B113" s="12" t="inlineStr">
        <is>
          <t>TX-80092</t>
        </is>
      </c>
      <c r="C113" s="24" t="n">
        <v>46306.46565972222</v>
      </c>
      <c r="D113" s="12" t="inlineStr">
        <is>
          <t>BR-03</t>
        </is>
      </c>
      <c r="E113" s="12" t="inlineStr">
        <is>
          <t>T-02</t>
        </is>
      </c>
      <c r="F113" s="12" t="inlineStr">
        <is>
          <t>C-109</t>
        </is>
      </c>
      <c r="G113" s="12" t="inlineStr">
        <is>
          <t>NONE</t>
        </is>
      </c>
      <c r="H113" s="11" t="inlineStr">
        <is>
          <t>Sale Tender</t>
        </is>
      </c>
      <c r="I113" s="12" t="inlineStr">
        <is>
          <t>Cash</t>
        </is>
      </c>
      <c r="J113" s="20" t="n">
        <v>2</v>
      </c>
      <c r="K113" s="25" t="n">
        <v>21.53</v>
      </c>
      <c r="L113" s="25" t="n">
        <v>21.53</v>
      </c>
      <c r="M113" s="24" t="n">
        <v>46306.46494212963</v>
      </c>
      <c r="N113" s="26">
        <f>IFERROR(IF(OR(ISBLANK(M113), M113="", ISBLANK(C113), C113=""), 0, MAX(0, ROUND((C113-M113)*86400, 0))), 0)</f>
        <v/>
      </c>
      <c r="O113" s="11">
        <f>IF(H113="Post-Bill Void", IF(AND(G113="M-904", I113="Cash"), "EXCEPTION: Concurrent Cash Void", IF(AND(I113="Cash", N113&gt;120), "CRITICAL: Delayed Cash Void", IF(N113&gt;120, "EXCEPTION: Delayed Void", "Standard Void"))), IF(H113="Line Item Void", IF(I113="Cash", "EXCEPTION: Cash Line Void", "Standard Line Void"), IF(H113="No-Sale Drawer Opening", "DRAWER OPENING", "Standard Sale")))</f>
        <v/>
      </c>
    </row>
    <row r="114" ht="18" customHeight="1">
      <c r="A114" s="15" t="inlineStr">
        <is>
          <t>EVT-10093</t>
        </is>
      </c>
      <c r="B114" s="15" t="inlineStr">
        <is>
          <t>TX-80093</t>
        </is>
      </c>
      <c r="C114" s="27" t="n">
        <v>46306.47274305556</v>
      </c>
      <c r="D114" s="15" t="inlineStr">
        <is>
          <t>BR-02</t>
        </is>
      </c>
      <c r="E114" s="15" t="inlineStr">
        <is>
          <t>T-01</t>
        </is>
      </c>
      <c r="F114" s="15" t="inlineStr">
        <is>
          <t>C-107</t>
        </is>
      </c>
      <c r="G114" s="15" t="inlineStr">
        <is>
          <t>NONE</t>
        </is>
      </c>
      <c r="H114" s="14" t="inlineStr">
        <is>
          <t>Sale Tender</t>
        </is>
      </c>
      <c r="I114" s="15" t="inlineStr">
        <is>
          <t>Card</t>
        </is>
      </c>
      <c r="J114" s="17" t="n">
        <v>6</v>
      </c>
      <c r="K114" s="28" t="n">
        <v>93.48</v>
      </c>
      <c r="L114" s="28" t="n">
        <v>93.48</v>
      </c>
      <c r="M114" s="27" t="n">
        <v>46306.47238425926</v>
      </c>
      <c r="N114" s="29">
        <f>IFERROR(IF(OR(ISBLANK(M114), M114="", ISBLANK(C114), C114=""), 0, MAX(0, ROUND((C114-M114)*86400, 0))), 0)</f>
        <v/>
      </c>
      <c r="O114" s="14">
        <f>IF(H114="Post-Bill Void", IF(AND(G114="M-904", I114="Cash"), "EXCEPTION: Concurrent Cash Void", IF(AND(I114="Cash", N114&gt;120), "CRITICAL: Delayed Cash Void", IF(N114&gt;120, "EXCEPTION: Delayed Void", "Standard Void"))), IF(H114="Line Item Void", IF(I114="Cash", "EXCEPTION: Cash Line Void", "Standard Line Void"), IF(H114="No-Sale Drawer Opening", "DRAWER OPENING", "Standard Sale")))</f>
        <v/>
      </c>
    </row>
    <row r="115" ht="18" customHeight="1">
      <c r="A115" s="12" t="inlineStr">
        <is>
          <t>EVT-10094</t>
        </is>
      </c>
      <c r="B115" s="12" t="inlineStr">
        <is>
          <t>TX-80094</t>
        </is>
      </c>
      <c r="C115" s="24" t="n">
        <v>46306.47962962963</v>
      </c>
      <c r="D115" s="12" t="inlineStr">
        <is>
          <t>BR-04</t>
        </is>
      </c>
      <c r="E115" s="12" t="inlineStr">
        <is>
          <t>T-02</t>
        </is>
      </c>
      <c r="F115" s="12" t="inlineStr">
        <is>
          <t>C-113</t>
        </is>
      </c>
      <c r="G115" s="12" t="inlineStr">
        <is>
          <t>NONE</t>
        </is>
      </c>
      <c r="H115" s="11" t="inlineStr">
        <is>
          <t>Sale Tender</t>
        </is>
      </c>
      <c r="I115" s="12" t="inlineStr">
        <is>
          <t>Card</t>
        </is>
      </c>
      <c r="J115" s="20" t="n">
        <v>4</v>
      </c>
      <c r="K115" s="25" t="n">
        <v>44.22</v>
      </c>
      <c r="L115" s="25" t="n">
        <v>44.22</v>
      </c>
      <c r="M115" s="24" t="n">
        <v>46306.47892361111</v>
      </c>
      <c r="N115" s="26">
        <f>IFERROR(IF(OR(ISBLANK(M115), M115="", ISBLANK(C115), C115=""), 0, MAX(0, ROUND((C115-M115)*86400, 0))), 0)</f>
        <v/>
      </c>
      <c r="O115" s="11">
        <f>IF(H115="Post-Bill Void", IF(AND(G115="M-904", I115="Cash"), "EXCEPTION: Concurrent Cash Void", IF(AND(I115="Cash", N115&gt;120), "CRITICAL: Delayed Cash Void", IF(N115&gt;120, "EXCEPTION: Delayed Void", "Standard Void"))), IF(H115="Line Item Void", IF(I115="Cash", "EXCEPTION: Cash Line Void", "Standard Line Void"), IF(H115="No-Sale Drawer Opening", "DRAWER OPENING", "Standard Sale")))</f>
        <v/>
      </c>
    </row>
    <row r="116" ht="18" customHeight="1">
      <c r="A116" s="15" t="inlineStr">
        <is>
          <t>EVT-10095</t>
        </is>
      </c>
      <c r="B116" s="15" t="inlineStr">
        <is>
          <t>TX-80095</t>
        </is>
      </c>
      <c r="C116" s="27" t="n">
        <v>46306.48614583333</v>
      </c>
      <c r="D116" s="15" t="inlineStr">
        <is>
          <t>BR-03</t>
        </is>
      </c>
      <c r="E116" s="15" t="inlineStr">
        <is>
          <t>T-01</t>
        </is>
      </c>
      <c r="F116" s="15" t="inlineStr">
        <is>
          <t>C-112</t>
        </is>
      </c>
      <c r="G116" s="15" t="inlineStr">
        <is>
          <t>NONE</t>
        </is>
      </c>
      <c r="H116" s="14" t="inlineStr">
        <is>
          <t>Sale Tender</t>
        </is>
      </c>
      <c r="I116" s="15" t="inlineStr">
        <is>
          <t>Card</t>
        </is>
      </c>
      <c r="J116" s="17" t="n">
        <v>1</v>
      </c>
      <c r="K116" s="28" t="n">
        <v>12.83</v>
      </c>
      <c r="L116" s="28" t="n">
        <v>12.83</v>
      </c>
      <c r="M116" s="27" t="n">
        <v>46306.48576388889</v>
      </c>
      <c r="N116" s="29">
        <f>IFERROR(IF(OR(ISBLANK(M116), M116="", ISBLANK(C116), C116=""), 0, MAX(0, ROUND((C116-M116)*86400, 0))), 0)</f>
        <v/>
      </c>
      <c r="O116" s="14">
        <f>IF(H116="Post-Bill Void", IF(AND(G116="M-904", I116="Cash"), "EXCEPTION: Concurrent Cash Void", IF(AND(I116="Cash", N116&gt;120), "CRITICAL: Delayed Cash Void", IF(N116&gt;120, "EXCEPTION: Delayed Void", "Standard Void"))), IF(H116="Line Item Void", IF(I116="Cash", "EXCEPTION: Cash Line Void", "Standard Line Void"), IF(H116="No-Sale Drawer Opening", "DRAWER OPENING", "Standard Sale")))</f>
        <v/>
      </c>
    </row>
    <row r="117" ht="18" customHeight="1">
      <c r="A117" s="12" t="inlineStr">
        <is>
          <t>EVT-10096</t>
        </is>
      </c>
      <c r="B117" s="12" t="inlineStr">
        <is>
          <t>TX-80096</t>
        </is>
      </c>
      <c r="C117" s="24" t="n">
        <v>46306.49355324074</v>
      </c>
      <c r="D117" s="12" t="inlineStr">
        <is>
          <t>BR-01</t>
        </is>
      </c>
      <c r="E117" s="12" t="inlineStr">
        <is>
          <t>T-01</t>
        </is>
      </c>
      <c r="F117" s="12" t="inlineStr">
        <is>
          <t>C-102</t>
        </is>
      </c>
      <c r="G117" s="12" t="inlineStr">
        <is>
          <t>NONE</t>
        </is>
      </c>
      <c r="H117" s="11" t="inlineStr">
        <is>
          <t>Sale Tender</t>
        </is>
      </c>
      <c r="I117" s="12" t="inlineStr">
        <is>
          <t>Cash</t>
        </is>
      </c>
      <c r="J117" s="20" t="n">
        <v>2</v>
      </c>
      <c r="K117" s="25" t="n">
        <v>18.78</v>
      </c>
      <c r="L117" s="25" t="n">
        <v>18.78</v>
      </c>
      <c r="M117" s="24" t="n">
        <v>46306.49282407408</v>
      </c>
      <c r="N117" s="26">
        <f>IFERROR(IF(OR(ISBLANK(M117), M117="", ISBLANK(C117), C117=""), 0, MAX(0, ROUND((C117-M117)*86400, 0))), 0)</f>
        <v/>
      </c>
      <c r="O117" s="11">
        <f>IF(H117="Post-Bill Void", IF(AND(G117="M-904", I117="Cash"), "EXCEPTION: Concurrent Cash Void", IF(AND(I117="Cash", N117&gt;120), "CRITICAL: Delayed Cash Void", IF(N117&gt;120, "EXCEPTION: Delayed Void", "Standard Void"))), IF(H117="Line Item Void", IF(I117="Cash", "EXCEPTION: Cash Line Void", "Standard Line Void"), IF(H117="No-Sale Drawer Opening", "DRAWER OPENING", "Standard Sale")))</f>
        <v/>
      </c>
    </row>
    <row r="118" ht="18" customHeight="1">
      <c r="A118" s="15" t="inlineStr">
        <is>
          <t>EVT-10097</t>
        </is>
      </c>
      <c r="B118" s="15" t="inlineStr">
        <is>
          <t>TX-80097</t>
        </is>
      </c>
      <c r="C118" s="27" t="n">
        <v>46306.50055555555</v>
      </c>
      <c r="D118" s="15" t="inlineStr">
        <is>
          <t>BR-04</t>
        </is>
      </c>
      <c r="E118" s="15" t="inlineStr">
        <is>
          <t>T-01</t>
        </is>
      </c>
      <c r="F118" s="15" t="inlineStr">
        <is>
          <t>C-115</t>
        </is>
      </c>
      <c r="G118" s="15" t="inlineStr">
        <is>
          <t>NONE</t>
        </is>
      </c>
      <c r="H118" s="14" t="inlineStr">
        <is>
          <t>Sale Tender</t>
        </is>
      </c>
      <c r="I118" s="15" t="inlineStr">
        <is>
          <t>Card</t>
        </is>
      </c>
      <c r="J118" s="17" t="n">
        <v>4</v>
      </c>
      <c r="K118" s="28" t="n">
        <v>47.52</v>
      </c>
      <c r="L118" s="28" t="n">
        <v>47.52</v>
      </c>
      <c r="M118" s="27" t="n">
        <v>46306.49994212963</v>
      </c>
      <c r="N118" s="29">
        <f>IFERROR(IF(OR(ISBLANK(M118), M118="", ISBLANK(C118), C118=""), 0, MAX(0, ROUND((C118-M118)*86400, 0))), 0)</f>
        <v/>
      </c>
      <c r="O118" s="14">
        <f>IF(H118="Post-Bill Void", IF(AND(G118="M-904", I118="Cash"), "EXCEPTION: Concurrent Cash Void", IF(AND(I118="Cash", N118&gt;120), "CRITICAL: Delayed Cash Void", IF(N118&gt;120, "EXCEPTION: Delayed Void", "Standard Void"))), IF(H118="Line Item Void", IF(I118="Cash", "EXCEPTION: Cash Line Void", "Standard Line Void"), IF(H118="No-Sale Drawer Opening", "DRAWER OPENING", "Standard Sale")))</f>
        <v/>
      </c>
    </row>
    <row r="119" ht="18" customHeight="1">
      <c r="A119" s="12" t="inlineStr">
        <is>
          <t>EVT-10098</t>
        </is>
      </c>
      <c r="B119" s="12" t="inlineStr">
        <is>
          <t>TX-80098</t>
        </is>
      </c>
      <c r="C119" s="24" t="n">
        <v>46306.50726851852</v>
      </c>
      <c r="D119" s="12" t="inlineStr">
        <is>
          <t>BR-03</t>
        </is>
      </c>
      <c r="E119" s="12" t="inlineStr">
        <is>
          <t>T-01</t>
        </is>
      </c>
      <c r="F119" s="12" t="inlineStr">
        <is>
          <t>C-112</t>
        </is>
      </c>
      <c r="G119" s="12" t="inlineStr">
        <is>
          <t>NONE</t>
        </is>
      </c>
      <c r="H119" s="11" t="inlineStr">
        <is>
          <t>Sale Tender</t>
        </is>
      </c>
      <c r="I119" s="12" t="inlineStr">
        <is>
          <t>Card</t>
        </is>
      </c>
      <c r="J119" s="20" t="n">
        <v>6</v>
      </c>
      <c r="K119" s="25" t="n">
        <v>55.47</v>
      </c>
      <c r="L119" s="25" t="n">
        <v>55.47</v>
      </c>
      <c r="M119" s="24" t="n">
        <v>46306.50689814815</v>
      </c>
      <c r="N119" s="26">
        <f>IFERROR(IF(OR(ISBLANK(M119), M119="", ISBLANK(C119), C119=""), 0, MAX(0, ROUND((C119-M119)*86400, 0))), 0)</f>
        <v/>
      </c>
      <c r="O119" s="11">
        <f>IF(H119="Post-Bill Void", IF(AND(G119="M-904", I119="Cash"), "EXCEPTION: Concurrent Cash Void", IF(AND(I119="Cash", N119&gt;120), "CRITICAL: Delayed Cash Void", IF(N119&gt;120, "EXCEPTION: Delayed Void", "Standard Void"))), IF(H119="Line Item Void", IF(I119="Cash", "EXCEPTION: Cash Line Void", "Standard Line Void"), IF(H119="No-Sale Drawer Opening", "DRAWER OPENING", "Standard Sale")))</f>
        <v/>
      </c>
    </row>
    <row r="120" ht="18" customHeight="1">
      <c r="A120" s="15" t="inlineStr">
        <is>
          <t>EVT-10099</t>
        </is>
      </c>
      <c r="B120" s="15" t="inlineStr">
        <is>
          <t>TX-80099</t>
        </is>
      </c>
      <c r="C120" s="27" t="n">
        <v>46306.51444444444</v>
      </c>
      <c r="D120" s="15" t="inlineStr">
        <is>
          <t>BR-02</t>
        </is>
      </c>
      <c r="E120" s="15" t="inlineStr">
        <is>
          <t>T-01</t>
        </is>
      </c>
      <c r="F120" s="15" t="inlineStr">
        <is>
          <t>C-106</t>
        </is>
      </c>
      <c r="G120" s="15" t="inlineStr">
        <is>
          <t>NONE</t>
        </is>
      </c>
      <c r="H120" s="14" t="inlineStr">
        <is>
          <t>Sale Tender</t>
        </is>
      </c>
      <c r="I120" s="15" t="inlineStr">
        <is>
          <t>Cash</t>
        </is>
      </c>
      <c r="J120" s="17" t="n">
        <v>2</v>
      </c>
      <c r="K120" s="28" t="n">
        <v>25.28</v>
      </c>
      <c r="L120" s="28" t="n">
        <v>25.28</v>
      </c>
      <c r="M120" s="27" t="n">
        <v>46306.51403935185</v>
      </c>
      <c r="N120" s="29">
        <f>IFERROR(IF(OR(ISBLANK(M120), M120="", ISBLANK(C120), C120=""), 0, MAX(0, ROUND((C120-M120)*86400, 0))), 0)</f>
        <v/>
      </c>
      <c r="O120" s="14">
        <f>IF(H120="Post-Bill Void", IF(AND(G120="M-904", I120="Cash"), "EXCEPTION: Concurrent Cash Void", IF(AND(I120="Cash", N120&gt;120), "CRITICAL: Delayed Cash Void", IF(N120&gt;120, "EXCEPTION: Delayed Void", "Standard Void"))), IF(H120="Line Item Void", IF(I120="Cash", "EXCEPTION: Cash Line Void", "Standard Line Void"), IF(H120="No-Sale Drawer Opening", "DRAWER OPENING", "Standard Sale")))</f>
        <v/>
      </c>
    </row>
    <row r="121" ht="18" customHeight="1">
      <c r="A121" s="12" t="inlineStr">
        <is>
          <t>EVT-10100</t>
        </is>
      </c>
      <c r="B121" s="12" t="inlineStr">
        <is>
          <t>TX-80100</t>
        </is>
      </c>
      <c r="C121" s="24" t="n">
        <v>46306.52094907407</v>
      </c>
      <c r="D121" s="12" t="inlineStr">
        <is>
          <t>BR-01</t>
        </is>
      </c>
      <c r="E121" s="12" t="inlineStr">
        <is>
          <t>T-01</t>
        </is>
      </c>
      <c r="F121" s="12" t="inlineStr">
        <is>
          <t>C-104</t>
        </is>
      </c>
      <c r="G121" s="12" t="inlineStr">
        <is>
          <t>NONE</t>
        </is>
      </c>
      <c r="H121" s="11" t="inlineStr">
        <is>
          <t>Sale Tender</t>
        </is>
      </c>
      <c r="I121" s="12" t="inlineStr">
        <is>
          <t>Cash</t>
        </is>
      </c>
      <c r="J121" s="20" t="n">
        <v>2</v>
      </c>
      <c r="K121" s="25" t="n">
        <v>21.32</v>
      </c>
      <c r="L121" s="25" t="n">
        <v>21.32</v>
      </c>
      <c r="M121" s="24" t="n">
        <v>46306.51996527778</v>
      </c>
      <c r="N121" s="26">
        <f>IFERROR(IF(OR(ISBLANK(M121), M121="", ISBLANK(C121), C121=""), 0, MAX(0, ROUND((C121-M121)*86400, 0))), 0)</f>
        <v/>
      </c>
      <c r="O121" s="11">
        <f>IF(H121="Post-Bill Void", IF(AND(G121="M-904", I121="Cash"), "EXCEPTION: Concurrent Cash Void", IF(AND(I121="Cash", N121&gt;120), "CRITICAL: Delayed Cash Void", IF(N121&gt;120, "EXCEPTION: Delayed Void", "Standard Void"))), IF(H121="Line Item Void", IF(I121="Cash", "EXCEPTION: Cash Line Void", "Standard Line Void"), IF(H121="No-Sale Drawer Opening", "DRAWER OPENING", "Standard Sale")))</f>
        <v/>
      </c>
    </row>
    <row r="122" ht="18" customHeight="1">
      <c r="A122" s="15" t="inlineStr">
        <is>
          <t>EVT-10101</t>
        </is>
      </c>
      <c r="B122" s="15" t="inlineStr">
        <is>
          <t>TX-80101</t>
        </is>
      </c>
      <c r="C122" s="27" t="n">
        <v>46306.52798611111</v>
      </c>
      <c r="D122" s="15" t="inlineStr">
        <is>
          <t>BR-04</t>
        </is>
      </c>
      <c r="E122" s="15" t="inlineStr">
        <is>
          <t>T-02</t>
        </is>
      </c>
      <c r="F122" s="15" t="inlineStr">
        <is>
          <t>C-113</t>
        </is>
      </c>
      <c r="G122" s="15" t="inlineStr">
        <is>
          <t>NONE</t>
        </is>
      </c>
      <c r="H122" s="14" t="inlineStr">
        <is>
          <t>Sale Tender</t>
        </is>
      </c>
      <c r="I122" s="15" t="inlineStr">
        <is>
          <t>Card</t>
        </is>
      </c>
      <c r="J122" s="17" t="n">
        <v>6</v>
      </c>
      <c r="K122" s="28" t="n">
        <v>77.54000000000001</v>
      </c>
      <c r="L122" s="28" t="n">
        <v>77.54000000000001</v>
      </c>
      <c r="M122" s="27" t="n">
        <v>46306.52731481481</v>
      </c>
      <c r="N122" s="29">
        <f>IFERROR(IF(OR(ISBLANK(M122), M122="", ISBLANK(C122), C122=""), 0, MAX(0, ROUND((C122-M122)*86400, 0))), 0)</f>
        <v/>
      </c>
      <c r="O122" s="14">
        <f>IF(H122="Post-Bill Void", IF(AND(G122="M-904", I122="Cash"), "EXCEPTION: Concurrent Cash Void", IF(AND(I122="Cash", N122&gt;120), "CRITICAL: Delayed Cash Void", IF(N122&gt;120, "EXCEPTION: Delayed Void", "Standard Void"))), IF(H122="Line Item Void", IF(I122="Cash", "EXCEPTION: Cash Line Void", "Standard Line Void"), IF(H122="No-Sale Drawer Opening", "DRAWER OPENING", "Standard Sale")))</f>
        <v/>
      </c>
    </row>
    <row r="123" ht="18" customHeight="1">
      <c r="A123" s="12" t="inlineStr">
        <is>
          <t>EVT-10102</t>
        </is>
      </c>
      <c r="B123" s="12" t="inlineStr">
        <is>
          <t>TX-80102</t>
        </is>
      </c>
      <c r="C123" s="24" t="n">
        <v>46306.5353125</v>
      </c>
      <c r="D123" s="12" t="inlineStr">
        <is>
          <t>BR-02</t>
        </is>
      </c>
      <c r="E123" s="12" t="inlineStr">
        <is>
          <t>T-01</t>
        </is>
      </c>
      <c r="F123" s="12" t="inlineStr">
        <is>
          <t>C-108</t>
        </is>
      </c>
      <c r="G123" s="12" t="inlineStr">
        <is>
          <t>NONE</t>
        </is>
      </c>
      <c r="H123" s="11" t="inlineStr">
        <is>
          <t>Sale Tender</t>
        </is>
      </c>
      <c r="I123" s="12" t="inlineStr">
        <is>
          <t>Card</t>
        </is>
      </c>
      <c r="J123" s="20" t="n">
        <v>3</v>
      </c>
      <c r="K123" s="25" t="n">
        <v>44.1</v>
      </c>
      <c r="L123" s="25" t="n">
        <v>44.1</v>
      </c>
      <c r="M123" s="24" t="n">
        <v>46306.53469907407</v>
      </c>
      <c r="N123" s="26">
        <f>IFERROR(IF(OR(ISBLANK(M123), M123="", ISBLANK(C123), C123=""), 0, MAX(0, ROUND((C123-M123)*86400, 0))), 0)</f>
        <v/>
      </c>
      <c r="O123" s="11">
        <f>IF(H123="Post-Bill Void", IF(AND(G123="M-904", I123="Cash"), "EXCEPTION: Concurrent Cash Void", IF(AND(I123="Cash", N123&gt;120), "CRITICAL: Delayed Cash Void", IF(N123&gt;120, "EXCEPTION: Delayed Void", "Standard Void"))), IF(H123="Line Item Void", IF(I123="Cash", "EXCEPTION: Cash Line Void", "Standard Line Void"), IF(H123="No-Sale Drawer Opening", "DRAWER OPENING", "Standard Sale")))</f>
        <v/>
      </c>
    </row>
    <row r="124" ht="18" customHeight="1">
      <c r="A124" s="15" t="inlineStr">
        <is>
          <t>EVT-10103</t>
        </is>
      </c>
      <c r="B124" s="15" t="inlineStr">
        <is>
          <t>TX-80103</t>
        </is>
      </c>
      <c r="C124" s="27" t="n">
        <v>46306.54171296296</v>
      </c>
      <c r="D124" s="15" t="inlineStr">
        <is>
          <t>BR-01</t>
        </is>
      </c>
      <c r="E124" s="15" t="inlineStr">
        <is>
          <t>T-02</t>
        </is>
      </c>
      <c r="F124" s="15" t="inlineStr">
        <is>
          <t>C-102</t>
        </is>
      </c>
      <c r="G124" s="15" t="inlineStr">
        <is>
          <t>NONE</t>
        </is>
      </c>
      <c r="H124" s="14" t="inlineStr">
        <is>
          <t>Sale Tender</t>
        </is>
      </c>
      <c r="I124" s="15" t="inlineStr">
        <is>
          <t>Card</t>
        </is>
      </c>
      <c r="J124" s="17" t="n">
        <v>4</v>
      </c>
      <c r="K124" s="28" t="n">
        <v>54.66</v>
      </c>
      <c r="L124" s="28" t="n">
        <v>54.66</v>
      </c>
      <c r="M124" s="27" t="n">
        <v>46306.54100694445</v>
      </c>
      <c r="N124" s="29">
        <f>IFERROR(IF(OR(ISBLANK(M124), M124="", ISBLANK(C124), C124=""), 0, MAX(0, ROUND((C124-M124)*86400, 0))), 0)</f>
        <v/>
      </c>
      <c r="O124" s="14">
        <f>IF(H124="Post-Bill Void", IF(AND(G124="M-904", I124="Cash"), "EXCEPTION: Concurrent Cash Void", IF(AND(I124="Cash", N124&gt;120), "CRITICAL: Delayed Cash Void", IF(N124&gt;120, "EXCEPTION: Delayed Void", "Standard Void"))), IF(H124="Line Item Void", IF(I124="Cash", "EXCEPTION: Cash Line Void", "Standard Line Void"), IF(H124="No-Sale Drawer Opening", "DRAWER OPENING", "Standard Sale")))</f>
        <v/>
      </c>
    </row>
    <row r="125" ht="18" customHeight="1">
      <c r="A125" s="12" t="inlineStr">
        <is>
          <t>EVT-10104</t>
        </is>
      </c>
      <c r="B125" s="12" t="inlineStr">
        <is>
          <t>TX-80104</t>
        </is>
      </c>
      <c r="C125" s="24" t="n">
        <v>46306.54912037037</v>
      </c>
      <c r="D125" s="12" t="inlineStr">
        <is>
          <t>BR-04</t>
        </is>
      </c>
      <c r="E125" s="12" t="inlineStr">
        <is>
          <t>T-01</t>
        </is>
      </c>
      <c r="F125" s="12" t="inlineStr">
        <is>
          <t>C-114</t>
        </is>
      </c>
      <c r="G125" s="12" t="inlineStr">
        <is>
          <t>NONE</t>
        </is>
      </c>
      <c r="H125" s="11" t="inlineStr">
        <is>
          <t>Sale Tender</t>
        </is>
      </c>
      <c r="I125" s="12" t="inlineStr">
        <is>
          <t>Card</t>
        </is>
      </c>
      <c r="J125" s="20" t="n">
        <v>5</v>
      </c>
      <c r="K125" s="25" t="n">
        <v>43.99</v>
      </c>
      <c r="L125" s="25" t="n">
        <v>43.99</v>
      </c>
      <c r="M125" s="24" t="n">
        <v>46306.54810185185</v>
      </c>
      <c r="N125" s="26">
        <f>IFERROR(IF(OR(ISBLANK(M125), M125="", ISBLANK(C125), C125=""), 0, MAX(0, ROUND((C125-M125)*86400, 0))), 0)</f>
        <v/>
      </c>
      <c r="O125" s="11">
        <f>IF(H125="Post-Bill Void", IF(AND(G125="M-904", I125="Cash"), "EXCEPTION: Concurrent Cash Void", IF(AND(I125="Cash", N125&gt;120), "CRITICAL: Delayed Cash Void", IF(N125&gt;120, "EXCEPTION: Delayed Void", "Standard Void"))), IF(H125="Line Item Void", IF(I125="Cash", "EXCEPTION: Cash Line Void", "Standard Line Void"), IF(H125="No-Sale Drawer Opening", "DRAWER OPENING", "Standard Sale")))</f>
        <v/>
      </c>
    </row>
    <row r="126" ht="18" customHeight="1">
      <c r="A126" s="15" t="inlineStr">
        <is>
          <t>EVT-10105</t>
        </is>
      </c>
      <c r="B126" s="15" t="inlineStr">
        <is>
          <t>TX-80105</t>
        </is>
      </c>
      <c r="C126" s="27" t="n">
        <v>46306.55586805556</v>
      </c>
      <c r="D126" s="15" t="inlineStr">
        <is>
          <t>BR-03</t>
        </is>
      </c>
      <c r="E126" s="15" t="inlineStr">
        <is>
          <t>T-01</t>
        </is>
      </c>
      <c r="F126" s="15" t="inlineStr">
        <is>
          <t>C-111</t>
        </is>
      </c>
      <c r="G126" s="15" t="inlineStr">
        <is>
          <t>NONE</t>
        </is>
      </c>
      <c r="H126" s="14" t="inlineStr">
        <is>
          <t>Sale Tender</t>
        </is>
      </c>
      <c r="I126" s="15" t="inlineStr">
        <is>
          <t>Delivery Aggregator</t>
        </is>
      </c>
      <c r="J126" s="17" t="n">
        <v>5</v>
      </c>
      <c r="K126" s="28" t="n">
        <v>64.52</v>
      </c>
      <c r="L126" s="28" t="n">
        <v>64.52</v>
      </c>
      <c r="M126" s="27" t="n">
        <v>46306.55524305555</v>
      </c>
      <c r="N126" s="29">
        <f>IFERROR(IF(OR(ISBLANK(M126), M126="", ISBLANK(C126), C126=""), 0, MAX(0, ROUND((C126-M126)*86400, 0))), 0)</f>
        <v/>
      </c>
      <c r="O126" s="14">
        <f>IF(H126="Post-Bill Void", IF(AND(G126="M-904", I126="Cash"), "EXCEPTION: Concurrent Cash Void", IF(AND(I126="Cash", N126&gt;120), "CRITICAL: Delayed Cash Void", IF(N126&gt;120, "EXCEPTION: Delayed Void", "Standard Void"))), IF(H126="Line Item Void", IF(I126="Cash", "EXCEPTION: Cash Line Void", "Standard Line Void"), IF(H126="No-Sale Drawer Opening", "DRAWER OPENING", "Standard Sale")))</f>
        <v/>
      </c>
    </row>
    <row r="127" ht="18" customHeight="1">
      <c r="A127" s="12" t="inlineStr">
        <is>
          <t>EVT-10106</t>
        </is>
      </c>
      <c r="B127" s="12" t="inlineStr">
        <is>
          <t>TX-80106</t>
        </is>
      </c>
      <c r="C127" s="24" t="n">
        <v>46306.56251157408</v>
      </c>
      <c r="D127" s="12" t="inlineStr">
        <is>
          <t>BR-03</t>
        </is>
      </c>
      <c r="E127" s="12" t="inlineStr">
        <is>
          <t>T-02</t>
        </is>
      </c>
      <c r="F127" s="12" t="inlineStr">
        <is>
          <t>C-109</t>
        </is>
      </c>
      <c r="G127" s="12" t="inlineStr">
        <is>
          <t>NONE</t>
        </is>
      </c>
      <c r="H127" s="11" t="inlineStr">
        <is>
          <t>Sale Tender</t>
        </is>
      </c>
      <c r="I127" s="12" t="inlineStr">
        <is>
          <t>Card</t>
        </is>
      </c>
      <c r="J127" s="20" t="n">
        <v>6</v>
      </c>
      <c r="K127" s="25" t="n">
        <v>70.90000000000001</v>
      </c>
      <c r="L127" s="25" t="n">
        <v>70.90000000000001</v>
      </c>
      <c r="M127" s="24" t="n">
        <v>46306.56196759259</v>
      </c>
      <c r="N127" s="26">
        <f>IFERROR(IF(OR(ISBLANK(M127), M127="", ISBLANK(C127), C127=""), 0, MAX(0, ROUND((C127-M127)*86400, 0))), 0)</f>
        <v/>
      </c>
      <c r="O127" s="11">
        <f>IF(H127="Post-Bill Void", IF(AND(G127="M-904", I127="Cash"), "EXCEPTION: Concurrent Cash Void", IF(AND(I127="Cash", N127&gt;120), "CRITICAL: Delayed Cash Void", IF(N127&gt;120, "EXCEPTION: Delayed Void", "Standard Void"))), IF(H127="Line Item Void", IF(I127="Cash", "EXCEPTION: Cash Line Void", "Standard Line Void"), IF(H127="No-Sale Drawer Opening", "DRAWER OPENING", "Standard Sale")))</f>
        <v/>
      </c>
    </row>
    <row r="128" ht="18" customHeight="1">
      <c r="A128" s="15" t="inlineStr">
        <is>
          <t>EVT-10107</t>
        </is>
      </c>
      <c r="B128" s="15" t="inlineStr">
        <is>
          <t>TX-80107</t>
        </is>
      </c>
      <c r="C128" s="27" t="n">
        <v>46306.56964120371</v>
      </c>
      <c r="D128" s="15" t="inlineStr">
        <is>
          <t>BR-02</t>
        </is>
      </c>
      <c r="E128" s="15" t="inlineStr">
        <is>
          <t>T-02</t>
        </is>
      </c>
      <c r="F128" s="15" t="inlineStr">
        <is>
          <t>C-108</t>
        </is>
      </c>
      <c r="G128" s="15" t="inlineStr">
        <is>
          <t>NONE</t>
        </is>
      </c>
      <c r="H128" s="14" t="inlineStr">
        <is>
          <t>Sale Tender</t>
        </is>
      </c>
      <c r="I128" s="15" t="inlineStr">
        <is>
          <t>Delivery Aggregator</t>
        </is>
      </c>
      <c r="J128" s="17" t="n">
        <v>4</v>
      </c>
      <c r="K128" s="28" t="n">
        <v>44.44</v>
      </c>
      <c r="L128" s="28" t="n">
        <v>44.44</v>
      </c>
      <c r="M128" s="27" t="n">
        <v>46306.56863425926</v>
      </c>
      <c r="N128" s="29">
        <f>IFERROR(IF(OR(ISBLANK(M128), M128="", ISBLANK(C128), C128=""), 0, MAX(0, ROUND((C128-M128)*86400, 0))), 0)</f>
        <v/>
      </c>
      <c r="O128" s="14">
        <f>IF(H128="Post-Bill Void", IF(AND(G128="M-904", I128="Cash"), "EXCEPTION: Concurrent Cash Void", IF(AND(I128="Cash", N128&gt;120), "CRITICAL: Delayed Cash Void", IF(N128&gt;120, "EXCEPTION: Delayed Void", "Standard Void"))), IF(H128="Line Item Void", IF(I128="Cash", "EXCEPTION: Cash Line Void", "Standard Line Void"), IF(H128="No-Sale Drawer Opening", "DRAWER OPENING", "Standard Sale")))</f>
        <v/>
      </c>
    </row>
    <row r="129" ht="18" customHeight="1">
      <c r="A129" s="12" t="inlineStr">
        <is>
          <t>EVT-10108</t>
        </is>
      </c>
      <c r="B129" s="12" t="inlineStr">
        <is>
          <t>TX-80108</t>
        </is>
      </c>
      <c r="C129" s="24" t="n">
        <v>46306.57663194444</v>
      </c>
      <c r="D129" s="12" t="inlineStr">
        <is>
          <t>BR-03</t>
        </is>
      </c>
      <c r="E129" s="12" t="inlineStr">
        <is>
          <t>T-02</t>
        </is>
      </c>
      <c r="F129" s="12" t="inlineStr">
        <is>
          <t>C-109</t>
        </is>
      </c>
      <c r="G129" s="12" t="inlineStr">
        <is>
          <t>NONE</t>
        </is>
      </c>
      <c r="H129" s="11" t="inlineStr">
        <is>
          <t>Sale Tender</t>
        </is>
      </c>
      <c r="I129" s="12" t="inlineStr">
        <is>
          <t>Card</t>
        </is>
      </c>
      <c r="J129" s="20" t="n">
        <v>4</v>
      </c>
      <c r="K129" s="25" t="n">
        <v>42.65</v>
      </c>
      <c r="L129" s="25" t="n">
        <v>42.65</v>
      </c>
      <c r="M129" s="24" t="n">
        <v>46306.57585648148</v>
      </c>
      <c r="N129" s="26">
        <f>IFERROR(IF(OR(ISBLANK(M129), M129="", ISBLANK(C129), C129=""), 0, MAX(0, ROUND((C129-M129)*86400, 0))), 0)</f>
        <v/>
      </c>
      <c r="O129" s="11">
        <f>IF(H129="Post-Bill Void", IF(AND(G129="M-904", I129="Cash"), "EXCEPTION: Concurrent Cash Void", IF(AND(I129="Cash", N129&gt;120), "CRITICAL: Delayed Cash Void", IF(N129&gt;120, "EXCEPTION: Delayed Void", "Standard Void"))), IF(H129="Line Item Void", IF(I129="Cash", "EXCEPTION: Cash Line Void", "Standard Line Void"), IF(H129="No-Sale Drawer Opening", "DRAWER OPENING", "Standard Sale")))</f>
        <v/>
      </c>
    </row>
    <row r="130" ht="18" customHeight="1">
      <c r="A130" s="15" t="inlineStr">
        <is>
          <t>EVT-10109</t>
        </is>
      </c>
      <c r="B130" s="15" t="inlineStr">
        <is>
          <t>TX-80109</t>
        </is>
      </c>
      <c r="C130" s="27" t="n">
        <v>46306.58362268518</v>
      </c>
      <c r="D130" s="15" t="inlineStr">
        <is>
          <t>BR-01</t>
        </is>
      </c>
      <c r="E130" s="15" t="inlineStr">
        <is>
          <t>T-01</t>
        </is>
      </c>
      <c r="F130" s="15" t="inlineStr">
        <is>
          <t>C-104</t>
        </is>
      </c>
      <c r="G130" s="15" t="inlineStr">
        <is>
          <t>NONE</t>
        </is>
      </c>
      <c r="H130" s="14" t="inlineStr">
        <is>
          <t>Sale Tender</t>
        </is>
      </c>
      <c r="I130" s="15" t="inlineStr">
        <is>
          <t>Cash</t>
        </is>
      </c>
      <c r="J130" s="17" t="n">
        <v>4</v>
      </c>
      <c r="K130" s="28" t="n">
        <v>59.95</v>
      </c>
      <c r="L130" s="28" t="n">
        <v>59.95</v>
      </c>
      <c r="M130" s="27" t="n">
        <v>46306.58296296297</v>
      </c>
      <c r="N130" s="29">
        <f>IFERROR(IF(OR(ISBLANK(M130), M130="", ISBLANK(C130), C130=""), 0, MAX(0, ROUND((C130-M130)*86400, 0))), 0)</f>
        <v/>
      </c>
      <c r="O130" s="14">
        <f>IF(H130="Post-Bill Void", IF(AND(G130="M-904", I130="Cash"), "EXCEPTION: Concurrent Cash Void", IF(AND(I130="Cash", N130&gt;120), "CRITICAL: Delayed Cash Void", IF(N130&gt;120, "EXCEPTION: Delayed Void", "Standard Void"))), IF(H130="Line Item Void", IF(I130="Cash", "EXCEPTION: Cash Line Void", "Standard Line Void"), IF(H130="No-Sale Drawer Opening", "DRAWER OPENING", "Standard Sale")))</f>
        <v/>
      </c>
    </row>
    <row r="131" ht="18" customHeight="1">
      <c r="A131" s="12" t="inlineStr">
        <is>
          <t>EVT-10110</t>
        </is>
      </c>
      <c r="B131" s="12" t="inlineStr">
        <is>
          <t>TX-80110</t>
        </is>
      </c>
      <c r="C131" s="24" t="n">
        <v>46306.59087962963</v>
      </c>
      <c r="D131" s="12" t="inlineStr">
        <is>
          <t>BR-01</t>
        </is>
      </c>
      <c r="E131" s="12" t="inlineStr">
        <is>
          <t>T-01</t>
        </is>
      </c>
      <c r="F131" s="12" t="inlineStr">
        <is>
          <t>C-104</t>
        </is>
      </c>
      <c r="G131" s="12" t="inlineStr">
        <is>
          <t>NONE</t>
        </is>
      </c>
      <c r="H131" s="11" t="inlineStr">
        <is>
          <t>Sale Tender</t>
        </is>
      </c>
      <c r="I131" s="12" t="inlineStr">
        <is>
          <t>Card</t>
        </is>
      </c>
      <c r="J131" s="20" t="n">
        <v>5</v>
      </c>
      <c r="K131" s="25" t="n">
        <v>70.87</v>
      </c>
      <c r="L131" s="25" t="n">
        <v>70.87</v>
      </c>
      <c r="M131" s="24" t="n">
        <v>46306.5903125</v>
      </c>
      <c r="N131" s="26">
        <f>IFERROR(IF(OR(ISBLANK(M131), M131="", ISBLANK(C131), C131=""), 0, MAX(0, ROUND((C131-M131)*86400, 0))), 0)</f>
        <v/>
      </c>
      <c r="O131" s="11">
        <f>IF(H131="Post-Bill Void", IF(AND(G131="M-904", I131="Cash"), "EXCEPTION: Concurrent Cash Void", IF(AND(I131="Cash", N131&gt;120), "CRITICAL: Delayed Cash Void", IF(N131&gt;120, "EXCEPTION: Delayed Void", "Standard Void"))), IF(H131="Line Item Void", IF(I131="Cash", "EXCEPTION: Cash Line Void", "Standard Line Void"), IF(H131="No-Sale Drawer Opening", "DRAWER OPENING", "Standard Sale")))</f>
        <v/>
      </c>
    </row>
    <row r="132" ht="18" customHeight="1">
      <c r="A132" s="15" t="inlineStr">
        <is>
          <t>EVT-10111</t>
        </is>
      </c>
      <c r="B132" s="15" t="inlineStr">
        <is>
          <t>TX-80111</t>
        </is>
      </c>
      <c r="C132" s="27" t="n">
        <v>46306.59768518519</v>
      </c>
      <c r="D132" s="15" t="inlineStr">
        <is>
          <t>BR-04</t>
        </is>
      </c>
      <c r="E132" s="15" t="inlineStr">
        <is>
          <t>T-01</t>
        </is>
      </c>
      <c r="F132" s="15" t="inlineStr">
        <is>
          <t>C-113</t>
        </is>
      </c>
      <c r="G132" s="15" t="inlineStr">
        <is>
          <t>NONE</t>
        </is>
      </c>
      <c r="H132" s="14" t="inlineStr">
        <is>
          <t>Sale Tender</t>
        </is>
      </c>
      <c r="I132" s="15" t="inlineStr">
        <is>
          <t>Cash</t>
        </is>
      </c>
      <c r="J132" s="17" t="n">
        <v>3</v>
      </c>
      <c r="K132" s="28" t="n">
        <v>35.36</v>
      </c>
      <c r="L132" s="28" t="n">
        <v>35.36</v>
      </c>
      <c r="M132" s="27" t="n">
        <v>46306.59658564815</v>
      </c>
      <c r="N132" s="29">
        <f>IFERROR(IF(OR(ISBLANK(M132), M132="", ISBLANK(C132), C132=""), 0, MAX(0, ROUND((C132-M132)*86400, 0))), 0)</f>
        <v/>
      </c>
      <c r="O132" s="14">
        <f>IF(H132="Post-Bill Void", IF(AND(G132="M-904", I132="Cash"), "EXCEPTION: Concurrent Cash Void", IF(AND(I132="Cash", N132&gt;120), "CRITICAL: Delayed Cash Void", IF(N132&gt;120, "EXCEPTION: Delayed Void", "Standard Void"))), IF(H132="Line Item Void", IF(I132="Cash", "EXCEPTION: Cash Line Void", "Standard Line Void"), IF(H132="No-Sale Drawer Opening", "DRAWER OPENING", "Standard Sale")))</f>
        <v/>
      </c>
    </row>
    <row r="133" ht="18" customHeight="1">
      <c r="A133" s="12" t="inlineStr">
        <is>
          <t>EVT-10112</t>
        </is>
      </c>
      <c r="B133" s="12" t="inlineStr">
        <is>
          <t>TX-80112</t>
        </is>
      </c>
      <c r="C133" s="24" t="n">
        <v>46306.60467592593</v>
      </c>
      <c r="D133" s="12" t="inlineStr">
        <is>
          <t>BR-04</t>
        </is>
      </c>
      <c r="E133" s="12" t="inlineStr">
        <is>
          <t>T-01</t>
        </is>
      </c>
      <c r="F133" s="12" t="inlineStr">
        <is>
          <t>C-113</t>
        </is>
      </c>
      <c r="G133" s="12" t="inlineStr">
        <is>
          <t>NONE</t>
        </is>
      </c>
      <c r="H133" s="11" t="inlineStr">
        <is>
          <t>Sale Tender</t>
        </is>
      </c>
      <c r="I133" s="12" t="inlineStr">
        <is>
          <t>Card</t>
        </is>
      </c>
      <c r="J133" s="20" t="n">
        <v>3</v>
      </c>
      <c r="K133" s="25" t="n">
        <v>37.89</v>
      </c>
      <c r="L133" s="25" t="n">
        <v>37.89</v>
      </c>
      <c r="M133" s="24" t="n">
        <v>46306.60403935185</v>
      </c>
      <c r="N133" s="26">
        <f>IFERROR(IF(OR(ISBLANK(M133), M133="", ISBLANK(C133), C133=""), 0, MAX(0, ROUND((C133-M133)*86400, 0))), 0)</f>
        <v/>
      </c>
      <c r="O133" s="11">
        <f>IF(H133="Post-Bill Void", IF(AND(G133="M-904", I133="Cash"), "EXCEPTION: Concurrent Cash Void", IF(AND(I133="Cash", N133&gt;120), "CRITICAL: Delayed Cash Void", IF(N133&gt;120, "EXCEPTION: Delayed Void", "Standard Void"))), IF(H133="Line Item Void", IF(I133="Cash", "EXCEPTION: Cash Line Void", "Standard Line Void"), IF(H133="No-Sale Drawer Opening", "DRAWER OPENING", "Standard Sale")))</f>
        <v/>
      </c>
    </row>
    <row r="134" ht="18" customHeight="1">
      <c r="A134" s="15" t="inlineStr">
        <is>
          <t>EVT-10113</t>
        </is>
      </c>
      <c r="B134" s="15" t="inlineStr">
        <is>
          <t>TX-80113</t>
        </is>
      </c>
      <c r="C134" s="27" t="n">
        <v>46306.6115162037</v>
      </c>
      <c r="D134" s="15" t="inlineStr">
        <is>
          <t>BR-04</t>
        </is>
      </c>
      <c r="E134" s="15" t="inlineStr">
        <is>
          <t>T-01</t>
        </is>
      </c>
      <c r="F134" s="15" t="inlineStr">
        <is>
          <t>C-113</t>
        </is>
      </c>
      <c r="G134" s="15" t="inlineStr">
        <is>
          <t>NONE</t>
        </is>
      </c>
      <c r="H134" s="14" t="inlineStr">
        <is>
          <t>Sale Tender</t>
        </is>
      </c>
      <c r="I134" s="15" t="inlineStr">
        <is>
          <t>Card</t>
        </is>
      </c>
      <c r="J134" s="17" t="n">
        <v>1</v>
      </c>
      <c r="K134" s="28" t="n">
        <v>13.36</v>
      </c>
      <c r="L134" s="28" t="n">
        <v>13.36</v>
      </c>
      <c r="M134" s="27" t="n">
        <v>46306.61106481482</v>
      </c>
      <c r="N134" s="29">
        <f>IFERROR(IF(OR(ISBLANK(M134), M134="", ISBLANK(C134), C134=""), 0, MAX(0, ROUND((C134-M134)*86400, 0))), 0)</f>
        <v/>
      </c>
      <c r="O134" s="14">
        <f>IF(H134="Post-Bill Void", IF(AND(G134="M-904", I134="Cash"), "EXCEPTION: Concurrent Cash Void", IF(AND(I134="Cash", N134&gt;120), "CRITICAL: Delayed Cash Void", IF(N134&gt;120, "EXCEPTION: Delayed Void", "Standard Void"))), IF(H134="Line Item Void", IF(I134="Cash", "EXCEPTION: Cash Line Void", "Standard Line Void"), IF(H134="No-Sale Drawer Opening", "DRAWER OPENING", "Standard Sale")))</f>
        <v/>
      </c>
    </row>
    <row r="135" ht="18" customHeight="1">
      <c r="A135" s="12" t="inlineStr">
        <is>
          <t>EVT-10114</t>
        </is>
      </c>
      <c r="B135" s="12" t="inlineStr">
        <is>
          <t>TX-80114</t>
        </is>
      </c>
      <c r="C135" s="24" t="n">
        <v>46306.61815972222</v>
      </c>
      <c r="D135" s="12" t="inlineStr">
        <is>
          <t>BR-04</t>
        </is>
      </c>
      <c r="E135" s="12" t="inlineStr">
        <is>
          <t>T-01</t>
        </is>
      </c>
      <c r="F135" s="12" t="inlineStr">
        <is>
          <t>C-115</t>
        </is>
      </c>
      <c r="G135" s="12" t="inlineStr">
        <is>
          <t>NONE</t>
        </is>
      </c>
      <c r="H135" s="11" t="inlineStr">
        <is>
          <t>Sale Tender</t>
        </is>
      </c>
      <c r="I135" s="12" t="inlineStr">
        <is>
          <t>Card</t>
        </is>
      </c>
      <c r="J135" s="20" t="n">
        <v>4</v>
      </c>
      <c r="K135" s="25" t="n">
        <v>63.41</v>
      </c>
      <c r="L135" s="25" t="n">
        <v>63.41</v>
      </c>
      <c r="M135" s="24" t="n">
        <v>46306.61747685185</v>
      </c>
      <c r="N135" s="26">
        <f>IFERROR(IF(OR(ISBLANK(M135), M135="", ISBLANK(C135), C135=""), 0, MAX(0, ROUND((C135-M135)*86400, 0))), 0)</f>
        <v/>
      </c>
      <c r="O135" s="11">
        <f>IF(H135="Post-Bill Void", IF(AND(G135="M-904", I135="Cash"), "EXCEPTION: Concurrent Cash Void", IF(AND(I135="Cash", N135&gt;120), "CRITICAL: Delayed Cash Void", IF(N135&gt;120, "EXCEPTION: Delayed Void", "Standard Void"))), IF(H135="Line Item Void", IF(I135="Cash", "EXCEPTION: Cash Line Void", "Standard Line Void"), IF(H135="No-Sale Drawer Opening", "DRAWER OPENING", "Standard Sale")))</f>
        <v/>
      </c>
    </row>
    <row r="136" ht="18" customHeight="1">
      <c r="A136" s="15" t="inlineStr">
        <is>
          <t>EVT-10115</t>
        </is>
      </c>
      <c r="B136" s="15" t="inlineStr">
        <is>
          <t>TX-80115</t>
        </is>
      </c>
      <c r="C136" s="27" t="n">
        <v>46306.62517361111</v>
      </c>
      <c r="D136" s="15" t="inlineStr">
        <is>
          <t>BR-04</t>
        </is>
      </c>
      <c r="E136" s="15" t="inlineStr">
        <is>
          <t>T-01</t>
        </is>
      </c>
      <c r="F136" s="15" t="inlineStr">
        <is>
          <t>C-115</t>
        </is>
      </c>
      <c r="G136" s="15" t="inlineStr">
        <is>
          <t>NONE</t>
        </is>
      </c>
      <c r="H136" s="14" t="inlineStr">
        <is>
          <t>Sale Tender</t>
        </is>
      </c>
      <c r="I136" s="15" t="inlineStr">
        <is>
          <t>Delivery Aggregator</t>
        </is>
      </c>
      <c r="J136" s="17" t="n">
        <v>5</v>
      </c>
      <c r="K136" s="28" t="n">
        <v>70.48999999999999</v>
      </c>
      <c r="L136" s="28" t="n">
        <v>70.48999999999999</v>
      </c>
      <c r="M136" s="27" t="n">
        <v>46306.62460648148</v>
      </c>
      <c r="N136" s="29">
        <f>IFERROR(IF(OR(ISBLANK(M136), M136="", ISBLANK(C136), C136=""), 0, MAX(0, ROUND((C136-M136)*86400, 0))), 0)</f>
        <v/>
      </c>
      <c r="O136" s="14">
        <f>IF(H136="Post-Bill Void", IF(AND(G136="M-904", I136="Cash"), "EXCEPTION: Concurrent Cash Void", IF(AND(I136="Cash", N136&gt;120), "CRITICAL: Delayed Cash Void", IF(N136&gt;120, "EXCEPTION: Delayed Void", "Standard Void"))), IF(H136="Line Item Void", IF(I136="Cash", "EXCEPTION: Cash Line Void", "Standard Line Void"), IF(H136="No-Sale Drawer Opening", "DRAWER OPENING", "Standard Sale")))</f>
        <v/>
      </c>
    </row>
    <row r="137" ht="18" customHeight="1">
      <c r="A137" s="12" t="inlineStr">
        <is>
          <t>EVT-10116</t>
        </is>
      </c>
      <c r="B137" s="12" t="inlineStr">
        <is>
          <t>TX-80116</t>
        </is>
      </c>
      <c r="C137" s="24" t="n">
        <v>46306.63203703704</v>
      </c>
      <c r="D137" s="12" t="inlineStr">
        <is>
          <t>BR-01</t>
        </is>
      </c>
      <c r="E137" s="12" t="inlineStr">
        <is>
          <t>T-02</t>
        </is>
      </c>
      <c r="F137" s="12" t="inlineStr">
        <is>
          <t>C-103</t>
        </is>
      </c>
      <c r="G137" s="12" t="inlineStr">
        <is>
          <t>NONE</t>
        </is>
      </c>
      <c r="H137" s="11" t="inlineStr">
        <is>
          <t>Sale Tender</t>
        </is>
      </c>
      <c r="I137" s="12" t="inlineStr">
        <is>
          <t>Cash</t>
        </is>
      </c>
      <c r="J137" s="20" t="n">
        <v>5</v>
      </c>
      <c r="K137" s="25" t="n">
        <v>52.52</v>
      </c>
      <c r="L137" s="25" t="n">
        <v>52.52</v>
      </c>
      <c r="M137" s="24" t="n">
        <v>46306.63113425926</v>
      </c>
      <c r="N137" s="26">
        <f>IFERROR(IF(OR(ISBLANK(M137), M137="", ISBLANK(C137), C137=""), 0, MAX(0, ROUND((C137-M137)*86400, 0))), 0)</f>
        <v/>
      </c>
      <c r="O137" s="11">
        <f>IF(H137="Post-Bill Void", IF(AND(G137="M-904", I137="Cash"), "EXCEPTION: Concurrent Cash Void", IF(AND(I137="Cash", N137&gt;120), "CRITICAL: Delayed Cash Void", IF(N137&gt;120, "EXCEPTION: Delayed Void", "Standard Void"))), IF(H137="Line Item Void", IF(I137="Cash", "EXCEPTION: Cash Line Void", "Standard Line Void"), IF(H137="No-Sale Drawer Opening", "DRAWER OPENING", "Standard Sale")))</f>
        <v/>
      </c>
    </row>
    <row r="138" ht="18" customHeight="1">
      <c r="A138" s="15" t="inlineStr">
        <is>
          <t>EVT-10117</t>
        </is>
      </c>
      <c r="B138" s="15" t="inlineStr">
        <is>
          <t>TX-80117</t>
        </is>
      </c>
      <c r="C138" s="27" t="n">
        <v>46306.63888888889</v>
      </c>
      <c r="D138" s="15" t="inlineStr">
        <is>
          <t>BR-03</t>
        </is>
      </c>
      <c r="E138" s="15" t="inlineStr">
        <is>
          <t>T-02</t>
        </is>
      </c>
      <c r="F138" s="15" t="inlineStr">
        <is>
          <t>C-111</t>
        </is>
      </c>
      <c r="G138" s="15" t="inlineStr">
        <is>
          <t>NONE</t>
        </is>
      </c>
      <c r="H138" s="14" t="inlineStr">
        <is>
          <t>Sale Tender</t>
        </is>
      </c>
      <c r="I138" s="15" t="inlineStr">
        <is>
          <t>Delivery Aggregator</t>
        </is>
      </c>
      <c r="J138" s="17" t="n">
        <v>4</v>
      </c>
      <c r="K138" s="28" t="n">
        <v>50.16</v>
      </c>
      <c r="L138" s="28" t="n">
        <v>50.16</v>
      </c>
      <c r="M138" s="27" t="n">
        <v>46306.63788194444</v>
      </c>
      <c r="N138" s="29">
        <f>IFERROR(IF(OR(ISBLANK(M138), M138="", ISBLANK(C138), C138=""), 0, MAX(0, ROUND((C138-M138)*86400, 0))), 0)</f>
        <v/>
      </c>
      <c r="O138" s="14">
        <f>IF(H138="Post-Bill Void", IF(AND(G138="M-904", I138="Cash"), "EXCEPTION: Concurrent Cash Void", IF(AND(I138="Cash", N138&gt;120), "CRITICAL: Delayed Cash Void", IF(N138&gt;120, "EXCEPTION: Delayed Void", "Standard Void"))), IF(H138="Line Item Void", IF(I138="Cash", "EXCEPTION: Cash Line Void", "Standard Line Void"), IF(H138="No-Sale Drawer Opening", "DRAWER OPENING", "Standard Sale")))</f>
        <v/>
      </c>
    </row>
    <row r="139" ht="18" customHeight="1">
      <c r="A139" s="12" t="inlineStr">
        <is>
          <t>EVT-10118</t>
        </is>
      </c>
      <c r="B139" s="12" t="inlineStr">
        <is>
          <t>TX-80118</t>
        </is>
      </c>
      <c r="C139" s="24" t="n">
        <v>46306.64608796296</v>
      </c>
      <c r="D139" s="12" t="inlineStr">
        <is>
          <t>BR-03</t>
        </is>
      </c>
      <c r="E139" s="12" t="inlineStr">
        <is>
          <t>T-01</t>
        </is>
      </c>
      <c r="F139" s="12" t="inlineStr">
        <is>
          <t>C-112</t>
        </is>
      </c>
      <c r="G139" s="12" t="inlineStr">
        <is>
          <t>NONE</t>
        </is>
      </c>
      <c r="H139" s="11" t="inlineStr">
        <is>
          <t>Sale Tender</t>
        </is>
      </c>
      <c r="I139" s="12" t="inlineStr">
        <is>
          <t>Delivery Aggregator</t>
        </is>
      </c>
      <c r="J139" s="20" t="n">
        <v>6</v>
      </c>
      <c r="K139" s="25" t="n">
        <v>61.75</v>
      </c>
      <c r="L139" s="25" t="n">
        <v>61.75</v>
      </c>
      <c r="M139" s="24" t="n">
        <v>46306.64532407407</v>
      </c>
      <c r="N139" s="26">
        <f>IFERROR(IF(OR(ISBLANK(M139), M139="", ISBLANK(C139), C139=""), 0, MAX(0, ROUND((C139-M139)*86400, 0))), 0)</f>
        <v/>
      </c>
      <c r="O139" s="11">
        <f>IF(H139="Post-Bill Void", IF(AND(G139="M-904", I139="Cash"), "EXCEPTION: Concurrent Cash Void", IF(AND(I139="Cash", N139&gt;120), "CRITICAL: Delayed Cash Void", IF(N139&gt;120, "EXCEPTION: Delayed Void", "Standard Void"))), IF(H139="Line Item Void", IF(I139="Cash", "EXCEPTION: Cash Line Void", "Standard Line Void"), IF(H139="No-Sale Drawer Opening", "DRAWER OPENING", "Standard Sale")))</f>
        <v/>
      </c>
    </row>
    <row r="140" ht="18" customHeight="1">
      <c r="A140" s="15" t="inlineStr">
        <is>
          <t>EVT-10119</t>
        </is>
      </c>
      <c r="B140" s="15" t="inlineStr">
        <is>
          <t>TX-80119</t>
        </is>
      </c>
      <c r="C140" s="27" t="n">
        <v>46306.65305555556</v>
      </c>
      <c r="D140" s="15" t="inlineStr">
        <is>
          <t>BR-02</t>
        </is>
      </c>
      <c r="E140" s="15" t="inlineStr">
        <is>
          <t>T-01</t>
        </is>
      </c>
      <c r="F140" s="15" t="inlineStr">
        <is>
          <t>C-108</t>
        </is>
      </c>
      <c r="G140" s="15" t="inlineStr">
        <is>
          <t>NONE</t>
        </is>
      </c>
      <c r="H140" s="14" t="inlineStr">
        <is>
          <t>Sale Tender</t>
        </is>
      </c>
      <c r="I140" s="15" t="inlineStr">
        <is>
          <t>Card</t>
        </is>
      </c>
      <c r="J140" s="17" t="n">
        <v>4</v>
      </c>
      <c r="K140" s="28" t="n">
        <v>45.58</v>
      </c>
      <c r="L140" s="28" t="n">
        <v>45.58</v>
      </c>
      <c r="M140" s="27" t="n">
        <v>46306.65207175926</v>
      </c>
      <c r="N140" s="29">
        <f>IFERROR(IF(OR(ISBLANK(M140), M140="", ISBLANK(C140), C140=""), 0, MAX(0, ROUND((C140-M140)*86400, 0))), 0)</f>
        <v/>
      </c>
      <c r="O140" s="14">
        <f>IF(H140="Post-Bill Void", IF(AND(G140="M-904", I140="Cash"), "EXCEPTION: Concurrent Cash Void", IF(AND(I140="Cash", N140&gt;120), "CRITICAL: Delayed Cash Void", IF(N140&gt;120, "EXCEPTION: Delayed Void", "Standard Void"))), IF(H140="Line Item Void", IF(I140="Cash", "EXCEPTION: Cash Line Void", "Standard Line Void"), IF(H140="No-Sale Drawer Opening", "DRAWER OPENING", "Standard Sale")))</f>
        <v/>
      </c>
    </row>
    <row r="141" ht="18" customHeight="1">
      <c r="A141" s="12" t="inlineStr">
        <is>
          <t>EVT-10120</t>
        </is>
      </c>
      <c r="B141" s="12" t="inlineStr">
        <is>
          <t>TX-80120</t>
        </is>
      </c>
      <c r="C141" s="24" t="n">
        <v>46306.66020833333</v>
      </c>
      <c r="D141" s="12" t="inlineStr">
        <is>
          <t>BR-02</t>
        </is>
      </c>
      <c r="E141" s="12" t="inlineStr">
        <is>
          <t>T-02</t>
        </is>
      </c>
      <c r="F141" s="12" t="inlineStr">
        <is>
          <t>C-108</t>
        </is>
      </c>
      <c r="G141" s="12" t="inlineStr">
        <is>
          <t>NONE</t>
        </is>
      </c>
      <c r="H141" s="11" t="inlineStr">
        <is>
          <t>Sale Tender</t>
        </is>
      </c>
      <c r="I141" s="12" t="inlineStr">
        <is>
          <t>Card</t>
        </is>
      </c>
      <c r="J141" s="20" t="n">
        <v>5</v>
      </c>
      <c r="K141" s="25" t="n">
        <v>54.95</v>
      </c>
      <c r="L141" s="25" t="n">
        <v>54.95</v>
      </c>
      <c r="M141" s="24" t="n">
        <v>46306.6597337963</v>
      </c>
      <c r="N141" s="26">
        <f>IFERROR(IF(OR(ISBLANK(M141), M141="", ISBLANK(C141), C141=""), 0, MAX(0, ROUND((C141-M141)*86400, 0))), 0)</f>
        <v/>
      </c>
      <c r="O141" s="11">
        <f>IF(H141="Post-Bill Void", IF(AND(G141="M-904", I141="Cash"), "EXCEPTION: Concurrent Cash Void", IF(AND(I141="Cash", N141&gt;120), "CRITICAL: Delayed Cash Void", IF(N141&gt;120, "EXCEPTION: Delayed Void", "Standard Void"))), IF(H141="Line Item Void", IF(I141="Cash", "EXCEPTION: Cash Line Void", "Standard Line Void"), IF(H141="No-Sale Drawer Opening", "DRAWER OPENING", "Standard Sale")))</f>
        <v/>
      </c>
    </row>
    <row r="142" ht="18" customHeight="1">
      <c r="A142" s="15" t="inlineStr">
        <is>
          <t>EVT-10121</t>
        </is>
      </c>
      <c r="B142" s="15" t="inlineStr">
        <is>
          <t>TX-80121</t>
        </is>
      </c>
      <c r="C142" s="27" t="n">
        <v>46306.66673611111</v>
      </c>
      <c r="D142" s="15" t="inlineStr">
        <is>
          <t>BR-04</t>
        </is>
      </c>
      <c r="E142" s="15" t="inlineStr">
        <is>
          <t>T-01</t>
        </is>
      </c>
      <c r="F142" s="15" t="inlineStr">
        <is>
          <t>C-113</t>
        </is>
      </c>
      <c r="G142" s="15" t="inlineStr">
        <is>
          <t>NONE</t>
        </is>
      </c>
      <c r="H142" s="14" t="inlineStr">
        <is>
          <t>Sale Tender</t>
        </is>
      </c>
      <c r="I142" s="15" t="inlineStr">
        <is>
          <t>Cash</t>
        </is>
      </c>
      <c r="J142" s="17" t="n">
        <v>2</v>
      </c>
      <c r="K142" s="28" t="n">
        <v>23.15</v>
      </c>
      <c r="L142" s="28" t="n">
        <v>23.15</v>
      </c>
      <c r="M142" s="27" t="n">
        <v>46306.66577546296</v>
      </c>
      <c r="N142" s="29">
        <f>IFERROR(IF(OR(ISBLANK(M142), M142="", ISBLANK(C142), C142=""), 0, MAX(0, ROUND((C142-M142)*86400, 0))), 0)</f>
        <v/>
      </c>
      <c r="O142" s="14">
        <f>IF(H142="Post-Bill Void", IF(AND(G142="M-904", I142="Cash"), "EXCEPTION: Concurrent Cash Void", IF(AND(I142="Cash", N142&gt;120), "CRITICAL: Delayed Cash Void", IF(N142&gt;120, "EXCEPTION: Delayed Void", "Standard Void"))), IF(H142="Line Item Void", IF(I142="Cash", "EXCEPTION: Cash Line Void", "Standard Line Void"), IF(H142="No-Sale Drawer Opening", "DRAWER OPENING", "Standard Sale")))</f>
        <v/>
      </c>
    </row>
    <row r="143" ht="18" customHeight="1">
      <c r="A143" s="12" t="inlineStr">
        <is>
          <t>EVT-10122</t>
        </is>
      </c>
      <c r="B143" s="12" t="inlineStr">
        <is>
          <t>TX-80122</t>
        </is>
      </c>
      <c r="C143" s="24" t="n">
        <v>46306.67408564815</v>
      </c>
      <c r="D143" s="12" t="inlineStr">
        <is>
          <t>BR-02</t>
        </is>
      </c>
      <c r="E143" s="12" t="inlineStr">
        <is>
          <t>T-01</t>
        </is>
      </c>
      <c r="F143" s="12" t="inlineStr">
        <is>
          <t>C-105</t>
        </is>
      </c>
      <c r="G143" s="12" t="inlineStr">
        <is>
          <t>NONE</t>
        </is>
      </c>
      <c r="H143" s="11" t="inlineStr">
        <is>
          <t>Sale Tender</t>
        </is>
      </c>
      <c r="I143" s="12" t="inlineStr">
        <is>
          <t>Cash</t>
        </is>
      </c>
      <c r="J143" s="20" t="n">
        <v>6</v>
      </c>
      <c r="K143" s="25" t="n">
        <v>68.89</v>
      </c>
      <c r="L143" s="25" t="n">
        <v>68.89</v>
      </c>
      <c r="M143" s="24" t="n">
        <v>46306.67341435186</v>
      </c>
      <c r="N143" s="26">
        <f>IFERROR(IF(OR(ISBLANK(M143), M143="", ISBLANK(C143), C143=""), 0, MAX(0, ROUND((C143-M143)*86400, 0))), 0)</f>
        <v/>
      </c>
      <c r="O143" s="11">
        <f>IF(H143="Post-Bill Void", IF(AND(G143="M-904", I143="Cash"), "EXCEPTION: Concurrent Cash Void", IF(AND(I143="Cash", N143&gt;120), "CRITICAL: Delayed Cash Void", IF(N143&gt;120, "EXCEPTION: Delayed Void", "Standard Void"))), IF(H143="Line Item Void", IF(I143="Cash", "EXCEPTION: Cash Line Void", "Standard Line Void"), IF(H143="No-Sale Drawer Opening", "DRAWER OPENING", "Standard Sale")))</f>
        <v/>
      </c>
    </row>
    <row r="144" ht="18" customHeight="1">
      <c r="A144" s="15" t="inlineStr">
        <is>
          <t>EVT-10123</t>
        </is>
      </c>
      <c r="B144" s="15" t="inlineStr">
        <is>
          <t>TX-80123</t>
        </is>
      </c>
      <c r="C144" s="27" t="n">
        <v>46306.68061342592</v>
      </c>
      <c r="D144" s="15" t="inlineStr">
        <is>
          <t>BR-03</t>
        </is>
      </c>
      <c r="E144" s="15" t="inlineStr">
        <is>
          <t>T-02</t>
        </is>
      </c>
      <c r="F144" s="15" t="inlineStr">
        <is>
          <t>C-112</t>
        </is>
      </c>
      <c r="G144" s="15" t="inlineStr">
        <is>
          <t>NONE</t>
        </is>
      </c>
      <c r="H144" s="14" t="inlineStr">
        <is>
          <t>Sale Tender</t>
        </is>
      </c>
      <c r="I144" s="15" t="inlineStr">
        <is>
          <t>Delivery Aggregator</t>
        </is>
      </c>
      <c r="J144" s="17" t="n">
        <v>1</v>
      </c>
      <c r="K144" s="28" t="n">
        <v>13.13</v>
      </c>
      <c r="L144" s="28" t="n">
        <v>13.13</v>
      </c>
      <c r="M144" s="27" t="n">
        <v>46306.67960648148</v>
      </c>
      <c r="N144" s="29">
        <f>IFERROR(IF(OR(ISBLANK(M144), M144="", ISBLANK(C144), C144=""), 0, MAX(0, ROUND((C144-M144)*86400, 0))), 0)</f>
        <v/>
      </c>
      <c r="O144" s="14">
        <f>IF(H144="Post-Bill Void", IF(AND(G144="M-904", I144="Cash"), "EXCEPTION: Concurrent Cash Void", IF(AND(I144="Cash", N144&gt;120), "CRITICAL: Delayed Cash Void", IF(N144&gt;120, "EXCEPTION: Delayed Void", "Standard Void"))), IF(H144="Line Item Void", IF(I144="Cash", "EXCEPTION: Cash Line Void", "Standard Line Void"), IF(H144="No-Sale Drawer Opening", "DRAWER OPENING", "Standard Sale")))</f>
        <v/>
      </c>
    </row>
    <row r="145" ht="18" customHeight="1">
      <c r="A145" s="12" t="inlineStr">
        <is>
          <t>EVT-10124</t>
        </is>
      </c>
      <c r="B145" s="12" t="inlineStr">
        <is>
          <t>TX-80124</t>
        </is>
      </c>
      <c r="C145" s="24" t="n">
        <v>46306.68767361111</v>
      </c>
      <c r="D145" s="12" t="inlineStr">
        <is>
          <t>BR-03</t>
        </is>
      </c>
      <c r="E145" s="12" t="inlineStr">
        <is>
          <t>T-02</t>
        </is>
      </c>
      <c r="F145" s="12" t="inlineStr">
        <is>
          <t>C-110</t>
        </is>
      </c>
      <c r="G145" s="12" t="inlineStr">
        <is>
          <t>NONE</t>
        </is>
      </c>
      <c r="H145" s="11" t="inlineStr">
        <is>
          <t>Sale Tender</t>
        </is>
      </c>
      <c r="I145" s="12" t="inlineStr">
        <is>
          <t>Delivery Aggregator</t>
        </is>
      </c>
      <c r="J145" s="20" t="n">
        <v>6</v>
      </c>
      <c r="K145" s="25" t="n">
        <v>82.68000000000001</v>
      </c>
      <c r="L145" s="25" t="n">
        <v>82.68000000000001</v>
      </c>
      <c r="M145" s="24" t="n">
        <v>46306.68674768518</v>
      </c>
      <c r="N145" s="26">
        <f>IFERROR(IF(OR(ISBLANK(M145), M145="", ISBLANK(C145), C145=""), 0, MAX(0, ROUND((C145-M145)*86400, 0))), 0)</f>
        <v/>
      </c>
      <c r="O145" s="11">
        <f>IF(H145="Post-Bill Void", IF(AND(G145="M-904", I145="Cash"), "EXCEPTION: Concurrent Cash Void", IF(AND(I145="Cash", N145&gt;120), "CRITICAL: Delayed Cash Void", IF(N145&gt;120, "EXCEPTION: Delayed Void", "Standard Void"))), IF(H145="Line Item Void", IF(I145="Cash", "EXCEPTION: Cash Line Void", "Standard Line Void"), IF(H145="No-Sale Drawer Opening", "DRAWER OPENING", "Standard Sale")))</f>
        <v/>
      </c>
    </row>
    <row r="146" ht="18" customHeight="1">
      <c r="A146" s="15" t="inlineStr">
        <is>
          <t>EVT-10125</t>
        </is>
      </c>
      <c r="B146" s="15" t="inlineStr">
        <is>
          <t>TX-80125</t>
        </is>
      </c>
      <c r="C146" s="27" t="n">
        <v>46306.69451388889</v>
      </c>
      <c r="D146" s="15" t="inlineStr">
        <is>
          <t>BR-04</t>
        </is>
      </c>
      <c r="E146" s="15" t="inlineStr">
        <is>
          <t>T-02</t>
        </is>
      </c>
      <c r="F146" s="15" t="inlineStr">
        <is>
          <t>C-113</t>
        </is>
      </c>
      <c r="G146" s="15" t="inlineStr">
        <is>
          <t>NONE</t>
        </is>
      </c>
      <c r="H146" s="14" t="inlineStr">
        <is>
          <t>Sale Tender</t>
        </is>
      </c>
      <c r="I146" s="15" t="inlineStr">
        <is>
          <t>Cash</t>
        </is>
      </c>
      <c r="J146" s="17" t="n">
        <v>1</v>
      </c>
      <c r="K146" s="28" t="n">
        <v>10.7</v>
      </c>
      <c r="L146" s="28" t="n">
        <v>10.7</v>
      </c>
      <c r="M146" s="27" t="n">
        <v>46306.69418981481</v>
      </c>
      <c r="N146" s="29">
        <f>IFERROR(IF(OR(ISBLANK(M146), M146="", ISBLANK(C146), C146=""), 0, MAX(0, ROUND((C146-M146)*86400, 0))), 0)</f>
        <v/>
      </c>
      <c r="O146" s="14">
        <f>IF(H146="Post-Bill Void", IF(AND(G146="M-904", I146="Cash"), "EXCEPTION: Concurrent Cash Void", IF(AND(I146="Cash", N146&gt;120), "CRITICAL: Delayed Cash Void", IF(N146&gt;120, "EXCEPTION: Delayed Void", "Standard Void"))), IF(H146="Line Item Void", IF(I146="Cash", "EXCEPTION: Cash Line Void", "Standard Line Void"), IF(H146="No-Sale Drawer Opening", "DRAWER OPENING", "Standard Sale")))</f>
        <v/>
      </c>
    </row>
    <row r="147" ht="18" customHeight="1">
      <c r="A147" s="12" t="inlineStr">
        <is>
          <t>EVT-10126</t>
        </is>
      </c>
      <c r="B147" s="12" t="inlineStr">
        <is>
          <t>TX-80126</t>
        </is>
      </c>
      <c r="C147" s="24" t="n">
        <v>46306.70165509259</v>
      </c>
      <c r="D147" s="12" t="inlineStr">
        <is>
          <t>BR-04</t>
        </is>
      </c>
      <c r="E147" s="12" t="inlineStr">
        <is>
          <t>T-01</t>
        </is>
      </c>
      <c r="F147" s="12" t="inlineStr">
        <is>
          <t>C-113</t>
        </is>
      </c>
      <c r="G147" s="12" t="inlineStr">
        <is>
          <t>NONE</t>
        </is>
      </c>
      <c r="H147" s="11" t="inlineStr">
        <is>
          <t>Sale Tender</t>
        </is>
      </c>
      <c r="I147" s="12" t="inlineStr">
        <is>
          <t>Card</t>
        </is>
      </c>
      <c r="J147" s="20" t="n">
        <v>2</v>
      </c>
      <c r="K147" s="25" t="n">
        <v>19.55</v>
      </c>
      <c r="L147" s="25" t="n">
        <v>19.55</v>
      </c>
      <c r="M147" s="24" t="n">
        <v>46306.70076388889</v>
      </c>
      <c r="N147" s="26">
        <f>IFERROR(IF(OR(ISBLANK(M147), M147="", ISBLANK(C147), C147=""), 0, MAX(0, ROUND((C147-M147)*86400, 0))), 0)</f>
        <v/>
      </c>
      <c r="O147" s="11">
        <f>IF(H147="Post-Bill Void", IF(AND(G147="M-904", I147="Cash"), "EXCEPTION: Concurrent Cash Void", IF(AND(I147="Cash", N147&gt;120), "CRITICAL: Delayed Cash Void", IF(N147&gt;120, "EXCEPTION: Delayed Void", "Standard Void"))), IF(H147="Line Item Void", IF(I147="Cash", "EXCEPTION: Cash Line Void", "Standard Line Void"), IF(H147="No-Sale Drawer Opening", "DRAWER OPENING", "Standard Sale")))</f>
        <v/>
      </c>
    </row>
    <row r="148" ht="18" customHeight="1">
      <c r="A148" s="15" t="inlineStr">
        <is>
          <t>EVT-10127</t>
        </is>
      </c>
      <c r="B148" s="15" t="inlineStr">
        <is>
          <t>TX-80127</t>
        </is>
      </c>
      <c r="C148" s="27" t="n">
        <v>46306.70839120371</v>
      </c>
      <c r="D148" s="15" t="inlineStr">
        <is>
          <t>BR-04</t>
        </is>
      </c>
      <c r="E148" s="15" t="inlineStr">
        <is>
          <t>T-02</t>
        </is>
      </c>
      <c r="F148" s="15" t="inlineStr">
        <is>
          <t>C-115</t>
        </is>
      </c>
      <c r="G148" s="15" t="inlineStr">
        <is>
          <t>NONE</t>
        </is>
      </c>
      <c r="H148" s="14" t="inlineStr">
        <is>
          <t>Sale Tender</t>
        </is>
      </c>
      <c r="I148" s="15" t="inlineStr">
        <is>
          <t>Delivery Aggregator</t>
        </is>
      </c>
      <c r="J148" s="17" t="n">
        <v>2</v>
      </c>
      <c r="K148" s="28" t="n">
        <v>20.48</v>
      </c>
      <c r="L148" s="28" t="n">
        <v>20.48</v>
      </c>
      <c r="M148" s="27" t="n">
        <v>46306.70737268519</v>
      </c>
      <c r="N148" s="29">
        <f>IFERROR(IF(OR(ISBLANK(M148), M148="", ISBLANK(C148), C148=""), 0, MAX(0, ROUND((C148-M148)*86400, 0))), 0)</f>
        <v/>
      </c>
      <c r="O148" s="14">
        <f>IF(H148="Post-Bill Void", IF(AND(G148="M-904", I148="Cash"), "EXCEPTION: Concurrent Cash Void", IF(AND(I148="Cash", N148&gt;120), "CRITICAL: Delayed Cash Void", IF(N148&gt;120, "EXCEPTION: Delayed Void", "Standard Void"))), IF(H148="Line Item Void", IF(I148="Cash", "EXCEPTION: Cash Line Void", "Standard Line Void"), IF(H148="No-Sale Drawer Opening", "DRAWER OPENING", "Standard Sale")))</f>
        <v/>
      </c>
    </row>
    <row r="149" ht="18" customHeight="1">
      <c r="A149" s="12" t="inlineStr">
        <is>
          <t>EVT-10128</t>
        </is>
      </c>
      <c r="B149" s="12" t="inlineStr">
        <is>
          <t>TX-80128</t>
        </is>
      </c>
      <c r="C149" s="24" t="n">
        <v>46306.71574074074</v>
      </c>
      <c r="D149" s="12" t="inlineStr">
        <is>
          <t>BR-03</t>
        </is>
      </c>
      <c r="E149" s="12" t="inlineStr">
        <is>
          <t>T-01</t>
        </is>
      </c>
      <c r="F149" s="12" t="inlineStr">
        <is>
          <t>C-112</t>
        </is>
      </c>
      <c r="G149" s="12" t="inlineStr">
        <is>
          <t>NONE</t>
        </is>
      </c>
      <c r="H149" s="11" t="inlineStr">
        <is>
          <t>Sale Tender</t>
        </is>
      </c>
      <c r="I149" s="12" t="inlineStr">
        <is>
          <t>Delivery Aggregator</t>
        </is>
      </c>
      <c r="J149" s="20" t="n">
        <v>4</v>
      </c>
      <c r="K149" s="25" t="n">
        <v>61.04</v>
      </c>
      <c r="L149" s="25" t="n">
        <v>61.04</v>
      </c>
      <c r="M149" s="24" t="n">
        <v>46306.71543981481</v>
      </c>
      <c r="N149" s="26">
        <f>IFERROR(IF(OR(ISBLANK(M149), M149="", ISBLANK(C149), C149=""), 0, MAX(0, ROUND((C149-M149)*86400, 0))), 0)</f>
        <v/>
      </c>
      <c r="O149" s="11">
        <f>IF(H149="Post-Bill Void", IF(AND(G149="M-904", I149="Cash"), "EXCEPTION: Concurrent Cash Void", IF(AND(I149="Cash", N149&gt;120), "CRITICAL: Delayed Cash Void", IF(N149&gt;120, "EXCEPTION: Delayed Void", "Standard Void"))), IF(H149="Line Item Void", IF(I149="Cash", "EXCEPTION: Cash Line Void", "Standard Line Void"), IF(H149="No-Sale Drawer Opening", "DRAWER OPENING", "Standard Sale")))</f>
        <v/>
      </c>
    </row>
    <row r="150" ht="18" customHeight="1">
      <c r="A150" s="15" t="inlineStr">
        <is>
          <t>EVT-10129</t>
        </is>
      </c>
      <c r="B150" s="15" t="inlineStr">
        <is>
          <t>TX-80129</t>
        </is>
      </c>
      <c r="C150" s="27" t="n">
        <v>46306.7227199074</v>
      </c>
      <c r="D150" s="15" t="inlineStr">
        <is>
          <t>BR-02</t>
        </is>
      </c>
      <c r="E150" s="15" t="inlineStr">
        <is>
          <t>T-01</t>
        </is>
      </c>
      <c r="F150" s="15" t="inlineStr">
        <is>
          <t>C-105</t>
        </is>
      </c>
      <c r="G150" s="15" t="inlineStr">
        <is>
          <t>NONE</t>
        </is>
      </c>
      <c r="H150" s="14" t="inlineStr">
        <is>
          <t>Sale Tender</t>
        </is>
      </c>
      <c r="I150" s="15" t="inlineStr">
        <is>
          <t>Delivery Aggregator</t>
        </is>
      </c>
      <c r="J150" s="17" t="n">
        <v>3</v>
      </c>
      <c r="K150" s="28" t="n">
        <v>39.88</v>
      </c>
      <c r="L150" s="28" t="n">
        <v>39.88</v>
      </c>
      <c r="M150" s="27" t="n">
        <v>46306.7219212963</v>
      </c>
      <c r="N150" s="29">
        <f>IFERROR(IF(OR(ISBLANK(M150), M150="", ISBLANK(C150), C150=""), 0, MAX(0, ROUND((C150-M150)*86400, 0))), 0)</f>
        <v/>
      </c>
      <c r="O150" s="14">
        <f>IF(H150="Post-Bill Void", IF(AND(G150="M-904", I150="Cash"), "EXCEPTION: Concurrent Cash Void", IF(AND(I150="Cash", N150&gt;120), "CRITICAL: Delayed Cash Void", IF(N150&gt;120, "EXCEPTION: Delayed Void", "Standard Void"))), IF(H150="Line Item Void", IF(I150="Cash", "EXCEPTION: Cash Line Void", "Standard Line Void"), IF(H150="No-Sale Drawer Opening", "DRAWER OPENING", "Standard Sale")))</f>
        <v/>
      </c>
    </row>
    <row r="151" ht="18" customHeight="1">
      <c r="A151" s="12" t="inlineStr">
        <is>
          <t>EVT-10130</t>
        </is>
      </c>
      <c r="B151" s="12" t="inlineStr">
        <is>
          <t>TX-80130</t>
        </is>
      </c>
      <c r="C151" s="24" t="n">
        <v>46306.72947916666</v>
      </c>
      <c r="D151" s="12" t="inlineStr">
        <is>
          <t>BR-03</t>
        </is>
      </c>
      <c r="E151" s="12" t="inlineStr">
        <is>
          <t>T-02</t>
        </is>
      </c>
      <c r="F151" s="12" t="inlineStr">
        <is>
          <t>C-112</t>
        </is>
      </c>
      <c r="G151" s="12" t="inlineStr">
        <is>
          <t>NONE</t>
        </is>
      </c>
      <c r="H151" s="11" t="inlineStr">
        <is>
          <t>Sale Tender</t>
        </is>
      </c>
      <c r="I151" s="12" t="inlineStr">
        <is>
          <t>Delivery Aggregator</t>
        </is>
      </c>
      <c r="J151" s="20" t="n">
        <v>4</v>
      </c>
      <c r="K151" s="25" t="n">
        <v>37.2</v>
      </c>
      <c r="L151" s="25" t="n">
        <v>37.2</v>
      </c>
      <c r="M151" s="24" t="n">
        <v>46306.72890046296</v>
      </c>
      <c r="N151" s="26">
        <f>IFERROR(IF(OR(ISBLANK(M151), M151="", ISBLANK(C151), C151=""), 0, MAX(0, ROUND((C151-M151)*86400, 0))), 0)</f>
        <v/>
      </c>
      <c r="O151" s="11">
        <f>IF(H151="Post-Bill Void", IF(AND(G151="M-904", I151="Cash"), "EXCEPTION: Concurrent Cash Void", IF(AND(I151="Cash", N151&gt;120), "CRITICAL: Delayed Cash Void", IF(N151&gt;120, "EXCEPTION: Delayed Void", "Standard Void"))), IF(H151="Line Item Void", IF(I151="Cash", "EXCEPTION: Cash Line Void", "Standard Line Void"), IF(H151="No-Sale Drawer Opening", "DRAWER OPENING", "Standard Sale")))</f>
        <v/>
      </c>
    </row>
    <row r="152" ht="18" customHeight="1">
      <c r="A152" s="15" t="inlineStr">
        <is>
          <t>EVT-10131</t>
        </is>
      </c>
      <c r="B152" s="15" t="inlineStr">
        <is>
          <t>TX-80131</t>
        </is>
      </c>
      <c r="C152" s="27" t="n">
        <v>46306.73638888889</v>
      </c>
      <c r="D152" s="15" t="inlineStr">
        <is>
          <t>BR-03</t>
        </is>
      </c>
      <c r="E152" s="15" t="inlineStr">
        <is>
          <t>T-02</t>
        </is>
      </c>
      <c r="F152" s="15" t="inlineStr">
        <is>
          <t>C-111</t>
        </is>
      </c>
      <c r="G152" s="15" t="inlineStr">
        <is>
          <t>NONE</t>
        </is>
      </c>
      <c r="H152" s="14" t="inlineStr">
        <is>
          <t>Sale Tender</t>
        </is>
      </c>
      <c r="I152" s="15" t="inlineStr">
        <is>
          <t>Cash</t>
        </is>
      </c>
      <c r="J152" s="17" t="n">
        <v>6</v>
      </c>
      <c r="K152" s="28" t="n">
        <v>68.81</v>
      </c>
      <c r="L152" s="28" t="n">
        <v>68.81</v>
      </c>
      <c r="M152" s="27" t="n">
        <v>46306.73567129629</v>
      </c>
      <c r="N152" s="29">
        <f>IFERROR(IF(OR(ISBLANK(M152), M152="", ISBLANK(C152), C152=""), 0, MAX(0, ROUND((C152-M152)*86400, 0))), 0)</f>
        <v/>
      </c>
      <c r="O152" s="14">
        <f>IF(H152="Post-Bill Void", IF(AND(G152="M-904", I152="Cash"), "EXCEPTION: Concurrent Cash Void", IF(AND(I152="Cash", N152&gt;120), "CRITICAL: Delayed Cash Void", IF(N152&gt;120, "EXCEPTION: Delayed Void", "Standard Void"))), IF(H152="Line Item Void", IF(I152="Cash", "EXCEPTION: Cash Line Void", "Standard Line Void"), IF(H152="No-Sale Drawer Opening", "DRAWER OPENING", "Standard Sale")))</f>
        <v/>
      </c>
    </row>
    <row r="153" ht="18" customHeight="1">
      <c r="A153" s="12" t="inlineStr">
        <is>
          <t>EVT-10132</t>
        </is>
      </c>
      <c r="B153" s="12" t="inlineStr">
        <is>
          <t>TX-80132</t>
        </is>
      </c>
      <c r="C153" s="24" t="n">
        <v>46306.74305555555</v>
      </c>
      <c r="D153" s="12" t="inlineStr">
        <is>
          <t>BR-01</t>
        </is>
      </c>
      <c r="E153" s="12" t="inlineStr">
        <is>
          <t>T-02</t>
        </is>
      </c>
      <c r="F153" s="12" t="inlineStr">
        <is>
          <t>C-104</t>
        </is>
      </c>
      <c r="G153" s="12" t="inlineStr">
        <is>
          <t>NONE</t>
        </is>
      </c>
      <c r="H153" s="11" t="inlineStr">
        <is>
          <t>Sale Tender</t>
        </is>
      </c>
      <c r="I153" s="12" t="inlineStr">
        <is>
          <t>Card</t>
        </is>
      </c>
      <c r="J153" s="20" t="n">
        <v>2</v>
      </c>
      <c r="K153" s="25" t="n">
        <v>26.11</v>
      </c>
      <c r="L153" s="25" t="n">
        <v>26.11</v>
      </c>
      <c r="M153" s="24" t="n">
        <v>46306.74234953704</v>
      </c>
      <c r="N153" s="26">
        <f>IFERROR(IF(OR(ISBLANK(M153), M153="", ISBLANK(C153), C153=""), 0, MAX(0, ROUND((C153-M153)*86400, 0))), 0)</f>
        <v/>
      </c>
      <c r="O153" s="11">
        <f>IF(H153="Post-Bill Void", IF(AND(G153="M-904", I153="Cash"), "EXCEPTION: Concurrent Cash Void", IF(AND(I153="Cash", N153&gt;120), "CRITICAL: Delayed Cash Void", IF(N153&gt;120, "EXCEPTION: Delayed Void", "Standard Void"))), IF(H153="Line Item Void", IF(I153="Cash", "EXCEPTION: Cash Line Void", "Standard Line Void"), IF(H153="No-Sale Drawer Opening", "DRAWER OPENING", "Standard Sale")))</f>
        <v/>
      </c>
    </row>
    <row r="154" ht="18" customHeight="1">
      <c r="A154" s="15" t="inlineStr">
        <is>
          <t>EVT-10133</t>
        </is>
      </c>
      <c r="B154" s="15" t="inlineStr">
        <is>
          <t>TX-80133</t>
        </is>
      </c>
      <c r="C154" s="27" t="n">
        <v>46306.75025462963</v>
      </c>
      <c r="D154" s="15" t="inlineStr">
        <is>
          <t>BR-02</t>
        </is>
      </c>
      <c r="E154" s="15" t="inlineStr">
        <is>
          <t>T-02</t>
        </is>
      </c>
      <c r="F154" s="15" t="inlineStr">
        <is>
          <t>C-106</t>
        </is>
      </c>
      <c r="G154" s="15" t="inlineStr">
        <is>
          <t>NONE</t>
        </is>
      </c>
      <c r="H154" s="14" t="inlineStr">
        <is>
          <t>Sale Tender</t>
        </is>
      </c>
      <c r="I154" s="15" t="inlineStr">
        <is>
          <t>Card</t>
        </is>
      </c>
      <c r="J154" s="17" t="n">
        <v>6</v>
      </c>
      <c r="K154" s="28" t="n">
        <v>80.09</v>
      </c>
      <c r="L154" s="28" t="n">
        <v>80.09</v>
      </c>
      <c r="M154" s="27" t="n">
        <v>46306.74976851852</v>
      </c>
      <c r="N154" s="29">
        <f>IFERROR(IF(OR(ISBLANK(M154), M154="", ISBLANK(C154), C154=""), 0, MAX(0, ROUND((C154-M154)*86400, 0))), 0)</f>
        <v/>
      </c>
      <c r="O154" s="14">
        <f>IF(H154="Post-Bill Void", IF(AND(G154="M-904", I154="Cash"), "EXCEPTION: Concurrent Cash Void", IF(AND(I154="Cash", N154&gt;120), "CRITICAL: Delayed Cash Void", IF(N154&gt;120, "EXCEPTION: Delayed Void", "Standard Void"))), IF(H154="Line Item Void", IF(I154="Cash", "EXCEPTION: Cash Line Void", "Standard Line Void"), IF(H154="No-Sale Drawer Opening", "DRAWER OPENING", "Standard Sale")))</f>
        <v/>
      </c>
    </row>
    <row r="155" ht="18" customHeight="1">
      <c r="A155" s="12" t="inlineStr">
        <is>
          <t>EVT-10134</t>
        </is>
      </c>
      <c r="B155" s="12" t="inlineStr">
        <is>
          <t>TX-80134</t>
        </is>
      </c>
      <c r="C155" s="24" t="n">
        <v>46306.75716435185</v>
      </c>
      <c r="D155" s="12" t="inlineStr">
        <is>
          <t>BR-04</t>
        </is>
      </c>
      <c r="E155" s="12" t="inlineStr">
        <is>
          <t>T-01</t>
        </is>
      </c>
      <c r="F155" s="12" t="inlineStr">
        <is>
          <t>C-113</t>
        </is>
      </c>
      <c r="G155" s="12" t="inlineStr">
        <is>
          <t>NONE</t>
        </is>
      </c>
      <c r="H155" s="11" t="inlineStr">
        <is>
          <t>Sale Tender</t>
        </is>
      </c>
      <c r="I155" s="12" t="inlineStr">
        <is>
          <t>Cash</t>
        </is>
      </c>
      <c r="J155" s="20" t="n">
        <v>3</v>
      </c>
      <c r="K155" s="25" t="n">
        <v>32.85</v>
      </c>
      <c r="L155" s="25" t="n">
        <v>32.85</v>
      </c>
      <c r="M155" s="24" t="n">
        <v>46306.75668981481</v>
      </c>
      <c r="N155" s="26">
        <f>IFERROR(IF(OR(ISBLANK(M155), M155="", ISBLANK(C155), C155=""), 0, MAX(0, ROUND((C155-M155)*86400, 0))), 0)</f>
        <v/>
      </c>
      <c r="O155" s="11">
        <f>IF(H155="Post-Bill Void", IF(AND(G155="M-904", I155="Cash"), "EXCEPTION: Concurrent Cash Void", IF(AND(I155="Cash", N155&gt;120), "CRITICAL: Delayed Cash Void", IF(N155&gt;120, "EXCEPTION: Delayed Void", "Standard Void"))), IF(H155="Line Item Void", IF(I155="Cash", "EXCEPTION: Cash Line Void", "Standard Line Void"), IF(H155="No-Sale Drawer Opening", "DRAWER OPENING", "Standard Sale")))</f>
        <v/>
      </c>
    </row>
    <row r="156" ht="18" customHeight="1">
      <c r="A156" s="15" t="inlineStr">
        <is>
          <t>EVT-10135</t>
        </is>
      </c>
      <c r="B156" s="15" t="inlineStr">
        <is>
          <t>TX-80135</t>
        </is>
      </c>
      <c r="C156" s="27" t="n">
        <v>46306.76418981481</v>
      </c>
      <c r="D156" s="15" t="inlineStr">
        <is>
          <t>BR-02</t>
        </is>
      </c>
      <c r="E156" s="15" t="inlineStr">
        <is>
          <t>T-01</t>
        </is>
      </c>
      <c r="F156" s="15" t="inlineStr">
        <is>
          <t>C-106</t>
        </is>
      </c>
      <c r="G156" s="15" t="inlineStr">
        <is>
          <t>NONE</t>
        </is>
      </c>
      <c r="H156" s="14" t="inlineStr">
        <is>
          <t>Sale Tender</t>
        </is>
      </c>
      <c r="I156" s="15" t="inlineStr">
        <is>
          <t>Delivery Aggregator</t>
        </is>
      </c>
      <c r="J156" s="17" t="n">
        <v>3</v>
      </c>
      <c r="K156" s="28" t="n">
        <v>37.44</v>
      </c>
      <c r="L156" s="28" t="n">
        <v>37.44</v>
      </c>
      <c r="M156" s="27" t="n">
        <v>46306.76310185185</v>
      </c>
      <c r="N156" s="29">
        <f>IFERROR(IF(OR(ISBLANK(M156), M156="", ISBLANK(C156), C156=""), 0, MAX(0, ROUND((C156-M156)*86400, 0))), 0)</f>
        <v/>
      </c>
      <c r="O156" s="14">
        <f>IF(H156="Post-Bill Void", IF(AND(G156="M-904", I156="Cash"), "EXCEPTION: Concurrent Cash Void", IF(AND(I156="Cash", N156&gt;120), "CRITICAL: Delayed Cash Void", IF(N156&gt;120, "EXCEPTION: Delayed Void", "Standard Void"))), IF(H156="Line Item Void", IF(I156="Cash", "EXCEPTION: Cash Line Void", "Standard Line Void"), IF(H156="No-Sale Drawer Opening", "DRAWER OPENING", "Standard Sale")))</f>
        <v/>
      </c>
    </row>
    <row r="157" ht="18" customHeight="1">
      <c r="A157" s="12" t="inlineStr">
        <is>
          <t>EVT-10136</t>
        </is>
      </c>
      <c r="B157" s="12" t="inlineStr">
        <is>
          <t>TX-80136</t>
        </is>
      </c>
      <c r="C157" s="24" t="n">
        <v>46306.77150462963</v>
      </c>
      <c r="D157" s="12" t="inlineStr">
        <is>
          <t>BR-03</t>
        </is>
      </c>
      <c r="E157" s="12" t="inlineStr">
        <is>
          <t>T-01</t>
        </is>
      </c>
      <c r="F157" s="12" t="inlineStr">
        <is>
          <t>C-110</t>
        </is>
      </c>
      <c r="G157" s="12" t="inlineStr">
        <is>
          <t>NONE</t>
        </is>
      </c>
      <c r="H157" s="11" t="inlineStr">
        <is>
          <t>Sale Tender</t>
        </is>
      </c>
      <c r="I157" s="12" t="inlineStr">
        <is>
          <t>Delivery Aggregator</t>
        </is>
      </c>
      <c r="J157" s="20" t="n">
        <v>3</v>
      </c>
      <c r="K157" s="25" t="n">
        <v>42.3</v>
      </c>
      <c r="L157" s="25" t="n">
        <v>42.3</v>
      </c>
      <c r="M157" s="24" t="n">
        <v>46306.77050925926</v>
      </c>
      <c r="N157" s="26">
        <f>IFERROR(IF(OR(ISBLANK(M157), M157="", ISBLANK(C157), C157=""), 0, MAX(0, ROUND((C157-M157)*86400, 0))), 0)</f>
        <v/>
      </c>
      <c r="O157" s="11">
        <f>IF(H157="Post-Bill Void", IF(AND(G157="M-904", I157="Cash"), "EXCEPTION: Concurrent Cash Void", IF(AND(I157="Cash", N157&gt;120), "CRITICAL: Delayed Cash Void", IF(N157&gt;120, "EXCEPTION: Delayed Void", "Standard Void"))), IF(H157="Line Item Void", IF(I157="Cash", "EXCEPTION: Cash Line Void", "Standard Line Void"), IF(H157="No-Sale Drawer Opening", "DRAWER OPENING", "Standard Sale")))</f>
        <v/>
      </c>
    </row>
    <row r="158" ht="18" customHeight="1">
      <c r="A158" s="15" t="inlineStr">
        <is>
          <t>EVT-10137</t>
        </is>
      </c>
      <c r="B158" s="15" t="inlineStr">
        <is>
          <t>TX-80137</t>
        </is>
      </c>
      <c r="C158" s="27" t="n">
        <v>46306.77802083334</v>
      </c>
      <c r="D158" s="15" t="inlineStr">
        <is>
          <t>BR-01</t>
        </is>
      </c>
      <c r="E158" s="15" t="inlineStr">
        <is>
          <t>T-02</t>
        </is>
      </c>
      <c r="F158" s="15" t="inlineStr">
        <is>
          <t>C-104</t>
        </is>
      </c>
      <c r="G158" s="15" t="inlineStr">
        <is>
          <t>NONE</t>
        </is>
      </c>
      <c r="H158" s="14" t="inlineStr">
        <is>
          <t>Sale Tender</t>
        </is>
      </c>
      <c r="I158" s="15" t="inlineStr">
        <is>
          <t>Card</t>
        </is>
      </c>
      <c r="J158" s="17" t="n">
        <v>2</v>
      </c>
      <c r="K158" s="28" t="n">
        <v>29.9</v>
      </c>
      <c r="L158" s="28" t="n">
        <v>29.9</v>
      </c>
      <c r="M158" s="27" t="n">
        <v>46306.77752314815</v>
      </c>
      <c r="N158" s="29">
        <f>IFERROR(IF(OR(ISBLANK(M158), M158="", ISBLANK(C158), C158=""), 0, MAX(0, ROUND((C158-M158)*86400, 0))), 0)</f>
        <v/>
      </c>
      <c r="O158" s="14">
        <f>IF(H158="Post-Bill Void", IF(AND(G158="M-904", I158="Cash"), "EXCEPTION: Concurrent Cash Void", IF(AND(I158="Cash", N158&gt;120), "CRITICAL: Delayed Cash Void", IF(N158&gt;120, "EXCEPTION: Delayed Void", "Standard Void"))), IF(H158="Line Item Void", IF(I158="Cash", "EXCEPTION: Cash Line Void", "Standard Line Void"), IF(H158="No-Sale Drawer Opening", "DRAWER OPENING", "Standard Sale")))</f>
        <v/>
      </c>
    </row>
    <row r="159" ht="18" customHeight="1">
      <c r="A159" s="12" t="inlineStr">
        <is>
          <t>EVT-10138</t>
        </is>
      </c>
      <c r="B159" s="12" t="inlineStr">
        <is>
          <t>TX-80138</t>
        </is>
      </c>
      <c r="C159" s="24" t="n">
        <v>46306.78525462963</v>
      </c>
      <c r="D159" s="12" t="inlineStr">
        <is>
          <t>BR-04</t>
        </is>
      </c>
      <c r="E159" s="12" t="inlineStr">
        <is>
          <t>T-01</t>
        </is>
      </c>
      <c r="F159" s="12" t="inlineStr">
        <is>
          <t>C-115</t>
        </is>
      </c>
      <c r="G159" s="12" t="inlineStr">
        <is>
          <t>NONE</t>
        </is>
      </c>
      <c r="H159" s="11" t="inlineStr">
        <is>
          <t>Sale Tender</t>
        </is>
      </c>
      <c r="I159" s="12" t="inlineStr">
        <is>
          <t>Cash</t>
        </is>
      </c>
      <c r="J159" s="20" t="n">
        <v>5</v>
      </c>
      <c r="K159" s="25" t="n">
        <v>47.13</v>
      </c>
      <c r="L159" s="25" t="n">
        <v>47.13</v>
      </c>
      <c r="M159" s="24" t="n">
        <v>46306.78438657407</v>
      </c>
      <c r="N159" s="26">
        <f>IFERROR(IF(OR(ISBLANK(M159), M159="", ISBLANK(C159), C159=""), 0, MAX(0, ROUND((C159-M159)*86400, 0))), 0)</f>
        <v/>
      </c>
      <c r="O159" s="11">
        <f>IF(H159="Post-Bill Void", IF(AND(G159="M-904", I159="Cash"), "EXCEPTION: Concurrent Cash Void", IF(AND(I159="Cash", N159&gt;120), "CRITICAL: Delayed Cash Void", IF(N159&gt;120, "EXCEPTION: Delayed Void", "Standard Void"))), IF(H159="Line Item Void", IF(I159="Cash", "EXCEPTION: Cash Line Void", "Standard Line Void"), IF(H159="No-Sale Drawer Opening", "DRAWER OPENING", "Standard Sale")))</f>
        <v/>
      </c>
    </row>
    <row r="160" ht="18" customHeight="1">
      <c r="A160" s="15" t="inlineStr">
        <is>
          <t>EVT-10139</t>
        </is>
      </c>
      <c r="B160" s="15" t="inlineStr">
        <is>
          <t>TX-80139</t>
        </is>
      </c>
      <c r="C160" s="27" t="n">
        <v>46306.79193287037</v>
      </c>
      <c r="D160" s="15" t="inlineStr">
        <is>
          <t>BR-03</t>
        </is>
      </c>
      <c r="E160" s="15" t="inlineStr">
        <is>
          <t>T-02</t>
        </is>
      </c>
      <c r="F160" s="15" t="inlineStr">
        <is>
          <t>C-112</t>
        </is>
      </c>
      <c r="G160" s="15" t="inlineStr">
        <is>
          <t>NONE</t>
        </is>
      </c>
      <c r="H160" s="14" t="inlineStr">
        <is>
          <t>Sale Tender</t>
        </is>
      </c>
      <c r="I160" s="15" t="inlineStr">
        <is>
          <t>Cash</t>
        </is>
      </c>
      <c r="J160" s="17" t="n">
        <v>2</v>
      </c>
      <c r="K160" s="28" t="n">
        <v>24.07</v>
      </c>
      <c r="L160" s="28" t="n">
        <v>24.07</v>
      </c>
      <c r="M160" s="27" t="n">
        <v>46306.79109953704</v>
      </c>
      <c r="N160" s="29">
        <f>IFERROR(IF(OR(ISBLANK(M160), M160="", ISBLANK(C160), C160=""), 0, MAX(0, ROUND((C160-M160)*86400, 0))), 0)</f>
        <v/>
      </c>
      <c r="O160" s="14">
        <f>IF(H160="Post-Bill Void", IF(AND(G160="M-904", I160="Cash"), "EXCEPTION: Concurrent Cash Void", IF(AND(I160="Cash", N160&gt;120), "CRITICAL: Delayed Cash Void", IF(N160&gt;120, "EXCEPTION: Delayed Void", "Standard Void"))), IF(H160="Line Item Void", IF(I160="Cash", "EXCEPTION: Cash Line Void", "Standard Line Void"), IF(H160="No-Sale Drawer Opening", "DRAWER OPENING", "Standard Sale")))</f>
        <v/>
      </c>
    </row>
    <row r="161" ht="18" customHeight="1">
      <c r="A161" s="12" t="inlineStr">
        <is>
          <t>EVT-10140</t>
        </is>
      </c>
      <c r="B161" s="12" t="inlineStr">
        <is>
          <t>TX-80140</t>
        </is>
      </c>
      <c r="C161" s="24" t="n">
        <v>46306.7990625</v>
      </c>
      <c r="D161" s="12" t="inlineStr">
        <is>
          <t>BR-03</t>
        </is>
      </c>
      <c r="E161" s="12" t="inlineStr">
        <is>
          <t>T-02</t>
        </is>
      </c>
      <c r="F161" s="12" t="inlineStr">
        <is>
          <t>C-110</t>
        </is>
      </c>
      <c r="G161" s="12" t="inlineStr">
        <is>
          <t>NONE</t>
        </is>
      </c>
      <c r="H161" s="11" t="inlineStr">
        <is>
          <t>Sale Tender</t>
        </is>
      </c>
      <c r="I161" s="12" t="inlineStr">
        <is>
          <t>Delivery Aggregator</t>
        </is>
      </c>
      <c r="J161" s="20" t="n">
        <v>3</v>
      </c>
      <c r="K161" s="25" t="n">
        <v>40.11</v>
      </c>
      <c r="L161" s="25" t="n">
        <v>40.11</v>
      </c>
      <c r="M161" s="24" t="n">
        <v>46306.79809027778</v>
      </c>
      <c r="N161" s="26">
        <f>IFERROR(IF(OR(ISBLANK(M161), M161="", ISBLANK(C161), C161=""), 0, MAX(0, ROUND((C161-M161)*86400, 0))), 0)</f>
        <v/>
      </c>
      <c r="O161" s="11">
        <f>IF(H161="Post-Bill Void", IF(AND(G161="M-904", I161="Cash"), "EXCEPTION: Concurrent Cash Void", IF(AND(I161="Cash", N161&gt;120), "CRITICAL: Delayed Cash Void", IF(N161&gt;120, "EXCEPTION: Delayed Void", "Standard Void"))), IF(H161="Line Item Void", IF(I161="Cash", "EXCEPTION: Cash Line Void", "Standard Line Void"), IF(H161="No-Sale Drawer Opening", "DRAWER OPENING", "Standard Sale")))</f>
        <v/>
      </c>
    </row>
    <row r="162" ht="18" customHeight="1">
      <c r="A162" s="15" t="inlineStr">
        <is>
          <t>EVT-10141</t>
        </is>
      </c>
      <c r="B162" s="15" t="inlineStr">
        <is>
          <t>TX-80141</t>
        </is>
      </c>
      <c r="C162" s="27" t="n">
        <v>46306.80563657408</v>
      </c>
      <c r="D162" s="15" t="inlineStr">
        <is>
          <t>BR-02</t>
        </is>
      </c>
      <c r="E162" s="15" t="inlineStr">
        <is>
          <t>T-02</t>
        </is>
      </c>
      <c r="F162" s="15" t="inlineStr">
        <is>
          <t>C-105</t>
        </is>
      </c>
      <c r="G162" s="15" t="inlineStr">
        <is>
          <t>NONE</t>
        </is>
      </c>
      <c r="H162" s="14" t="inlineStr">
        <is>
          <t>Sale Tender</t>
        </is>
      </c>
      <c r="I162" s="15" t="inlineStr">
        <is>
          <t>Delivery Aggregator</t>
        </is>
      </c>
      <c r="J162" s="17" t="n">
        <v>1</v>
      </c>
      <c r="K162" s="28" t="n">
        <v>9.23</v>
      </c>
      <c r="L162" s="28" t="n">
        <v>9.23</v>
      </c>
      <c r="M162" s="27" t="n">
        <v>46306.80490740741</v>
      </c>
      <c r="N162" s="29">
        <f>IFERROR(IF(OR(ISBLANK(M162), M162="", ISBLANK(C162), C162=""), 0, MAX(0, ROUND((C162-M162)*86400, 0))), 0)</f>
        <v/>
      </c>
      <c r="O162" s="14">
        <f>IF(H162="Post-Bill Void", IF(AND(G162="M-904", I162="Cash"), "EXCEPTION: Concurrent Cash Void", IF(AND(I162="Cash", N162&gt;120), "CRITICAL: Delayed Cash Void", IF(N162&gt;120, "EXCEPTION: Delayed Void", "Standard Void"))), IF(H162="Line Item Void", IF(I162="Cash", "EXCEPTION: Cash Line Void", "Standard Line Void"), IF(H162="No-Sale Drawer Opening", "DRAWER OPENING", "Standard Sale")))</f>
        <v/>
      </c>
    </row>
    <row r="163" ht="18" customHeight="1">
      <c r="A163" s="12" t="inlineStr">
        <is>
          <t>EVT-10142</t>
        </is>
      </c>
      <c r="B163" s="12" t="inlineStr">
        <is>
          <t>TX-80142</t>
        </is>
      </c>
      <c r="C163" s="24" t="n">
        <v>46306.81314814815</v>
      </c>
      <c r="D163" s="12" t="inlineStr">
        <is>
          <t>BR-02</t>
        </is>
      </c>
      <c r="E163" s="12" t="inlineStr">
        <is>
          <t>T-01</t>
        </is>
      </c>
      <c r="F163" s="12" t="inlineStr">
        <is>
          <t>C-108</t>
        </is>
      </c>
      <c r="G163" s="12" t="inlineStr">
        <is>
          <t>NONE</t>
        </is>
      </c>
      <c r="H163" s="11" t="inlineStr">
        <is>
          <t>Sale Tender</t>
        </is>
      </c>
      <c r="I163" s="12" t="inlineStr">
        <is>
          <t>Card</t>
        </is>
      </c>
      <c r="J163" s="20" t="n">
        <v>6</v>
      </c>
      <c r="K163" s="25" t="n">
        <v>83.7</v>
      </c>
      <c r="L163" s="25" t="n">
        <v>83.7</v>
      </c>
      <c r="M163" s="24" t="n">
        <v>46306.81206018518</v>
      </c>
      <c r="N163" s="26">
        <f>IFERROR(IF(OR(ISBLANK(M163), M163="", ISBLANK(C163), C163=""), 0, MAX(0, ROUND((C163-M163)*86400, 0))), 0)</f>
        <v/>
      </c>
      <c r="O163" s="11">
        <f>IF(H163="Post-Bill Void", IF(AND(G163="M-904", I163="Cash"), "EXCEPTION: Concurrent Cash Void", IF(AND(I163="Cash", N163&gt;120), "CRITICAL: Delayed Cash Void", IF(N163&gt;120, "EXCEPTION: Delayed Void", "Standard Void"))), IF(H163="Line Item Void", IF(I163="Cash", "EXCEPTION: Cash Line Void", "Standard Line Void"), IF(H163="No-Sale Drawer Opening", "DRAWER OPENING", "Standard Sale")))</f>
        <v/>
      </c>
    </row>
    <row r="164" ht="18" customHeight="1">
      <c r="A164" s="15" t="inlineStr">
        <is>
          <t>EVT-10143</t>
        </is>
      </c>
      <c r="B164" s="15" t="inlineStr">
        <is>
          <t>TX-80143</t>
        </is>
      </c>
      <c r="C164" s="27" t="n">
        <v>46306.82009259259</v>
      </c>
      <c r="D164" s="15" t="inlineStr">
        <is>
          <t>BR-04</t>
        </is>
      </c>
      <c r="E164" s="15" t="inlineStr">
        <is>
          <t>T-01</t>
        </is>
      </c>
      <c r="F164" s="15" t="inlineStr">
        <is>
          <t>C-115</t>
        </is>
      </c>
      <c r="G164" s="15" t="inlineStr">
        <is>
          <t>NONE</t>
        </is>
      </c>
      <c r="H164" s="14" t="inlineStr">
        <is>
          <t>Sale Tender</t>
        </is>
      </c>
      <c r="I164" s="15" t="inlineStr">
        <is>
          <t>Card</t>
        </is>
      </c>
      <c r="J164" s="17" t="n">
        <v>3</v>
      </c>
      <c r="K164" s="28" t="n">
        <v>26.24</v>
      </c>
      <c r="L164" s="28" t="n">
        <v>26.24</v>
      </c>
      <c r="M164" s="27" t="n">
        <v>46306.81908564815</v>
      </c>
      <c r="N164" s="29">
        <f>IFERROR(IF(OR(ISBLANK(M164), M164="", ISBLANK(C164), C164=""), 0, MAX(0, ROUND((C164-M164)*86400, 0))), 0)</f>
        <v/>
      </c>
      <c r="O164" s="14">
        <f>IF(H164="Post-Bill Void", IF(AND(G164="M-904", I164="Cash"), "EXCEPTION: Concurrent Cash Void", IF(AND(I164="Cash", N164&gt;120), "CRITICAL: Delayed Cash Void", IF(N164&gt;120, "EXCEPTION: Delayed Void", "Standard Void"))), IF(H164="Line Item Void", IF(I164="Cash", "EXCEPTION: Cash Line Void", "Standard Line Void"), IF(H164="No-Sale Drawer Opening", "DRAWER OPENING", "Standard Sale")))</f>
        <v/>
      </c>
    </row>
    <row r="165" ht="18" customHeight="1">
      <c r="A165" s="12" t="inlineStr">
        <is>
          <t>EVT-10635</t>
        </is>
      </c>
      <c r="B165" s="12" t="inlineStr">
        <is>
          <t>TX-80593</t>
        </is>
      </c>
      <c r="C165" s="24" t="n">
        <v>46306.82430555556</v>
      </c>
      <c r="D165" s="12" t="inlineStr">
        <is>
          <t>BR-02</t>
        </is>
      </c>
      <c r="E165" s="12" t="inlineStr">
        <is>
          <t>T-01</t>
        </is>
      </c>
      <c r="F165" s="12" t="inlineStr">
        <is>
          <t>C-105</t>
        </is>
      </c>
      <c r="G165" s="12" t="inlineStr">
        <is>
          <t>M-902</t>
        </is>
      </c>
      <c r="H165" s="11" t="inlineStr">
        <is>
          <t>Post-Bill Void</t>
        </is>
      </c>
      <c r="I165" s="12" t="inlineStr">
        <is>
          <t>Cash</t>
        </is>
      </c>
      <c r="J165" s="20" t="n">
        <v>1</v>
      </c>
      <c r="K165" s="25" t="n">
        <v>20.71</v>
      </c>
      <c r="L165" s="25" t="n">
        <v>0</v>
      </c>
      <c r="M165" s="24" t="n">
        <v>46306.82390046296</v>
      </c>
      <c r="N165" s="26">
        <f>IFERROR(IF(OR(ISBLANK(M165), M165="", ISBLANK(C165), C165=""), 0, MAX(0, ROUND((C165-M165)*86400, 0))), 0)</f>
        <v/>
      </c>
      <c r="O165" s="11">
        <f>IF(H165="Post-Bill Void", IF(AND(G165="M-904", I165="Cash"), "EXCEPTION: Concurrent Cash Void", IF(AND(I165="Cash", N165&gt;120), "CRITICAL: Delayed Cash Void", IF(N165&gt;120, "EXCEPTION: Delayed Void", "Standard Void"))), IF(H165="Line Item Void", IF(I165="Cash", "EXCEPTION: Cash Line Void", "Standard Line Void"), IF(H165="No-Sale Drawer Opening", "DRAWER OPENING", "Standard Sale")))</f>
        <v/>
      </c>
    </row>
    <row r="166" ht="18" customHeight="1">
      <c r="A166" s="15" t="inlineStr">
        <is>
          <t>EVT-10144</t>
        </is>
      </c>
      <c r="B166" s="15" t="inlineStr">
        <is>
          <t>TX-80144</t>
        </is>
      </c>
      <c r="C166" s="27" t="n">
        <v>46306.82665509259</v>
      </c>
      <c r="D166" s="15" t="inlineStr">
        <is>
          <t>BR-02</t>
        </is>
      </c>
      <c r="E166" s="15" t="inlineStr">
        <is>
          <t>T-01</t>
        </is>
      </c>
      <c r="F166" s="15" t="inlineStr">
        <is>
          <t>C-108</t>
        </is>
      </c>
      <c r="G166" s="15" t="inlineStr">
        <is>
          <t>NONE</t>
        </is>
      </c>
      <c r="H166" s="14" t="inlineStr">
        <is>
          <t>Sale Tender</t>
        </is>
      </c>
      <c r="I166" s="15" t="inlineStr">
        <is>
          <t>Delivery Aggregator</t>
        </is>
      </c>
      <c r="J166" s="17" t="n">
        <v>1</v>
      </c>
      <c r="K166" s="28" t="n">
        <v>15.86</v>
      </c>
      <c r="L166" s="28" t="n">
        <v>15.86</v>
      </c>
      <c r="M166" s="27" t="n">
        <v>46306.82601851852</v>
      </c>
      <c r="N166" s="29">
        <f>IFERROR(IF(OR(ISBLANK(M166), M166="", ISBLANK(C166), C166=""), 0, MAX(0, ROUND((C166-M166)*86400, 0))), 0)</f>
        <v/>
      </c>
      <c r="O166" s="14">
        <f>IF(H166="Post-Bill Void", IF(AND(G166="M-904", I166="Cash"), "EXCEPTION: Concurrent Cash Void", IF(AND(I166="Cash", N166&gt;120), "CRITICAL: Delayed Cash Void", IF(N166&gt;120, "EXCEPTION: Delayed Void", "Standard Void"))), IF(H166="Line Item Void", IF(I166="Cash", "EXCEPTION: Cash Line Void", "Standard Line Void"), IF(H166="No-Sale Drawer Opening", "DRAWER OPENING", "Standard Sale")))</f>
        <v/>
      </c>
    </row>
    <row r="167" ht="18" customHeight="1">
      <c r="A167" s="12" t="inlineStr">
        <is>
          <t>EVT-10145</t>
        </is>
      </c>
      <c r="B167" s="12" t="inlineStr">
        <is>
          <t>TX-80145</t>
        </is>
      </c>
      <c r="C167" s="24" t="n">
        <v>46306.83359953704</v>
      </c>
      <c r="D167" s="12" t="inlineStr">
        <is>
          <t>BR-03</t>
        </is>
      </c>
      <c r="E167" s="12" t="inlineStr">
        <is>
          <t>T-01</t>
        </is>
      </c>
      <c r="F167" s="12" t="inlineStr">
        <is>
          <t>C-109</t>
        </is>
      </c>
      <c r="G167" s="12" t="inlineStr">
        <is>
          <t>NONE</t>
        </is>
      </c>
      <c r="H167" s="11" t="inlineStr">
        <is>
          <t>Sale Tender</t>
        </is>
      </c>
      <c r="I167" s="12" t="inlineStr">
        <is>
          <t>Delivery Aggregator</t>
        </is>
      </c>
      <c r="J167" s="20" t="n">
        <v>4</v>
      </c>
      <c r="K167" s="25" t="n">
        <v>36.75</v>
      </c>
      <c r="L167" s="25" t="n">
        <v>36.75</v>
      </c>
      <c r="M167" s="24" t="n">
        <v>46306.8330324074</v>
      </c>
      <c r="N167" s="26">
        <f>IFERROR(IF(OR(ISBLANK(M167), M167="", ISBLANK(C167), C167=""), 0, MAX(0, ROUND((C167-M167)*86400, 0))), 0)</f>
        <v/>
      </c>
      <c r="O167" s="11">
        <f>IF(H167="Post-Bill Void", IF(AND(G167="M-904", I167="Cash"), "EXCEPTION: Concurrent Cash Void", IF(AND(I167="Cash", N167&gt;120), "CRITICAL: Delayed Cash Void", IF(N167&gt;120, "EXCEPTION: Delayed Void", "Standard Void"))), IF(H167="Line Item Void", IF(I167="Cash", "EXCEPTION: Cash Line Void", "Standard Line Void"), IF(H167="No-Sale Drawer Opening", "DRAWER OPENING", "Standard Sale")))</f>
        <v/>
      </c>
    </row>
    <row r="168" ht="18" customHeight="1">
      <c r="A168" s="15" t="inlineStr">
        <is>
          <t>EVT-10146</t>
        </is>
      </c>
      <c r="B168" s="15" t="inlineStr">
        <is>
          <t>TX-80146</t>
        </is>
      </c>
      <c r="C168" s="27" t="n">
        <v>46306.84042824074</v>
      </c>
      <c r="D168" s="15" t="inlineStr">
        <is>
          <t>BR-01</t>
        </is>
      </c>
      <c r="E168" s="15" t="inlineStr">
        <is>
          <t>T-02</t>
        </is>
      </c>
      <c r="F168" s="15" t="inlineStr">
        <is>
          <t>C-101</t>
        </is>
      </c>
      <c r="G168" s="15" t="inlineStr">
        <is>
          <t>NONE</t>
        </is>
      </c>
      <c r="H168" s="14" t="inlineStr">
        <is>
          <t>Sale Tender</t>
        </is>
      </c>
      <c r="I168" s="15" t="inlineStr">
        <is>
          <t>Delivery Aggregator</t>
        </is>
      </c>
      <c r="J168" s="17" t="n">
        <v>5</v>
      </c>
      <c r="K168" s="28" t="n">
        <v>50.2</v>
      </c>
      <c r="L168" s="28" t="n">
        <v>50.2</v>
      </c>
      <c r="M168" s="27" t="n">
        <v>46306.8397800926</v>
      </c>
      <c r="N168" s="29">
        <f>IFERROR(IF(OR(ISBLANK(M168), M168="", ISBLANK(C168), C168=""), 0, MAX(0, ROUND((C168-M168)*86400, 0))), 0)</f>
        <v/>
      </c>
      <c r="O168" s="14">
        <f>IF(H168="Post-Bill Void", IF(AND(G168="M-904", I168="Cash"), "EXCEPTION: Concurrent Cash Void", IF(AND(I168="Cash", N168&gt;120), "CRITICAL: Delayed Cash Void", IF(N168&gt;120, "EXCEPTION: Delayed Void", "Standard Void"))), IF(H168="Line Item Void", IF(I168="Cash", "EXCEPTION: Cash Line Void", "Standard Line Void"), IF(H168="No-Sale Drawer Opening", "DRAWER OPENING", "Standard Sale")))</f>
        <v/>
      </c>
    </row>
    <row r="169" ht="18" customHeight="1">
      <c r="A169" s="12" t="inlineStr">
        <is>
          <t>EVT-10147</t>
        </is>
      </c>
      <c r="B169" s="12" t="inlineStr">
        <is>
          <t>TX-80147</t>
        </is>
      </c>
      <c r="C169" s="24" t="n">
        <v>46306.84783564815</v>
      </c>
      <c r="D169" s="12" t="inlineStr">
        <is>
          <t>BR-02</t>
        </is>
      </c>
      <c r="E169" s="12" t="inlineStr">
        <is>
          <t>T-02</t>
        </is>
      </c>
      <c r="F169" s="12" t="inlineStr">
        <is>
          <t>C-106</t>
        </is>
      </c>
      <c r="G169" s="12" t="inlineStr">
        <is>
          <t>NONE</t>
        </is>
      </c>
      <c r="H169" s="11" t="inlineStr">
        <is>
          <t>Sale Tender</t>
        </is>
      </c>
      <c r="I169" s="12" t="inlineStr">
        <is>
          <t>Cash</t>
        </is>
      </c>
      <c r="J169" s="20" t="n">
        <v>2</v>
      </c>
      <c r="K169" s="25" t="n">
        <v>28.83</v>
      </c>
      <c r="L169" s="25" t="n">
        <v>28.83</v>
      </c>
      <c r="M169" s="24" t="n">
        <v>46306.84721064815</v>
      </c>
      <c r="N169" s="26">
        <f>IFERROR(IF(OR(ISBLANK(M169), M169="", ISBLANK(C169), C169=""), 0, MAX(0, ROUND((C169-M169)*86400, 0))), 0)</f>
        <v/>
      </c>
      <c r="O169" s="11">
        <f>IF(H169="Post-Bill Void", IF(AND(G169="M-904", I169="Cash"), "EXCEPTION: Concurrent Cash Void", IF(AND(I169="Cash", N169&gt;120), "CRITICAL: Delayed Cash Void", IF(N169&gt;120, "EXCEPTION: Delayed Void", "Standard Void"))), IF(H169="Line Item Void", IF(I169="Cash", "EXCEPTION: Cash Line Void", "Standard Line Void"), IF(H169="No-Sale Drawer Opening", "DRAWER OPENING", "Standard Sale")))</f>
        <v/>
      </c>
    </row>
    <row r="170" ht="18" customHeight="1">
      <c r="A170" s="15" t="inlineStr">
        <is>
          <t>EVT-10148</t>
        </is>
      </c>
      <c r="B170" s="15" t="inlineStr">
        <is>
          <t>TX-80148</t>
        </is>
      </c>
      <c r="C170" s="27" t="n">
        <v>46306.85460648148</v>
      </c>
      <c r="D170" s="15" t="inlineStr">
        <is>
          <t>BR-01</t>
        </is>
      </c>
      <c r="E170" s="15" t="inlineStr">
        <is>
          <t>T-02</t>
        </is>
      </c>
      <c r="F170" s="15" t="inlineStr">
        <is>
          <t>C-103</t>
        </is>
      </c>
      <c r="G170" s="15" t="inlineStr">
        <is>
          <t>NONE</t>
        </is>
      </c>
      <c r="H170" s="14" t="inlineStr">
        <is>
          <t>Sale Tender</t>
        </is>
      </c>
      <c r="I170" s="15" t="inlineStr">
        <is>
          <t>Delivery Aggregator</t>
        </is>
      </c>
      <c r="J170" s="17" t="n">
        <v>5</v>
      </c>
      <c r="K170" s="28" t="n">
        <v>51.9</v>
      </c>
      <c r="L170" s="28" t="n">
        <v>51.9</v>
      </c>
      <c r="M170" s="27" t="n">
        <v>46306.85410879629</v>
      </c>
      <c r="N170" s="29">
        <f>IFERROR(IF(OR(ISBLANK(M170), M170="", ISBLANK(C170), C170=""), 0, MAX(0, ROUND((C170-M170)*86400, 0))), 0)</f>
        <v/>
      </c>
      <c r="O170" s="14">
        <f>IF(H170="Post-Bill Void", IF(AND(G170="M-904", I170="Cash"), "EXCEPTION: Concurrent Cash Void", IF(AND(I170="Cash", N170&gt;120), "CRITICAL: Delayed Cash Void", IF(N170&gt;120, "EXCEPTION: Delayed Void", "Standard Void"))), IF(H170="Line Item Void", IF(I170="Cash", "EXCEPTION: Cash Line Void", "Standard Line Void"), IF(H170="No-Sale Drawer Opening", "DRAWER OPENING", "Standard Sale")))</f>
        <v/>
      </c>
    </row>
    <row r="171" ht="18" customHeight="1">
      <c r="A171" s="12" t="inlineStr">
        <is>
          <t>EVT-10149</t>
        </is>
      </c>
      <c r="B171" s="12" t="inlineStr">
        <is>
          <t>TX-80149</t>
        </is>
      </c>
      <c r="C171" s="24" t="n">
        <v>46306.86123842592</v>
      </c>
      <c r="D171" s="12" t="inlineStr">
        <is>
          <t>BR-01</t>
        </is>
      </c>
      <c r="E171" s="12" t="inlineStr">
        <is>
          <t>T-01</t>
        </is>
      </c>
      <c r="F171" s="12" t="inlineStr">
        <is>
          <t>C-101</t>
        </is>
      </c>
      <c r="G171" s="12" t="inlineStr">
        <is>
          <t>NONE</t>
        </is>
      </c>
      <c r="H171" s="11" t="inlineStr">
        <is>
          <t>Sale Tender</t>
        </is>
      </c>
      <c r="I171" s="12" t="inlineStr">
        <is>
          <t>Card</t>
        </is>
      </c>
      <c r="J171" s="20" t="n">
        <v>2</v>
      </c>
      <c r="K171" s="25" t="n">
        <v>25.83</v>
      </c>
      <c r="L171" s="25" t="n">
        <v>25.83</v>
      </c>
      <c r="M171" s="24" t="n">
        <v>46306.86042824074</v>
      </c>
      <c r="N171" s="26">
        <f>IFERROR(IF(OR(ISBLANK(M171), M171="", ISBLANK(C171), C171=""), 0, MAX(0, ROUND((C171-M171)*86400, 0))), 0)</f>
        <v/>
      </c>
      <c r="O171" s="11">
        <f>IF(H171="Post-Bill Void", IF(AND(G171="M-904", I171="Cash"), "EXCEPTION: Concurrent Cash Void", IF(AND(I171="Cash", N171&gt;120), "CRITICAL: Delayed Cash Void", IF(N171&gt;120, "EXCEPTION: Delayed Void", "Standard Void"))), IF(H171="Line Item Void", IF(I171="Cash", "EXCEPTION: Cash Line Void", "Standard Line Void"), IF(H171="No-Sale Drawer Opening", "DRAWER OPENING", "Standard Sale")))</f>
        <v/>
      </c>
    </row>
    <row r="172" ht="18" customHeight="1">
      <c r="A172" s="15" t="inlineStr">
        <is>
          <t>EVT-10599</t>
        </is>
      </c>
      <c r="B172" s="15" t="inlineStr">
        <is>
          <t>N/A - NO SALE</t>
        </is>
      </c>
      <c r="C172" s="27" t="n">
        <v>46306.86666666667</v>
      </c>
      <c r="D172" s="15" t="inlineStr">
        <is>
          <t>BR-03</t>
        </is>
      </c>
      <c r="E172" s="15" t="inlineStr">
        <is>
          <t>T-02</t>
        </is>
      </c>
      <c r="F172" s="15" t="inlineStr">
        <is>
          <t>C-112</t>
        </is>
      </c>
      <c r="G172" s="15" t="inlineStr">
        <is>
          <t>NONE</t>
        </is>
      </c>
      <c r="H172" s="14" t="inlineStr">
        <is>
          <t>No-Sale Drawer Opening</t>
        </is>
      </c>
      <c r="I172" s="15" t="inlineStr">
        <is>
          <t>N/A</t>
        </is>
      </c>
      <c r="J172" s="17" t="n">
        <v>0</v>
      </c>
      <c r="K172" s="28" t="n">
        <v>0</v>
      </c>
      <c r="L172" s="28" t="n">
        <v>0</v>
      </c>
      <c r="M172" s="27" t="n">
        <v>46306.86666666667</v>
      </c>
      <c r="N172" s="29">
        <f>IFERROR(IF(OR(ISBLANK(M172), M172="", ISBLANK(C172), C172=""), 0, MAX(0, ROUND((C172-M172)*86400, 0))), 0)</f>
        <v/>
      </c>
      <c r="O172" s="14">
        <f>IF(H172="Post-Bill Void", IF(AND(G172="M-904", I172="Cash"), "EXCEPTION: Concurrent Cash Void", IF(AND(I172="Cash", N172&gt;120), "CRITICAL: Delayed Cash Void", IF(N172&gt;120, "EXCEPTION: Delayed Void", "Standard Void"))), IF(H172="Line Item Void", IF(I172="Cash", "EXCEPTION: Cash Line Void", "Standard Line Void"), IF(H172="No-Sale Drawer Opening", "DRAWER OPENING", "Standard Sale")))</f>
        <v/>
      </c>
    </row>
    <row r="173" ht="18" customHeight="1">
      <c r="A173" s="12" t="inlineStr">
        <is>
          <t>EVT-10150</t>
        </is>
      </c>
      <c r="B173" s="12" t="inlineStr">
        <is>
          <t>TX-80150</t>
        </is>
      </c>
      <c r="C173" s="24" t="n">
        <v>46306.86806712963</v>
      </c>
      <c r="D173" s="12" t="inlineStr">
        <is>
          <t>BR-02</t>
        </is>
      </c>
      <c r="E173" s="12" t="inlineStr">
        <is>
          <t>T-01</t>
        </is>
      </c>
      <c r="F173" s="12" t="inlineStr">
        <is>
          <t>C-107</t>
        </is>
      </c>
      <c r="G173" s="12" t="inlineStr">
        <is>
          <t>NONE</t>
        </is>
      </c>
      <c r="H173" s="11" t="inlineStr">
        <is>
          <t>Sale Tender</t>
        </is>
      </c>
      <c r="I173" s="12" t="inlineStr">
        <is>
          <t>Card</t>
        </is>
      </c>
      <c r="J173" s="20" t="n">
        <v>6</v>
      </c>
      <c r="K173" s="25" t="n">
        <v>53.86</v>
      </c>
      <c r="L173" s="25" t="n">
        <v>53.86</v>
      </c>
      <c r="M173" s="24" t="n">
        <v>46306.86716435185</v>
      </c>
      <c r="N173" s="26">
        <f>IFERROR(IF(OR(ISBLANK(M173), M173="", ISBLANK(C173), C173=""), 0, MAX(0, ROUND((C173-M173)*86400, 0))), 0)</f>
        <v/>
      </c>
      <c r="O173" s="11">
        <f>IF(H173="Post-Bill Void", IF(AND(G173="M-904", I173="Cash"), "EXCEPTION: Concurrent Cash Void", IF(AND(I173="Cash", N173&gt;120), "CRITICAL: Delayed Cash Void", IF(N173&gt;120, "EXCEPTION: Delayed Void", "Standard Void"))), IF(H173="Line Item Void", IF(I173="Cash", "EXCEPTION: Cash Line Void", "Standard Line Void"), IF(H173="No-Sale Drawer Opening", "DRAWER OPENING", "Standard Sale")))</f>
        <v/>
      </c>
    </row>
    <row r="174" ht="18" customHeight="1">
      <c r="A174" s="15" t="inlineStr">
        <is>
          <t>EVT-10151</t>
        </is>
      </c>
      <c r="B174" s="15" t="inlineStr">
        <is>
          <t>TX-80151</t>
        </is>
      </c>
      <c r="C174" s="27" t="n">
        <v>46306.87532407408</v>
      </c>
      <c r="D174" s="15" t="inlineStr">
        <is>
          <t>BR-03</t>
        </is>
      </c>
      <c r="E174" s="15" t="inlineStr">
        <is>
          <t>T-01</t>
        </is>
      </c>
      <c r="F174" s="15" t="inlineStr">
        <is>
          <t>C-109</t>
        </is>
      </c>
      <c r="G174" s="15" t="inlineStr">
        <is>
          <t>NONE</t>
        </is>
      </c>
      <c r="H174" s="14" t="inlineStr">
        <is>
          <t>Sale Tender</t>
        </is>
      </c>
      <c r="I174" s="15" t="inlineStr">
        <is>
          <t>Delivery Aggregator</t>
        </is>
      </c>
      <c r="J174" s="17" t="n">
        <v>1</v>
      </c>
      <c r="K174" s="28" t="n">
        <v>13.95</v>
      </c>
      <c r="L174" s="28" t="n">
        <v>13.95</v>
      </c>
      <c r="M174" s="27" t="n">
        <v>46306.87471064815</v>
      </c>
      <c r="N174" s="29">
        <f>IFERROR(IF(OR(ISBLANK(M174), M174="", ISBLANK(C174), C174=""), 0, MAX(0, ROUND((C174-M174)*86400, 0))), 0)</f>
        <v/>
      </c>
      <c r="O174" s="14">
        <f>IF(H174="Post-Bill Void", IF(AND(G174="M-904", I174="Cash"), "EXCEPTION: Concurrent Cash Void", IF(AND(I174="Cash", N174&gt;120), "CRITICAL: Delayed Cash Void", IF(N174&gt;120, "EXCEPTION: Delayed Void", "Standard Void"))), IF(H174="Line Item Void", IF(I174="Cash", "EXCEPTION: Cash Line Void", "Standard Line Void"), IF(H174="No-Sale Drawer Opening", "DRAWER OPENING", "Standard Sale")))</f>
        <v/>
      </c>
    </row>
    <row r="175" ht="18" customHeight="1">
      <c r="A175" s="12" t="inlineStr">
        <is>
          <t>EVT-10152</t>
        </is>
      </c>
      <c r="B175" s="12" t="inlineStr">
        <is>
          <t>TX-80152</t>
        </is>
      </c>
      <c r="C175" s="24" t="n">
        <v>46306.88261574074</v>
      </c>
      <c r="D175" s="12" t="inlineStr">
        <is>
          <t>BR-03</t>
        </is>
      </c>
      <c r="E175" s="12" t="inlineStr">
        <is>
          <t>T-02</t>
        </is>
      </c>
      <c r="F175" s="12" t="inlineStr">
        <is>
          <t>C-112</t>
        </is>
      </c>
      <c r="G175" s="12" t="inlineStr">
        <is>
          <t>NONE</t>
        </is>
      </c>
      <c r="H175" s="11" t="inlineStr">
        <is>
          <t>Sale Tender</t>
        </is>
      </c>
      <c r="I175" s="12" t="inlineStr">
        <is>
          <t>Cash</t>
        </is>
      </c>
      <c r="J175" s="20" t="n">
        <v>4</v>
      </c>
      <c r="K175" s="25" t="n">
        <v>59.42</v>
      </c>
      <c r="L175" s="25" t="n">
        <v>59.42</v>
      </c>
      <c r="M175" s="24" t="n">
        <v>46306.88229166667</v>
      </c>
      <c r="N175" s="26">
        <f>IFERROR(IF(OR(ISBLANK(M175), M175="", ISBLANK(C175), C175=""), 0, MAX(0, ROUND((C175-M175)*86400, 0))), 0)</f>
        <v/>
      </c>
      <c r="O175" s="11">
        <f>IF(H175="Post-Bill Void", IF(AND(G175="M-904", I175="Cash"), "EXCEPTION: Concurrent Cash Void", IF(AND(I175="Cash", N175&gt;120), "CRITICAL: Delayed Cash Void", IF(N175&gt;120, "EXCEPTION: Delayed Void", "Standard Void"))), IF(H175="Line Item Void", IF(I175="Cash", "EXCEPTION: Cash Line Void", "Standard Line Void"), IF(H175="No-Sale Drawer Opening", "DRAWER OPENING", "Standard Sale")))</f>
        <v/>
      </c>
    </row>
    <row r="176" ht="18" customHeight="1">
      <c r="A176" s="15" t="inlineStr">
        <is>
          <t>EVT-10153</t>
        </is>
      </c>
      <c r="B176" s="15" t="inlineStr">
        <is>
          <t>TX-80153</t>
        </is>
      </c>
      <c r="C176" s="27" t="n">
        <v>46306.88920138889</v>
      </c>
      <c r="D176" s="15" t="inlineStr">
        <is>
          <t>BR-01</t>
        </is>
      </c>
      <c r="E176" s="15" t="inlineStr">
        <is>
          <t>T-02</t>
        </is>
      </c>
      <c r="F176" s="15" t="inlineStr">
        <is>
          <t>C-104</t>
        </is>
      </c>
      <c r="G176" s="15" t="inlineStr">
        <is>
          <t>NONE</t>
        </is>
      </c>
      <c r="H176" s="14" t="inlineStr">
        <is>
          <t>Sale Tender</t>
        </is>
      </c>
      <c r="I176" s="15" t="inlineStr">
        <is>
          <t>Cash</t>
        </is>
      </c>
      <c r="J176" s="17" t="n">
        <v>1</v>
      </c>
      <c r="K176" s="28" t="n">
        <v>10.92</v>
      </c>
      <c r="L176" s="28" t="n">
        <v>10.92</v>
      </c>
      <c r="M176" s="27" t="n">
        <v>46306.88826388889</v>
      </c>
      <c r="N176" s="29">
        <f>IFERROR(IF(OR(ISBLANK(M176), M176="", ISBLANK(C176), C176=""), 0, MAX(0, ROUND((C176-M176)*86400, 0))), 0)</f>
        <v/>
      </c>
      <c r="O176" s="14">
        <f>IF(H176="Post-Bill Void", IF(AND(G176="M-904", I176="Cash"), "EXCEPTION: Concurrent Cash Void", IF(AND(I176="Cash", N176&gt;120), "CRITICAL: Delayed Cash Void", IF(N176&gt;120, "EXCEPTION: Delayed Void", "Standard Void"))), IF(H176="Line Item Void", IF(I176="Cash", "EXCEPTION: Cash Line Void", "Standard Line Void"), IF(H176="No-Sale Drawer Opening", "DRAWER OPENING", "Standard Sale")))</f>
        <v/>
      </c>
    </row>
    <row r="177" ht="18" customHeight="1">
      <c r="A177" s="12" t="inlineStr">
        <is>
          <t>EVT-10154</t>
        </is>
      </c>
      <c r="B177" s="12" t="inlineStr">
        <is>
          <t>TX-80154</t>
        </is>
      </c>
      <c r="C177" s="24" t="n">
        <v>46306.8959375</v>
      </c>
      <c r="D177" s="12" t="inlineStr">
        <is>
          <t>BR-01</t>
        </is>
      </c>
      <c r="E177" s="12" t="inlineStr">
        <is>
          <t>T-01</t>
        </is>
      </c>
      <c r="F177" s="12" t="inlineStr">
        <is>
          <t>C-102</t>
        </is>
      </c>
      <c r="G177" s="12" t="inlineStr">
        <is>
          <t>NONE</t>
        </is>
      </c>
      <c r="H177" s="11" t="inlineStr">
        <is>
          <t>Sale Tender</t>
        </is>
      </c>
      <c r="I177" s="12" t="inlineStr">
        <is>
          <t>Card</t>
        </is>
      </c>
      <c r="J177" s="20" t="n">
        <v>4</v>
      </c>
      <c r="K177" s="25" t="n">
        <v>63.84</v>
      </c>
      <c r="L177" s="25" t="n">
        <v>63.84</v>
      </c>
      <c r="M177" s="24" t="n">
        <v>46306.89483796297</v>
      </c>
      <c r="N177" s="26">
        <f>IFERROR(IF(OR(ISBLANK(M177), M177="", ISBLANK(C177), C177=""), 0, MAX(0, ROUND((C177-M177)*86400, 0))), 0)</f>
        <v/>
      </c>
      <c r="O177" s="11">
        <f>IF(H177="Post-Bill Void", IF(AND(G177="M-904", I177="Cash"), "EXCEPTION: Concurrent Cash Void", IF(AND(I177="Cash", N177&gt;120), "CRITICAL: Delayed Cash Void", IF(N177&gt;120, "EXCEPTION: Delayed Void", "Standard Void"))), IF(H177="Line Item Void", IF(I177="Cash", "EXCEPTION: Cash Line Void", "Standard Line Void"), IF(H177="No-Sale Drawer Opening", "DRAWER OPENING", "Standard Sale")))</f>
        <v/>
      </c>
    </row>
    <row r="178" ht="18" customHeight="1">
      <c r="A178" s="15" t="inlineStr">
        <is>
          <t>EVT-10584</t>
        </is>
      </c>
      <c r="B178" s="15" t="inlineStr">
        <is>
          <t>TX-80584</t>
        </is>
      </c>
      <c r="C178" s="27" t="n">
        <v>46306.89652777778</v>
      </c>
      <c r="D178" s="15" t="inlineStr">
        <is>
          <t>BR-02</t>
        </is>
      </c>
      <c r="E178" s="15" t="inlineStr">
        <is>
          <t>T-01</t>
        </is>
      </c>
      <c r="F178" s="15" t="inlineStr">
        <is>
          <t>C-108</t>
        </is>
      </c>
      <c r="G178" s="15" t="inlineStr">
        <is>
          <t>M-902</t>
        </is>
      </c>
      <c r="H178" s="14" t="inlineStr">
        <is>
          <t>Line Item Void</t>
        </is>
      </c>
      <c r="I178" s="15" t="inlineStr">
        <is>
          <t>Cash</t>
        </is>
      </c>
      <c r="J178" s="17" t="n">
        <v>2</v>
      </c>
      <c r="K178" s="28" t="n">
        <v>35.59</v>
      </c>
      <c r="L178" s="28" t="n">
        <v>0</v>
      </c>
      <c r="M178" s="27" t="n">
        <v>46306.89592592593</v>
      </c>
      <c r="N178" s="29">
        <f>IFERROR(IF(OR(ISBLANK(M178), M178="", ISBLANK(C178), C178=""), 0, MAX(0, ROUND((C178-M178)*86400, 0))), 0)</f>
        <v/>
      </c>
      <c r="O178" s="14">
        <f>IF(H178="Post-Bill Void", IF(AND(G178="M-904", I178="Cash"), "EXCEPTION: Concurrent Cash Void", IF(AND(I178="Cash", N178&gt;120), "CRITICAL: Delayed Cash Void", IF(N178&gt;120, "EXCEPTION: Delayed Void", "Standard Void"))), IF(H178="Line Item Void", IF(I178="Cash", "EXCEPTION: Cash Line Void", "Standard Line Void"), IF(H178="No-Sale Drawer Opening", "DRAWER OPENING", "Standard Sale")))</f>
        <v/>
      </c>
    </row>
    <row r="179" ht="18" customHeight="1">
      <c r="A179" s="12" t="inlineStr">
        <is>
          <t>EVT-10155</t>
        </is>
      </c>
      <c r="B179" s="12" t="inlineStr">
        <is>
          <t>TX-80155</t>
        </is>
      </c>
      <c r="C179" s="24" t="n">
        <v>46306.90315972222</v>
      </c>
      <c r="D179" s="12" t="inlineStr">
        <is>
          <t>BR-03</t>
        </is>
      </c>
      <c r="E179" s="12" t="inlineStr">
        <is>
          <t>T-01</t>
        </is>
      </c>
      <c r="F179" s="12" t="inlineStr">
        <is>
          <t>C-112</t>
        </is>
      </c>
      <c r="G179" s="12" t="inlineStr">
        <is>
          <t>NONE</t>
        </is>
      </c>
      <c r="H179" s="11" t="inlineStr">
        <is>
          <t>Sale Tender</t>
        </is>
      </c>
      <c r="I179" s="12" t="inlineStr">
        <is>
          <t>Cash</t>
        </is>
      </c>
      <c r="J179" s="20" t="n">
        <v>6</v>
      </c>
      <c r="K179" s="25" t="n">
        <v>56.15</v>
      </c>
      <c r="L179" s="25" t="n">
        <v>56.15</v>
      </c>
      <c r="M179" s="24" t="n">
        <v>46306.9022337963</v>
      </c>
      <c r="N179" s="26">
        <f>IFERROR(IF(OR(ISBLANK(M179), M179="", ISBLANK(C179), C179=""), 0, MAX(0, ROUND((C179-M179)*86400, 0))), 0)</f>
        <v/>
      </c>
      <c r="O179" s="11">
        <f>IF(H179="Post-Bill Void", IF(AND(G179="M-904", I179="Cash"), "EXCEPTION: Concurrent Cash Void", IF(AND(I179="Cash", N179&gt;120), "CRITICAL: Delayed Cash Void", IF(N179&gt;120, "EXCEPTION: Delayed Void", "Standard Void"))), IF(H179="Line Item Void", IF(I179="Cash", "EXCEPTION: Cash Line Void", "Standard Line Void"), IF(H179="No-Sale Drawer Opening", "DRAWER OPENING", "Standard Sale")))</f>
        <v/>
      </c>
    </row>
    <row r="180" ht="18" customHeight="1">
      <c r="A180" s="15" t="inlineStr">
        <is>
          <t>EVT-10654</t>
        </is>
      </c>
      <c r="B180" s="15" t="inlineStr">
        <is>
          <t>TX-80601</t>
        </is>
      </c>
      <c r="C180" s="27" t="n">
        <v>46306.90416666667</v>
      </c>
      <c r="D180" s="15" t="inlineStr">
        <is>
          <t>BR-04</t>
        </is>
      </c>
      <c r="E180" s="15" t="inlineStr">
        <is>
          <t>T-01</t>
        </is>
      </c>
      <c r="F180" s="15" t="inlineStr">
        <is>
          <t>C-113</t>
        </is>
      </c>
      <c r="G180" s="15" t="inlineStr">
        <is>
          <t>M-904</t>
        </is>
      </c>
      <c r="H180" s="14" t="inlineStr">
        <is>
          <t>Post-Bill Void</t>
        </is>
      </c>
      <c r="I180" s="15" t="inlineStr">
        <is>
          <t>Cash</t>
        </is>
      </c>
      <c r="J180" s="17" t="n">
        <v>1</v>
      </c>
      <c r="K180" s="28" t="n">
        <v>14.03</v>
      </c>
      <c r="L180" s="28" t="n">
        <v>0</v>
      </c>
      <c r="M180" s="27" t="n">
        <v>46306.90387731481</v>
      </c>
      <c r="N180" s="29">
        <f>IFERROR(IF(OR(ISBLANK(M180), M180="", ISBLANK(C180), C180=""), 0, MAX(0, ROUND((C180-M180)*86400, 0))), 0)</f>
        <v/>
      </c>
      <c r="O180" s="14">
        <f>IF(H180="Post-Bill Void", IF(AND(G180="M-904", I180="Cash"), "EXCEPTION: Concurrent Cash Void", IF(AND(I180="Cash", N180&gt;120), "CRITICAL: Delayed Cash Void", IF(N180&gt;120, "EXCEPTION: Delayed Void", "Standard Void"))), IF(H180="Line Item Void", IF(I180="Cash", "EXCEPTION: Cash Line Void", "Standard Line Void"), IF(H180="No-Sale Drawer Opening", "DRAWER OPENING", "Standard Sale")))</f>
        <v/>
      </c>
    </row>
    <row r="181" ht="18" customHeight="1">
      <c r="A181" s="12" t="inlineStr">
        <is>
          <t>EVT-10156</t>
        </is>
      </c>
      <c r="B181" s="12" t="inlineStr">
        <is>
          <t>TX-80156</t>
        </is>
      </c>
      <c r="C181" s="24" t="n">
        <v>46306.91019675926</v>
      </c>
      <c r="D181" s="12" t="inlineStr">
        <is>
          <t>BR-02</t>
        </is>
      </c>
      <c r="E181" s="12" t="inlineStr">
        <is>
          <t>T-01</t>
        </is>
      </c>
      <c r="F181" s="12" t="inlineStr">
        <is>
          <t>C-108</t>
        </is>
      </c>
      <c r="G181" s="12" t="inlineStr">
        <is>
          <t>NONE</t>
        </is>
      </c>
      <c r="H181" s="11" t="inlineStr">
        <is>
          <t>Sale Tender</t>
        </is>
      </c>
      <c r="I181" s="12" t="inlineStr">
        <is>
          <t>Card</t>
        </is>
      </c>
      <c r="J181" s="20" t="n">
        <v>4</v>
      </c>
      <c r="K181" s="25" t="n">
        <v>45.96</v>
      </c>
      <c r="L181" s="25" t="n">
        <v>45.96</v>
      </c>
      <c r="M181" s="24" t="n">
        <v>46306.90957175926</v>
      </c>
      <c r="N181" s="26">
        <f>IFERROR(IF(OR(ISBLANK(M181), M181="", ISBLANK(C181), C181=""), 0, MAX(0, ROUND((C181-M181)*86400, 0))), 0)</f>
        <v/>
      </c>
      <c r="O181" s="11">
        <f>IF(H181="Post-Bill Void", IF(AND(G181="M-904", I181="Cash"), "EXCEPTION: Concurrent Cash Void", IF(AND(I181="Cash", N181&gt;120), "CRITICAL: Delayed Cash Void", IF(N181&gt;120, "EXCEPTION: Delayed Void", "Standard Void"))), IF(H181="Line Item Void", IF(I181="Cash", "EXCEPTION: Cash Line Void", "Standard Line Void"), IF(H181="No-Sale Drawer Opening", "DRAWER OPENING", "Standard Sale")))</f>
        <v/>
      </c>
    </row>
    <row r="182" ht="18" customHeight="1">
      <c r="A182" s="15" t="inlineStr">
        <is>
          <t>EVT-10570</t>
        </is>
      </c>
      <c r="B182" s="15" t="inlineStr">
        <is>
          <t>TX-80570</t>
        </is>
      </c>
      <c r="C182" s="27" t="n">
        <v>46306.91805555556</v>
      </c>
      <c r="D182" s="15" t="inlineStr">
        <is>
          <t>BR-02</t>
        </is>
      </c>
      <c r="E182" s="15" t="inlineStr">
        <is>
          <t>T-01</t>
        </is>
      </c>
      <c r="F182" s="15" t="inlineStr">
        <is>
          <t>C-108</t>
        </is>
      </c>
      <c r="G182" s="15" t="inlineStr">
        <is>
          <t>M-902</t>
        </is>
      </c>
      <c r="H182" s="14" t="inlineStr">
        <is>
          <t>Line Item Void</t>
        </is>
      </c>
      <c r="I182" s="15" t="inlineStr">
        <is>
          <t>Cash</t>
        </is>
      </c>
      <c r="J182" s="17" t="n">
        <v>2</v>
      </c>
      <c r="K182" s="28" t="n">
        <v>27.5</v>
      </c>
      <c r="L182" s="28" t="n">
        <v>0</v>
      </c>
      <c r="M182" s="27" t="n">
        <v>46306.91739583333</v>
      </c>
      <c r="N182" s="29">
        <f>IFERROR(IF(OR(ISBLANK(M182), M182="", ISBLANK(C182), C182=""), 0, MAX(0, ROUND((C182-M182)*86400, 0))), 0)</f>
        <v/>
      </c>
      <c r="O182" s="14">
        <f>IF(H182="Post-Bill Void", IF(AND(G182="M-904", I182="Cash"), "EXCEPTION: Concurrent Cash Void", IF(AND(I182="Cash", N182&gt;120), "CRITICAL: Delayed Cash Void", IF(N182&gt;120, "EXCEPTION: Delayed Void", "Standard Void"))), IF(H182="Line Item Void", IF(I182="Cash", "EXCEPTION: Cash Line Void", "Standard Line Void"), IF(H182="No-Sale Drawer Opening", "DRAWER OPENING", "Standard Sale")))</f>
        <v/>
      </c>
    </row>
    <row r="183" ht="18" customHeight="1">
      <c r="A183" s="12" t="inlineStr">
        <is>
          <t>EVT-10555</t>
        </is>
      </c>
      <c r="B183" s="12" t="inlineStr">
        <is>
          <t>TX-80555</t>
        </is>
      </c>
      <c r="C183" s="24" t="n">
        <v>46306.92013888889</v>
      </c>
      <c r="D183" s="12" t="inlineStr">
        <is>
          <t>BR-01</t>
        </is>
      </c>
      <c r="E183" s="12" t="inlineStr">
        <is>
          <t>T-02</t>
        </is>
      </c>
      <c r="F183" s="12" t="inlineStr">
        <is>
          <t>C-104</t>
        </is>
      </c>
      <c r="G183" s="12" t="inlineStr">
        <is>
          <t>M-901</t>
        </is>
      </c>
      <c r="H183" s="11" t="inlineStr">
        <is>
          <t>Post-Bill Void</t>
        </is>
      </c>
      <c r="I183" s="12" t="inlineStr">
        <is>
          <t>Cash</t>
        </is>
      </c>
      <c r="J183" s="20" t="n">
        <v>5</v>
      </c>
      <c r="K183" s="25" t="n">
        <v>96.16</v>
      </c>
      <c r="L183" s="25" t="n">
        <v>0</v>
      </c>
      <c r="M183" s="24" t="n">
        <v>46306.91746527778</v>
      </c>
      <c r="N183" s="26">
        <f>IFERROR(IF(OR(ISBLANK(M183), M183="", ISBLANK(C183), C183=""), 0, MAX(0, ROUND((C183-M183)*86400, 0))), 0)</f>
        <v/>
      </c>
      <c r="O183" s="11">
        <f>IF(H183="Post-Bill Void", IF(AND(G183="M-904", I183="Cash"), "EXCEPTION: Concurrent Cash Void", IF(AND(I183="Cash", N183&gt;120), "CRITICAL: Delayed Cash Void", IF(N183&gt;120, "EXCEPTION: Delayed Void", "Standard Void"))), IF(H183="Line Item Void", IF(I183="Cash", "EXCEPTION: Cash Line Void", "Standard Line Void"), IF(H183="No-Sale Drawer Opening", "DRAWER OPENING", "Standard Sale")))</f>
        <v/>
      </c>
    </row>
    <row r="184" ht="18" customHeight="1">
      <c r="A184" s="15" t="inlineStr">
        <is>
          <t>EVT-10613</t>
        </is>
      </c>
      <c r="B184" s="15" t="inlineStr">
        <is>
          <t>N/A - NO SALE</t>
        </is>
      </c>
      <c r="C184" s="27" t="n">
        <v>46306.92013888889</v>
      </c>
      <c r="D184" s="15" t="inlineStr">
        <is>
          <t>BR-03</t>
        </is>
      </c>
      <c r="E184" s="15" t="inlineStr">
        <is>
          <t>T-02</t>
        </is>
      </c>
      <c r="F184" s="15" t="inlineStr">
        <is>
          <t>C-112</t>
        </is>
      </c>
      <c r="G184" s="15" t="inlineStr">
        <is>
          <t>NONE</t>
        </is>
      </c>
      <c r="H184" s="14" t="inlineStr">
        <is>
          <t>No-Sale Drawer Opening</t>
        </is>
      </c>
      <c r="I184" s="15" t="inlineStr">
        <is>
          <t>N/A</t>
        </is>
      </c>
      <c r="J184" s="17" t="n">
        <v>0</v>
      </c>
      <c r="K184" s="28" t="n">
        <v>0</v>
      </c>
      <c r="L184" s="28" t="n">
        <v>0</v>
      </c>
      <c r="M184" s="27" t="n">
        <v>46306.92013888889</v>
      </c>
      <c r="N184" s="29">
        <f>IFERROR(IF(OR(ISBLANK(M184), M184="", ISBLANK(C184), C184=""), 0, MAX(0, ROUND((C184-M184)*86400, 0))), 0)</f>
        <v/>
      </c>
      <c r="O184" s="14">
        <f>IF(H184="Post-Bill Void", IF(AND(G184="M-904", I184="Cash"), "EXCEPTION: Concurrent Cash Void", IF(AND(I184="Cash", N184&gt;120), "CRITICAL: Delayed Cash Void", IF(N184&gt;120, "EXCEPTION: Delayed Void", "Standard Void"))), IF(H184="Line Item Void", IF(I184="Cash", "EXCEPTION: Cash Line Void", "Standard Line Void"), IF(H184="No-Sale Drawer Opening", "DRAWER OPENING", "Standard Sale")))</f>
        <v/>
      </c>
    </row>
    <row r="185" ht="18" customHeight="1">
      <c r="A185" s="12" t="inlineStr">
        <is>
          <t>EVT-10615</t>
        </is>
      </c>
      <c r="B185" s="12" t="inlineStr">
        <is>
          <t>N/A - NO SALE</t>
        </is>
      </c>
      <c r="C185" s="24" t="n">
        <v>46306.92013888889</v>
      </c>
      <c r="D185" s="12" t="inlineStr">
        <is>
          <t>BR-03</t>
        </is>
      </c>
      <c r="E185" s="12" t="inlineStr">
        <is>
          <t>T-02</t>
        </is>
      </c>
      <c r="F185" s="12" t="inlineStr">
        <is>
          <t>C-112</t>
        </is>
      </c>
      <c r="G185" s="12" t="inlineStr">
        <is>
          <t>NONE</t>
        </is>
      </c>
      <c r="H185" s="11" t="inlineStr">
        <is>
          <t>No-Sale Drawer Opening</t>
        </is>
      </c>
      <c r="I185" s="12" t="inlineStr">
        <is>
          <t>N/A</t>
        </is>
      </c>
      <c r="J185" s="20" t="n">
        <v>0</v>
      </c>
      <c r="K185" s="25" t="n">
        <v>0</v>
      </c>
      <c r="L185" s="25" t="n">
        <v>0</v>
      </c>
      <c r="M185" s="24" t="n">
        <v>46306.92013888889</v>
      </c>
      <c r="N185" s="26">
        <f>IFERROR(IF(OR(ISBLANK(M185), M185="", ISBLANK(C185), C185=""), 0, MAX(0, ROUND((C185-M185)*86400, 0))), 0)</f>
        <v/>
      </c>
      <c r="O185" s="11">
        <f>IF(H185="Post-Bill Void", IF(AND(G185="M-904", I185="Cash"), "EXCEPTION: Concurrent Cash Void", IF(AND(I185="Cash", N185&gt;120), "CRITICAL: Delayed Cash Void", IF(N185&gt;120, "EXCEPTION: Delayed Void", "Standard Void"))), IF(H185="Line Item Void", IF(I185="Cash", "EXCEPTION: Cash Line Void", "Standard Line Void"), IF(H185="No-Sale Drawer Opening", "DRAWER OPENING", "Standard Sale")))</f>
        <v/>
      </c>
    </row>
    <row r="186" ht="18" customHeight="1">
      <c r="A186" s="15" t="inlineStr">
        <is>
          <t>EVT-10653</t>
        </is>
      </c>
      <c r="B186" s="15" t="inlineStr">
        <is>
          <t>N/A - NO SALE</t>
        </is>
      </c>
      <c r="C186" s="27" t="n">
        <v>46306.93402777778</v>
      </c>
      <c r="D186" s="15" t="inlineStr">
        <is>
          <t>BR-03</t>
        </is>
      </c>
      <c r="E186" s="15" t="inlineStr">
        <is>
          <t>T-01</t>
        </is>
      </c>
      <c r="F186" s="15" t="inlineStr">
        <is>
          <t>C-111</t>
        </is>
      </c>
      <c r="G186" s="15" t="inlineStr">
        <is>
          <t>NONE</t>
        </is>
      </c>
      <c r="H186" s="14" t="inlineStr">
        <is>
          <t>No-Sale Drawer Opening</t>
        </is>
      </c>
      <c r="I186" s="15" t="inlineStr">
        <is>
          <t>N/A</t>
        </is>
      </c>
      <c r="J186" s="17" t="n">
        <v>0</v>
      </c>
      <c r="K186" s="28" t="n">
        <v>0</v>
      </c>
      <c r="L186" s="28" t="n">
        <v>0</v>
      </c>
      <c r="M186" s="27" t="n">
        <v>46306.93402777778</v>
      </c>
      <c r="N186" s="29">
        <f>IFERROR(IF(OR(ISBLANK(M186), M186="", ISBLANK(C186), C186=""), 0, MAX(0, ROUND((C186-M186)*86400, 0))), 0)</f>
        <v/>
      </c>
      <c r="O186" s="14">
        <f>IF(H186="Post-Bill Void", IF(AND(G186="M-904", I186="Cash"), "EXCEPTION: Concurrent Cash Void", IF(AND(I186="Cash", N186&gt;120), "CRITICAL: Delayed Cash Void", IF(N186&gt;120, "EXCEPTION: Delayed Void", "Standard Void"))), IF(H186="Line Item Void", IF(I186="Cash", "EXCEPTION: Cash Line Void", "Standard Line Void"), IF(H186="No-Sale Drawer Opening", "DRAWER OPENING", "Standard Sale")))</f>
        <v/>
      </c>
    </row>
    <row r="187" ht="18" customHeight="1">
      <c r="A187" s="12" t="inlineStr">
        <is>
          <t>EVT-10649</t>
        </is>
      </c>
      <c r="B187" s="12" t="inlineStr">
        <is>
          <t>N/A - NO SALE</t>
        </is>
      </c>
      <c r="C187" s="24" t="n">
        <v>46306.94097222222</v>
      </c>
      <c r="D187" s="12" t="inlineStr">
        <is>
          <t>BR-03</t>
        </is>
      </c>
      <c r="E187" s="12" t="inlineStr">
        <is>
          <t>T-01</t>
        </is>
      </c>
      <c r="F187" s="12" t="inlineStr">
        <is>
          <t>C-110</t>
        </is>
      </c>
      <c r="G187" s="12" t="inlineStr">
        <is>
          <t>NONE</t>
        </is>
      </c>
      <c r="H187" s="11" t="inlineStr">
        <is>
          <t>No-Sale Drawer Opening</t>
        </is>
      </c>
      <c r="I187" s="12" t="inlineStr">
        <is>
          <t>N/A</t>
        </is>
      </c>
      <c r="J187" s="20" t="n">
        <v>0</v>
      </c>
      <c r="K187" s="25" t="n">
        <v>0</v>
      </c>
      <c r="L187" s="25" t="n">
        <v>0</v>
      </c>
      <c r="M187" s="24" t="n">
        <v>46306.94097222222</v>
      </c>
      <c r="N187" s="26">
        <f>IFERROR(IF(OR(ISBLANK(M187), M187="", ISBLANK(C187), C187=""), 0, MAX(0, ROUND((C187-M187)*86400, 0))), 0)</f>
        <v/>
      </c>
      <c r="O187" s="11">
        <f>IF(H187="Post-Bill Void", IF(AND(G187="M-904", I187="Cash"), "EXCEPTION: Concurrent Cash Void", IF(AND(I187="Cash", N187&gt;120), "CRITICAL: Delayed Cash Void", IF(N187&gt;120, "EXCEPTION: Delayed Void", "Standard Void"))), IF(H187="Line Item Void", IF(I187="Cash", "EXCEPTION: Cash Line Void", "Standard Line Void"), IF(H187="No-Sale Drawer Opening", "DRAWER OPENING", "Standard Sale")))</f>
        <v/>
      </c>
    </row>
    <row r="188" ht="18" customHeight="1">
      <c r="A188" s="15" t="inlineStr">
        <is>
          <t>EVT-10571</t>
        </is>
      </c>
      <c r="B188" s="15" t="inlineStr">
        <is>
          <t>TX-80571</t>
        </is>
      </c>
      <c r="C188" s="27" t="n">
        <v>46306.95347222222</v>
      </c>
      <c r="D188" s="15" t="inlineStr">
        <is>
          <t>BR-02</t>
        </is>
      </c>
      <c r="E188" s="15" t="inlineStr">
        <is>
          <t>T-01</t>
        </is>
      </c>
      <c r="F188" s="15" t="inlineStr">
        <is>
          <t>C-108</t>
        </is>
      </c>
      <c r="G188" s="15" t="inlineStr">
        <is>
          <t>M-902</t>
        </is>
      </c>
      <c r="H188" s="14" t="inlineStr">
        <is>
          <t>Line Item Void</t>
        </is>
      </c>
      <c r="I188" s="15" t="inlineStr">
        <is>
          <t>Cash</t>
        </is>
      </c>
      <c r="J188" s="17" t="n">
        <v>2</v>
      </c>
      <c r="K188" s="28" t="n">
        <v>40.65</v>
      </c>
      <c r="L188" s="28" t="n">
        <v>0</v>
      </c>
      <c r="M188" s="27" t="n">
        <v>46306.95256944445</v>
      </c>
      <c r="N188" s="29">
        <f>IFERROR(IF(OR(ISBLANK(M188), M188="", ISBLANK(C188), C188=""), 0, MAX(0, ROUND((C188-M188)*86400, 0))), 0)</f>
        <v/>
      </c>
      <c r="O188" s="14">
        <f>IF(H188="Post-Bill Void", IF(AND(G188="M-904", I188="Cash"), "EXCEPTION: Concurrent Cash Void", IF(AND(I188="Cash", N188&gt;120), "CRITICAL: Delayed Cash Void", IF(N188&gt;120, "EXCEPTION: Delayed Void", "Standard Void"))), IF(H188="Line Item Void", IF(I188="Cash", "EXCEPTION: Cash Line Void", "Standard Line Void"), IF(H188="No-Sale Drawer Opening", "DRAWER OPENING", "Standard Sale")))</f>
        <v/>
      </c>
    </row>
    <row r="189" ht="18" customHeight="1">
      <c r="A189" s="12" t="inlineStr">
        <is>
          <t>EVT-10629</t>
        </is>
      </c>
      <c r="B189" s="12" t="inlineStr">
        <is>
          <t>N/A - NO SALE</t>
        </is>
      </c>
      <c r="C189" s="24" t="n">
        <v>46306.98263888889</v>
      </c>
      <c r="D189" s="12" t="inlineStr">
        <is>
          <t>BR-01</t>
        </is>
      </c>
      <c r="E189" s="12" t="inlineStr">
        <is>
          <t>T-01</t>
        </is>
      </c>
      <c r="F189" s="12" t="inlineStr">
        <is>
          <t>C-101</t>
        </is>
      </c>
      <c r="G189" s="12" t="inlineStr">
        <is>
          <t>NONE</t>
        </is>
      </c>
      <c r="H189" s="11" t="inlineStr">
        <is>
          <t>No-Sale Drawer Opening</t>
        </is>
      </c>
      <c r="I189" s="12" t="inlineStr">
        <is>
          <t>N/A</t>
        </is>
      </c>
      <c r="J189" s="20" t="n">
        <v>0</v>
      </c>
      <c r="K189" s="25" t="n">
        <v>0</v>
      </c>
      <c r="L189" s="25" t="n">
        <v>0</v>
      </c>
      <c r="M189" s="24" t="n">
        <v>46306.98263888889</v>
      </c>
      <c r="N189" s="26">
        <f>IFERROR(IF(OR(ISBLANK(M189), M189="", ISBLANK(C189), C189=""), 0, MAX(0, ROUND((C189-M189)*86400, 0))), 0)</f>
        <v/>
      </c>
      <c r="O189" s="11">
        <f>IF(H189="Post-Bill Void", IF(AND(G189="M-904", I189="Cash"), "EXCEPTION: Concurrent Cash Void", IF(AND(I189="Cash", N189&gt;120), "CRITICAL: Delayed Cash Void", IF(N189&gt;120, "EXCEPTION: Delayed Void", "Standard Void"))), IF(H189="Line Item Void", IF(I189="Cash", "EXCEPTION: Cash Line Void", "Standard Line Void"), IF(H189="No-Sale Drawer Opening", "DRAWER OPENING", "Standard Sale")))</f>
        <v/>
      </c>
    </row>
    <row r="190" ht="18" customHeight="1">
      <c r="A190" s="15" t="inlineStr">
        <is>
          <t>EVT-10580</t>
        </is>
      </c>
      <c r="B190" s="15" t="inlineStr">
        <is>
          <t>TX-80580</t>
        </is>
      </c>
      <c r="C190" s="27" t="n">
        <v>46307.01597222222</v>
      </c>
      <c r="D190" s="15" t="inlineStr">
        <is>
          <t>BR-02</t>
        </is>
      </c>
      <c r="E190" s="15" t="inlineStr">
        <is>
          <t>T-01</t>
        </is>
      </c>
      <c r="F190" s="15" t="inlineStr">
        <is>
          <t>C-108</t>
        </is>
      </c>
      <c r="G190" s="15" t="inlineStr">
        <is>
          <t>M-902</t>
        </is>
      </c>
      <c r="H190" s="14" t="inlineStr">
        <is>
          <t>Line Item Void</t>
        </is>
      </c>
      <c r="I190" s="15" t="inlineStr">
        <is>
          <t>Cash</t>
        </is>
      </c>
      <c r="J190" s="17" t="n">
        <v>2</v>
      </c>
      <c r="K190" s="28" t="n">
        <v>37.62</v>
      </c>
      <c r="L190" s="28" t="n">
        <v>0</v>
      </c>
      <c r="M190" s="27" t="n">
        <v>46307.01520833333</v>
      </c>
      <c r="N190" s="29">
        <f>IFERROR(IF(OR(ISBLANK(M190), M190="", ISBLANK(C190), C190=""), 0, MAX(0, ROUND((C190-M190)*86400, 0))), 0)</f>
        <v/>
      </c>
      <c r="O190" s="14">
        <f>IF(H190="Post-Bill Void", IF(AND(G190="M-904", I190="Cash"), "EXCEPTION: Concurrent Cash Void", IF(AND(I190="Cash", N190&gt;120), "CRITICAL: Delayed Cash Void", IF(N190&gt;120, "EXCEPTION: Delayed Void", "Standard Void"))), IF(H190="Line Item Void", IF(I190="Cash", "EXCEPTION: Cash Line Void", "Standard Line Void"), IF(H190="No-Sale Drawer Opening", "DRAWER OPENING", "Standard Sale")))</f>
        <v/>
      </c>
    </row>
    <row r="191" ht="18" customHeight="1">
      <c r="A191" s="12" t="inlineStr">
        <is>
          <t>EVT-10556</t>
        </is>
      </c>
      <c r="B191" s="12" t="inlineStr">
        <is>
          <t>TX-80556</t>
        </is>
      </c>
      <c r="C191" s="24" t="n">
        <v>46307.12152777778</v>
      </c>
      <c r="D191" s="12" t="inlineStr">
        <is>
          <t>BR-01</t>
        </is>
      </c>
      <c r="E191" s="12" t="inlineStr">
        <is>
          <t>T-02</t>
        </is>
      </c>
      <c r="F191" s="12" t="inlineStr">
        <is>
          <t>C-104</t>
        </is>
      </c>
      <c r="G191" s="12" t="inlineStr">
        <is>
          <t>M-901</t>
        </is>
      </c>
      <c r="H191" s="11" t="inlineStr">
        <is>
          <t>Post-Bill Void</t>
        </is>
      </c>
      <c r="I191" s="12" t="inlineStr">
        <is>
          <t>Cash</t>
        </is>
      </c>
      <c r="J191" s="20" t="n">
        <v>4</v>
      </c>
      <c r="K191" s="25" t="n">
        <v>60.28</v>
      </c>
      <c r="L191" s="25" t="n">
        <v>0</v>
      </c>
      <c r="M191" s="24" t="n">
        <v>46307.11895833333</v>
      </c>
      <c r="N191" s="26">
        <f>IFERROR(IF(OR(ISBLANK(M191), M191="", ISBLANK(C191), C191=""), 0, MAX(0, ROUND((C191-M191)*86400, 0))), 0)</f>
        <v/>
      </c>
      <c r="O191" s="11">
        <f>IF(H191="Post-Bill Void", IF(AND(G191="M-904", I191="Cash"), "EXCEPTION: Concurrent Cash Void", IF(AND(I191="Cash", N191&gt;120), "CRITICAL: Delayed Cash Void", IF(N191&gt;120, "EXCEPTION: Delayed Void", "Standard Void"))), IF(H191="Line Item Void", IF(I191="Cash", "EXCEPTION: Cash Line Void", "Standard Line Void"), IF(H191="No-Sale Drawer Opening", "DRAWER OPENING", "Standard Sale")))</f>
        <v/>
      </c>
    </row>
    <row r="192" ht="18" customHeight="1">
      <c r="A192" s="15" t="inlineStr">
        <is>
          <t>EVT-10672</t>
        </is>
      </c>
      <c r="B192" s="15" t="inlineStr">
        <is>
          <t>TX-80616</t>
        </is>
      </c>
      <c r="C192" s="27" t="n">
        <v>46307.12569444445</v>
      </c>
      <c r="D192" s="15" t="inlineStr">
        <is>
          <t>BR-04</t>
        </is>
      </c>
      <c r="E192" s="15" t="inlineStr">
        <is>
          <t>T-02</t>
        </is>
      </c>
      <c r="F192" s="15" t="inlineStr">
        <is>
          <t>C-115</t>
        </is>
      </c>
      <c r="G192" s="15" t="inlineStr">
        <is>
          <t>M-904</t>
        </is>
      </c>
      <c r="H192" s="14" t="inlineStr">
        <is>
          <t>Post-Bill Void</t>
        </is>
      </c>
      <c r="I192" s="15" t="inlineStr">
        <is>
          <t>Cash</t>
        </is>
      </c>
      <c r="J192" s="17" t="n">
        <v>2</v>
      </c>
      <c r="K192" s="28" t="n">
        <v>54.88</v>
      </c>
      <c r="L192" s="28" t="n">
        <v>0</v>
      </c>
      <c r="M192" s="27" t="n">
        <v>46307.12525462963</v>
      </c>
      <c r="N192" s="29">
        <f>IFERROR(IF(OR(ISBLANK(M192), M192="", ISBLANK(C192), C192=""), 0, MAX(0, ROUND((C192-M192)*86400, 0))), 0)</f>
        <v/>
      </c>
      <c r="O192" s="14">
        <f>IF(H192="Post-Bill Void", IF(AND(G192="M-904", I192="Cash"), "EXCEPTION: Concurrent Cash Void", IF(AND(I192="Cash", N192&gt;120), "CRITICAL: Delayed Cash Void", IF(N192&gt;120, "EXCEPTION: Delayed Void", "Standard Void"))), IF(H192="Line Item Void", IF(I192="Cash", "EXCEPTION: Cash Line Void", "Standard Line Void"), IF(H192="No-Sale Drawer Opening", "DRAWER OPENING", "Standard Sale")))</f>
        <v/>
      </c>
    </row>
    <row r="193" ht="18" customHeight="1">
      <c r="A193" s="12" t="inlineStr">
        <is>
          <t>EVT-10668</t>
        </is>
      </c>
      <c r="B193" s="12" t="inlineStr">
        <is>
          <t>TX-80612</t>
        </is>
      </c>
      <c r="C193" s="24" t="n">
        <v>46307.15138888889</v>
      </c>
      <c r="D193" s="12" t="inlineStr">
        <is>
          <t>BR-04</t>
        </is>
      </c>
      <c r="E193" s="12" t="inlineStr">
        <is>
          <t>T-02</t>
        </is>
      </c>
      <c r="F193" s="12" t="inlineStr">
        <is>
          <t>C-115</t>
        </is>
      </c>
      <c r="G193" s="12" t="inlineStr">
        <is>
          <t>M-904</t>
        </is>
      </c>
      <c r="H193" s="11" t="inlineStr">
        <is>
          <t>Post-Bill Void</t>
        </is>
      </c>
      <c r="I193" s="12" t="inlineStr">
        <is>
          <t>Cash</t>
        </is>
      </c>
      <c r="J193" s="20" t="n">
        <v>2</v>
      </c>
      <c r="K193" s="25" t="n">
        <v>46.52</v>
      </c>
      <c r="L193" s="25" t="n">
        <v>0</v>
      </c>
      <c r="M193" s="24" t="n">
        <v>46307.150625</v>
      </c>
      <c r="N193" s="26">
        <f>IFERROR(IF(OR(ISBLANK(M193), M193="", ISBLANK(C193), C193=""), 0, MAX(0, ROUND((C193-M193)*86400, 0))), 0)</f>
        <v/>
      </c>
      <c r="O193" s="11">
        <f>IF(H193="Post-Bill Void", IF(AND(G193="M-904", I193="Cash"), "EXCEPTION: Concurrent Cash Void", IF(AND(I193="Cash", N193&gt;120), "CRITICAL: Delayed Cash Void", IF(N193&gt;120, "EXCEPTION: Delayed Void", "Standard Void"))), IF(H193="Line Item Void", IF(I193="Cash", "EXCEPTION: Cash Line Void", "Standard Line Void"), IF(H193="No-Sale Drawer Opening", "DRAWER OPENING", "Standard Sale")))</f>
        <v/>
      </c>
    </row>
    <row r="194" ht="18" customHeight="1">
      <c r="A194" s="15" t="inlineStr">
        <is>
          <t>EVT-10639</t>
        </is>
      </c>
      <c r="B194" s="15" t="inlineStr">
        <is>
          <t>N/A - NO SALE</t>
        </is>
      </c>
      <c r="C194" s="27" t="n">
        <v>46307.15416666667</v>
      </c>
      <c r="D194" s="15" t="inlineStr">
        <is>
          <t>BR-02</t>
        </is>
      </c>
      <c r="E194" s="15" t="inlineStr">
        <is>
          <t>T-01</t>
        </is>
      </c>
      <c r="F194" s="15" t="inlineStr">
        <is>
          <t>C-106</t>
        </is>
      </c>
      <c r="G194" s="15" t="inlineStr">
        <is>
          <t>NONE</t>
        </is>
      </c>
      <c r="H194" s="14" t="inlineStr">
        <is>
          <t>No-Sale Drawer Opening</t>
        </is>
      </c>
      <c r="I194" s="15" t="inlineStr">
        <is>
          <t>N/A</t>
        </is>
      </c>
      <c r="J194" s="17" t="n">
        <v>0</v>
      </c>
      <c r="K194" s="28" t="n">
        <v>0</v>
      </c>
      <c r="L194" s="28" t="n">
        <v>0</v>
      </c>
      <c r="M194" s="27" t="n">
        <v>46307.15416666667</v>
      </c>
      <c r="N194" s="29">
        <f>IFERROR(IF(OR(ISBLANK(M194), M194="", ISBLANK(C194), C194=""), 0, MAX(0, ROUND((C194-M194)*86400, 0))), 0)</f>
        <v/>
      </c>
      <c r="O194" s="14">
        <f>IF(H194="Post-Bill Void", IF(AND(G194="M-904", I194="Cash"), "EXCEPTION: Concurrent Cash Void", IF(AND(I194="Cash", N194&gt;120), "CRITICAL: Delayed Cash Void", IF(N194&gt;120, "EXCEPTION: Delayed Void", "Standard Void"))), IF(H194="Line Item Void", IF(I194="Cash", "EXCEPTION: Cash Line Void", "Standard Line Void"), IF(H194="No-Sale Drawer Opening", "DRAWER OPENING", "Standard Sale")))</f>
        <v/>
      </c>
    </row>
    <row r="195" ht="18" customHeight="1">
      <c r="A195" s="12" t="inlineStr">
        <is>
          <t>EVT-10652</t>
        </is>
      </c>
      <c r="B195" s="12" t="inlineStr">
        <is>
          <t>TX-80600</t>
        </is>
      </c>
      <c r="C195" s="24" t="n">
        <v>46307.15763888889</v>
      </c>
      <c r="D195" s="12" t="inlineStr">
        <is>
          <t>BR-03</t>
        </is>
      </c>
      <c r="E195" s="12" t="inlineStr">
        <is>
          <t>T-01</t>
        </is>
      </c>
      <c r="F195" s="12" t="inlineStr">
        <is>
          <t>C-111</t>
        </is>
      </c>
      <c r="G195" s="12" t="inlineStr">
        <is>
          <t>M-903</t>
        </is>
      </c>
      <c r="H195" s="11" t="inlineStr">
        <is>
          <t>Post-Bill Void</t>
        </is>
      </c>
      <c r="I195" s="12" t="inlineStr">
        <is>
          <t>Card</t>
        </is>
      </c>
      <c r="J195" s="20" t="n">
        <v>1</v>
      </c>
      <c r="K195" s="25" t="n">
        <v>18.49</v>
      </c>
      <c r="L195" s="25" t="n">
        <v>0</v>
      </c>
      <c r="M195" s="24" t="n">
        <v>46307.15739583333</v>
      </c>
      <c r="N195" s="26">
        <f>IFERROR(IF(OR(ISBLANK(M195), M195="", ISBLANK(C195), C195=""), 0, MAX(0, ROUND((C195-M195)*86400, 0))), 0)</f>
        <v/>
      </c>
      <c r="O195" s="11">
        <f>IF(H195="Post-Bill Void", IF(AND(G195="M-904", I195="Cash"), "EXCEPTION: Concurrent Cash Void", IF(AND(I195="Cash", N195&gt;120), "CRITICAL: Delayed Cash Void", IF(N195&gt;120, "EXCEPTION: Delayed Void", "Standard Void"))), IF(H195="Line Item Void", IF(I195="Cash", "EXCEPTION: Cash Line Void", "Standard Line Void"), IF(H195="No-Sale Drawer Opening", "DRAWER OPENING", "Standard Sale")))</f>
        <v/>
      </c>
    </row>
    <row r="196" ht="18" customHeight="1">
      <c r="A196" s="15" t="inlineStr">
        <is>
          <t>EVT-10579</t>
        </is>
      </c>
      <c r="B196" s="15" t="inlineStr">
        <is>
          <t>TX-80579</t>
        </is>
      </c>
      <c r="C196" s="27" t="n">
        <v>46307.17222222222</v>
      </c>
      <c r="D196" s="15" t="inlineStr">
        <is>
          <t>BR-02</t>
        </is>
      </c>
      <c r="E196" s="15" t="inlineStr">
        <is>
          <t>T-01</t>
        </is>
      </c>
      <c r="F196" s="15" t="inlineStr">
        <is>
          <t>C-108</t>
        </is>
      </c>
      <c r="G196" s="15" t="inlineStr">
        <is>
          <t>M-902</t>
        </is>
      </c>
      <c r="H196" s="14" t="inlineStr">
        <is>
          <t>Line Item Void</t>
        </is>
      </c>
      <c r="I196" s="15" t="inlineStr">
        <is>
          <t>Cash</t>
        </is>
      </c>
      <c r="J196" s="17" t="n">
        <v>2</v>
      </c>
      <c r="K196" s="28" t="n">
        <v>44.55</v>
      </c>
      <c r="L196" s="28" t="n">
        <v>0</v>
      </c>
      <c r="M196" s="27" t="n">
        <v>46307.17141203704</v>
      </c>
      <c r="N196" s="29">
        <f>IFERROR(IF(OR(ISBLANK(M196), M196="", ISBLANK(C196), C196=""), 0, MAX(0, ROUND((C196-M196)*86400, 0))), 0)</f>
        <v/>
      </c>
      <c r="O196" s="14">
        <f>IF(H196="Post-Bill Void", IF(AND(G196="M-904", I196="Cash"), "EXCEPTION: Concurrent Cash Void", IF(AND(I196="Cash", N196&gt;120), "CRITICAL: Delayed Cash Void", IF(N196&gt;120, "EXCEPTION: Delayed Void", "Standard Void"))), IF(H196="Line Item Void", IF(I196="Cash", "EXCEPTION: Cash Line Void", "Standard Line Void"), IF(H196="No-Sale Drawer Opening", "DRAWER OPENING", "Standard Sale")))</f>
        <v/>
      </c>
    </row>
    <row r="197" ht="18" customHeight="1">
      <c r="A197" s="12" t="inlineStr">
        <is>
          <t>EVT-10586</t>
        </is>
      </c>
      <c r="B197" s="12" t="inlineStr">
        <is>
          <t>TX-80586</t>
        </is>
      </c>
      <c r="C197" s="24" t="n">
        <v>46307.18541666667</v>
      </c>
      <c r="D197" s="12" t="inlineStr">
        <is>
          <t>BR-02</t>
        </is>
      </c>
      <c r="E197" s="12" t="inlineStr">
        <is>
          <t>T-01</t>
        </is>
      </c>
      <c r="F197" s="12" t="inlineStr">
        <is>
          <t>C-108</t>
        </is>
      </c>
      <c r="G197" s="12" t="inlineStr">
        <is>
          <t>M-902</t>
        </is>
      </c>
      <c r="H197" s="11" t="inlineStr">
        <is>
          <t>Line Item Void</t>
        </is>
      </c>
      <c r="I197" s="12" t="inlineStr">
        <is>
          <t>Cash</t>
        </is>
      </c>
      <c r="J197" s="20" t="n">
        <v>2</v>
      </c>
      <c r="K197" s="25" t="n">
        <v>37.6</v>
      </c>
      <c r="L197" s="25" t="n">
        <v>0</v>
      </c>
      <c r="M197" s="24" t="n">
        <v>46307.18450231481</v>
      </c>
      <c r="N197" s="26">
        <f>IFERROR(IF(OR(ISBLANK(M197), M197="", ISBLANK(C197), C197=""), 0, MAX(0, ROUND((C197-M197)*86400, 0))), 0)</f>
        <v/>
      </c>
      <c r="O197" s="11">
        <f>IF(H197="Post-Bill Void", IF(AND(G197="M-904", I197="Cash"), "EXCEPTION: Concurrent Cash Void", IF(AND(I197="Cash", N197&gt;120), "CRITICAL: Delayed Cash Void", IF(N197&gt;120, "EXCEPTION: Delayed Void", "Standard Void"))), IF(H197="Line Item Void", IF(I197="Cash", "EXCEPTION: Cash Line Void", "Standard Line Void"), IF(H197="No-Sale Drawer Opening", "DRAWER OPENING", "Standard Sale")))</f>
        <v/>
      </c>
    </row>
    <row r="198" ht="18" customHeight="1">
      <c r="A198" s="15" t="inlineStr">
        <is>
          <t>EVT-10559</t>
        </is>
      </c>
      <c r="B198" s="15" t="inlineStr">
        <is>
          <t>TX-80559</t>
        </is>
      </c>
      <c r="C198" s="27" t="n">
        <v>46307.19444444445</v>
      </c>
      <c r="D198" s="15" t="inlineStr">
        <is>
          <t>BR-01</t>
        </is>
      </c>
      <c r="E198" s="15" t="inlineStr">
        <is>
          <t>T-02</t>
        </is>
      </c>
      <c r="F198" s="15" t="inlineStr">
        <is>
          <t>C-104</t>
        </is>
      </c>
      <c r="G198" s="15" t="inlineStr">
        <is>
          <t>M-901</t>
        </is>
      </c>
      <c r="H198" s="14" t="inlineStr">
        <is>
          <t>Post-Bill Void</t>
        </is>
      </c>
      <c r="I198" s="15" t="inlineStr">
        <is>
          <t>Cash</t>
        </is>
      </c>
      <c r="J198" s="17" t="n">
        <v>3</v>
      </c>
      <c r="K198" s="28" t="n">
        <v>59.66</v>
      </c>
      <c r="L198" s="28" t="n">
        <v>0</v>
      </c>
      <c r="M198" s="27" t="n">
        <v>46307.19201388889</v>
      </c>
      <c r="N198" s="29">
        <f>IFERROR(IF(OR(ISBLANK(M198), M198="", ISBLANK(C198), C198=""), 0, MAX(0, ROUND((C198-M198)*86400, 0))), 0)</f>
        <v/>
      </c>
      <c r="O198" s="14">
        <f>IF(H198="Post-Bill Void", IF(AND(G198="M-904", I198="Cash"), "EXCEPTION: Concurrent Cash Void", IF(AND(I198="Cash", N198&gt;120), "CRITICAL: Delayed Cash Void", IF(N198&gt;120, "EXCEPTION: Delayed Void", "Standard Void"))), IF(H198="Line Item Void", IF(I198="Cash", "EXCEPTION: Cash Line Void", "Standard Line Void"), IF(H198="No-Sale Drawer Opening", "DRAWER OPENING", "Standard Sale")))</f>
        <v/>
      </c>
    </row>
    <row r="199" ht="18" customHeight="1">
      <c r="A199" s="12" t="inlineStr">
        <is>
          <t>EVT-10567</t>
        </is>
      </c>
      <c r="B199" s="12" t="inlineStr">
        <is>
          <t>TX-80567</t>
        </is>
      </c>
      <c r="C199" s="24" t="n">
        <v>46307.20486111111</v>
      </c>
      <c r="D199" s="12" t="inlineStr">
        <is>
          <t>BR-02</t>
        </is>
      </c>
      <c r="E199" s="12" t="inlineStr">
        <is>
          <t>T-01</t>
        </is>
      </c>
      <c r="F199" s="12" t="inlineStr">
        <is>
          <t>C-108</t>
        </is>
      </c>
      <c r="G199" s="12" t="inlineStr">
        <is>
          <t>M-902</t>
        </is>
      </c>
      <c r="H199" s="11" t="inlineStr">
        <is>
          <t>Line Item Void</t>
        </is>
      </c>
      <c r="I199" s="12" t="inlineStr">
        <is>
          <t>Cash</t>
        </is>
      </c>
      <c r="J199" s="20" t="n">
        <v>2</v>
      </c>
      <c r="K199" s="25" t="n">
        <v>43.25</v>
      </c>
      <c r="L199" s="25" t="n">
        <v>0</v>
      </c>
      <c r="M199" s="24" t="n">
        <v>46307.20414351852</v>
      </c>
      <c r="N199" s="26">
        <f>IFERROR(IF(OR(ISBLANK(M199), M199="", ISBLANK(C199), C199=""), 0, MAX(0, ROUND((C199-M199)*86400, 0))), 0)</f>
        <v/>
      </c>
      <c r="O199" s="11">
        <f>IF(H199="Post-Bill Void", IF(AND(G199="M-904", I199="Cash"), "EXCEPTION: Concurrent Cash Void", IF(AND(I199="Cash", N199&gt;120), "CRITICAL: Delayed Cash Void", IF(N199&gt;120, "EXCEPTION: Delayed Void", "Standard Void"))), IF(H199="Line Item Void", IF(I199="Cash", "EXCEPTION: Cash Line Void", "Standard Line Void"), IF(H199="No-Sale Drawer Opening", "DRAWER OPENING", "Standard Sale")))</f>
        <v/>
      </c>
    </row>
    <row r="200" ht="18" customHeight="1">
      <c r="A200" s="15" t="inlineStr">
        <is>
          <t>EVT-10577</t>
        </is>
      </c>
      <c r="B200" s="15" t="inlineStr">
        <is>
          <t>TX-80577</t>
        </is>
      </c>
      <c r="C200" s="27" t="n">
        <v>46307.20486111111</v>
      </c>
      <c r="D200" s="15" t="inlineStr">
        <is>
          <t>BR-02</t>
        </is>
      </c>
      <c r="E200" s="15" t="inlineStr">
        <is>
          <t>T-01</t>
        </is>
      </c>
      <c r="F200" s="15" t="inlineStr">
        <is>
          <t>C-108</t>
        </is>
      </c>
      <c r="G200" s="15" t="inlineStr">
        <is>
          <t>M-902</t>
        </is>
      </c>
      <c r="H200" s="14" t="inlineStr">
        <is>
          <t>Line Item Void</t>
        </is>
      </c>
      <c r="I200" s="15" t="inlineStr">
        <is>
          <t>Cash</t>
        </is>
      </c>
      <c r="J200" s="17" t="n">
        <v>2</v>
      </c>
      <c r="K200" s="28" t="n">
        <v>47.2</v>
      </c>
      <c r="L200" s="28" t="n">
        <v>0</v>
      </c>
      <c r="M200" s="27" t="n">
        <v>46307.20395833333</v>
      </c>
      <c r="N200" s="29">
        <f>IFERROR(IF(OR(ISBLANK(M200), M200="", ISBLANK(C200), C200=""), 0, MAX(0, ROUND((C200-M200)*86400, 0))), 0)</f>
        <v/>
      </c>
      <c r="O200" s="14">
        <f>IF(H200="Post-Bill Void", IF(AND(G200="M-904", I200="Cash"), "EXCEPTION: Concurrent Cash Void", IF(AND(I200="Cash", N200&gt;120), "CRITICAL: Delayed Cash Void", IF(N200&gt;120, "EXCEPTION: Delayed Void", "Standard Void"))), IF(H200="Line Item Void", IF(I200="Cash", "EXCEPTION: Cash Line Void", "Standard Line Void"), IF(H200="No-Sale Drawer Opening", "DRAWER OPENING", "Standard Sale")))</f>
        <v/>
      </c>
    </row>
    <row r="201" ht="18" customHeight="1">
      <c r="A201" s="12" t="inlineStr">
        <is>
          <t>EVT-10157</t>
        </is>
      </c>
      <c r="B201" s="12" t="inlineStr">
        <is>
          <t>TX-80157</t>
        </is>
      </c>
      <c r="C201" s="24" t="n">
        <v>46307.37553240741</v>
      </c>
      <c r="D201" s="12" t="inlineStr">
        <is>
          <t>BR-01</t>
        </is>
      </c>
      <c r="E201" s="12" t="inlineStr">
        <is>
          <t>T-01</t>
        </is>
      </c>
      <c r="F201" s="12" t="inlineStr">
        <is>
          <t>C-103</t>
        </is>
      </c>
      <c r="G201" s="12" t="inlineStr">
        <is>
          <t>NONE</t>
        </is>
      </c>
      <c r="H201" s="11" t="inlineStr">
        <is>
          <t>Sale Tender</t>
        </is>
      </c>
      <c r="I201" s="12" t="inlineStr">
        <is>
          <t>Card</t>
        </is>
      </c>
      <c r="J201" s="20" t="n">
        <v>2</v>
      </c>
      <c r="K201" s="25" t="n">
        <v>27.3</v>
      </c>
      <c r="L201" s="25" t="n">
        <v>27.3</v>
      </c>
      <c r="M201" s="24" t="n">
        <v>46307.37487268518</v>
      </c>
      <c r="N201" s="26">
        <f>IFERROR(IF(OR(ISBLANK(M201), M201="", ISBLANK(C201), C201=""), 0, MAX(0, ROUND((C201-M201)*86400, 0))), 0)</f>
        <v/>
      </c>
      <c r="O201" s="11">
        <f>IF(H201="Post-Bill Void", IF(AND(G201="M-904", I201="Cash"), "EXCEPTION: Concurrent Cash Void", IF(AND(I201="Cash", N201&gt;120), "CRITICAL: Delayed Cash Void", IF(N201&gt;120, "EXCEPTION: Delayed Void", "Standard Void"))), IF(H201="Line Item Void", IF(I201="Cash", "EXCEPTION: Cash Line Void", "Standard Line Void"), IF(H201="No-Sale Drawer Opening", "DRAWER OPENING", "Standard Sale")))</f>
        <v/>
      </c>
    </row>
    <row r="202" ht="18" customHeight="1">
      <c r="A202" s="15" t="inlineStr">
        <is>
          <t>EVT-10158</t>
        </is>
      </c>
      <c r="B202" s="15" t="inlineStr">
        <is>
          <t>TX-80158</t>
        </is>
      </c>
      <c r="C202" s="27" t="n">
        <v>46307.38229166667</v>
      </c>
      <c r="D202" s="15" t="inlineStr">
        <is>
          <t>BR-01</t>
        </is>
      </c>
      <c r="E202" s="15" t="inlineStr">
        <is>
          <t>T-02</t>
        </is>
      </c>
      <c r="F202" s="15" t="inlineStr">
        <is>
          <t>C-101</t>
        </is>
      </c>
      <c r="G202" s="15" t="inlineStr">
        <is>
          <t>NONE</t>
        </is>
      </c>
      <c r="H202" s="14" t="inlineStr">
        <is>
          <t>Sale Tender</t>
        </is>
      </c>
      <c r="I202" s="15" t="inlineStr">
        <is>
          <t>Card</t>
        </is>
      </c>
      <c r="J202" s="17" t="n">
        <v>6</v>
      </c>
      <c r="K202" s="28" t="n">
        <v>84.25</v>
      </c>
      <c r="L202" s="28" t="n">
        <v>84.25</v>
      </c>
      <c r="M202" s="27" t="n">
        <v>46307.381875</v>
      </c>
      <c r="N202" s="29">
        <f>IFERROR(IF(OR(ISBLANK(M202), M202="", ISBLANK(C202), C202=""), 0, MAX(0, ROUND((C202-M202)*86400, 0))), 0)</f>
        <v/>
      </c>
      <c r="O202" s="14">
        <f>IF(H202="Post-Bill Void", IF(AND(G202="M-904", I202="Cash"), "EXCEPTION: Concurrent Cash Void", IF(AND(I202="Cash", N202&gt;120), "CRITICAL: Delayed Cash Void", IF(N202&gt;120, "EXCEPTION: Delayed Void", "Standard Void"))), IF(H202="Line Item Void", IF(I202="Cash", "EXCEPTION: Cash Line Void", "Standard Line Void"), IF(H202="No-Sale Drawer Opening", "DRAWER OPENING", "Standard Sale")))</f>
        <v/>
      </c>
    </row>
    <row r="203" ht="18" customHeight="1">
      <c r="A203" s="12" t="inlineStr">
        <is>
          <t>EVT-10159</t>
        </is>
      </c>
      <c r="B203" s="12" t="inlineStr">
        <is>
          <t>TX-80159</t>
        </is>
      </c>
      <c r="C203" s="24" t="n">
        <v>46307.38947916667</v>
      </c>
      <c r="D203" s="12" t="inlineStr">
        <is>
          <t>BR-02</t>
        </is>
      </c>
      <c r="E203" s="12" t="inlineStr">
        <is>
          <t>T-01</t>
        </is>
      </c>
      <c r="F203" s="12" t="inlineStr">
        <is>
          <t>C-105</t>
        </is>
      </c>
      <c r="G203" s="12" t="inlineStr">
        <is>
          <t>NONE</t>
        </is>
      </c>
      <c r="H203" s="11" t="inlineStr">
        <is>
          <t>Sale Tender</t>
        </is>
      </c>
      <c r="I203" s="12" t="inlineStr">
        <is>
          <t>Card</t>
        </is>
      </c>
      <c r="J203" s="20" t="n">
        <v>4</v>
      </c>
      <c r="K203" s="25" t="n">
        <v>44.61</v>
      </c>
      <c r="L203" s="25" t="n">
        <v>44.61</v>
      </c>
      <c r="M203" s="24" t="n">
        <v>46307.38870370371</v>
      </c>
      <c r="N203" s="26">
        <f>IFERROR(IF(OR(ISBLANK(M203), M203="", ISBLANK(C203), C203=""), 0, MAX(0, ROUND((C203-M203)*86400, 0))), 0)</f>
        <v/>
      </c>
      <c r="O203" s="11">
        <f>IF(H203="Post-Bill Void", IF(AND(G203="M-904", I203="Cash"), "EXCEPTION: Concurrent Cash Void", IF(AND(I203="Cash", N203&gt;120), "CRITICAL: Delayed Cash Void", IF(N203&gt;120, "EXCEPTION: Delayed Void", "Standard Void"))), IF(H203="Line Item Void", IF(I203="Cash", "EXCEPTION: Cash Line Void", "Standard Line Void"), IF(H203="No-Sale Drawer Opening", "DRAWER OPENING", "Standard Sale")))</f>
        <v/>
      </c>
    </row>
    <row r="204" ht="18" customHeight="1">
      <c r="A204" s="15" t="inlineStr">
        <is>
          <t>EVT-10160</t>
        </is>
      </c>
      <c r="B204" s="15" t="inlineStr">
        <is>
          <t>TX-80160</t>
        </is>
      </c>
      <c r="C204" s="27" t="n">
        <v>46307.39631944444</v>
      </c>
      <c r="D204" s="15" t="inlineStr">
        <is>
          <t>BR-04</t>
        </is>
      </c>
      <c r="E204" s="15" t="inlineStr">
        <is>
          <t>T-01</t>
        </is>
      </c>
      <c r="F204" s="15" t="inlineStr">
        <is>
          <t>C-115</t>
        </is>
      </c>
      <c r="G204" s="15" t="inlineStr">
        <is>
          <t>NONE</t>
        </is>
      </c>
      <c r="H204" s="14" t="inlineStr">
        <is>
          <t>Sale Tender</t>
        </is>
      </c>
      <c r="I204" s="15" t="inlineStr">
        <is>
          <t>Card</t>
        </is>
      </c>
      <c r="J204" s="17" t="n">
        <v>3</v>
      </c>
      <c r="K204" s="28" t="n">
        <v>27.83</v>
      </c>
      <c r="L204" s="28" t="n">
        <v>27.83</v>
      </c>
      <c r="M204" s="27" t="n">
        <v>46307.39561342593</v>
      </c>
      <c r="N204" s="29">
        <f>IFERROR(IF(OR(ISBLANK(M204), M204="", ISBLANK(C204), C204=""), 0, MAX(0, ROUND((C204-M204)*86400, 0))), 0)</f>
        <v/>
      </c>
      <c r="O204" s="14">
        <f>IF(H204="Post-Bill Void", IF(AND(G204="M-904", I204="Cash"), "EXCEPTION: Concurrent Cash Void", IF(AND(I204="Cash", N204&gt;120), "CRITICAL: Delayed Cash Void", IF(N204&gt;120, "EXCEPTION: Delayed Void", "Standard Void"))), IF(H204="Line Item Void", IF(I204="Cash", "EXCEPTION: Cash Line Void", "Standard Line Void"), IF(H204="No-Sale Drawer Opening", "DRAWER OPENING", "Standard Sale")))</f>
        <v/>
      </c>
    </row>
    <row r="205" ht="18" customHeight="1">
      <c r="A205" s="12" t="inlineStr">
        <is>
          <t>EVT-10161</t>
        </is>
      </c>
      <c r="B205" s="12" t="inlineStr">
        <is>
          <t>TX-80161</t>
        </is>
      </c>
      <c r="C205" s="24" t="n">
        <v>46307.40314814815</v>
      </c>
      <c r="D205" s="12" t="inlineStr">
        <is>
          <t>BR-02</t>
        </is>
      </c>
      <c r="E205" s="12" t="inlineStr">
        <is>
          <t>T-02</t>
        </is>
      </c>
      <c r="F205" s="12" t="inlineStr">
        <is>
          <t>C-106</t>
        </is>
      </c>
      <c r="G205" s="12" t="inlineStr">
        <is>
          <t>NONE</t>
        </is>
      </c>
      <c r="H205" s="11" t="inlineStr">
        <is>
          <t>Sale Tender</t>
        </is>
      </c>
      <c r="I205" s="12" t="inlineStr">
        <is>
          <t>Card</t>
        </is>
      </c>
      <c r="J205" s="20" t="n">
        <v>3</v>
      </c>
      <c r="K205" s="25" t="n">
        <v>44.52</v>
      </c>
      <c r="L205" s="25" t="n">
        <v>44.52</v>
      </c>
      <c r="M205" s="24" t="n">
        <v>46307.40253472222</v>
      </c>
      <c r="N205" s="26">
        <f>IFERROR(IF(OR(ISBLANK(M205), M205="", ISBLANK(C205), C205=""), 0, MAX(0, ROUND((C205-M205)*86400, 0))), 0)</f>
        <v/>
      </c>
      <c r="O205" s="11">
        <f>IF(H205="Post-Bill Void", IF(AND(G205="M-904", I205="Cash"), "EXCEPTION: Concurrent Cash Void", IF(AND(I205="Cash", N205&gt;120), "CRITICAL: Delayed Cash Void", IF(N205&gt;120, "EXCEPTION: Delayed Void", "Standard Void"))), IF(H205="Line Item Void", IF(I205="Cash", "EXCEPTION: Cash Line Void", "Standard Line Void"), IF(H205="No-Sale Drawer Opening", "DRAWER OPENING", "Standard Sale")))</f>
        <v/>
      </c>
    </row>
    <row r="206" ht="18" customHeight="1">
      <c r="A206" s="15" t="inlineStr">
        <is>
          <t>EVT-10162</t>
        </is>
      </c>
      <c r="B206" s="15" t="inlineStr">
        <is>
          <t>TX-80162</t>
        </is>
      </c>
      <c r="C206" s="27" t="n">
        <v>46307.40998842593</v>
      </c>
      <c r="D206" s="15" t="inlineStr">
        <is>
          <t>BR-01</t>
        </is>
      </c>
      <c r="E206" s="15" t="inlineStr">
        <is>
          <t>T-01</t>
        </is>
      </c>
      <c r="F206" s="15" t="inlineStr">
        <is>
          <t>C-103</t>
        </is>
      </c>
      <c r="G206" s="15" t="inlineStr">
        <is>
          <t>NONE</t>
        </is>
      </c>
      <c r="H206" s="14" t="inlineStr">
        <is>
          <t>Sale Tender</t>
        </is>
      </c>
      <c r="I206" s="15" t="inlineStr">
        <is>
          <t>Card</t>
        </is>
      </c>
      <c r="J206" s="17" t="n">
        <v>5</v>
      </c>
      <c r="K206" s="28" t="n">
        <v>65.51000000000001</v>
      </c>
      <c r="L206" s="28" t="n">
        <v>65.51000000000001</v>
      </c>
      <c r="M206" s="27" t="n">
        <v>46307.40907407407</v>
      </c>
      <c r="N206" s="29">
        <f>IFERROR(IF(OR(ISBLANK(M206), M206="", ISBLANK(C206), C206=""), 0, MAX(0, ROUND((C206-M206)*86400, 0))), 0)</f>
        <v/>
      </c>
      <c r="O206" s="14">
        <f>IF(H206="Post-Bill Void", IF(AND(G206="M-904", I206="Cash"), "EXCEPTION: Concurrent Cash Void", IF(AND(I206="Cash", N206&gt;120), "CRITICAL: Delayed Cash Void", IF(N206&gt;120, "EXCEPTION: Delayed Void", "Standard Void"))), IF(H206="Line Item Void", IF(I206="Cash", "EXCEPTION: Cash Line Void", "Standard Line Void"), IF(H206="No-Sale Drawer Opening", "DRAWER OPENING", "Standard Sale")))</f>
        <v/>
      </c>
    </row>
    <row r="207" ht="18" customHeight="1">
      <c r="A207" s="12" t="inlineStr">
        <is>
          <t>EVT-10163</t>
        </is>
      </c>
      <c r="B207" s="12" t="inlineStr">
        <is>
          <t>TX-80163</t>
        </is>
      </c>
      <c r="C207" s="24" t="n">
        <v>46307.4171412037</v>
      </c>
      <c r="D207" s="12" t="inlineStr">
        <is>
          <t>BR-01</t>
        </is>
      </c>
      <c r="E207" s="12" t="inlineStr">
        <is>
          <t>T-01</t>
        </is>
      </c>
      <c r="F207" s="12" t="inlineStr">
        <is>
          <t>C-103</t>
        </is>
      </c>
      <c r="G207" s="12" t="inlineStr">
        <is>
          <t>NONE</t>
        </is>
      </c>
      <c r="H207" s="11" t="inlineStr">
        <is>
          <t>Sale Tender</t>
        </is>
      </c>
      <c r="I207" s="12" t="inlineStr">
        <is>
          <t>Card</t>
        </is>
      </c>
      <c r="J207" s="20" t="n">
        <v>3</v>
      </c>
      <c r="K207" s="25" t="n">
        <v>46.23</v>
      </c>
      <c r="L207" s="25" t="n">
        <v>46.23</v>
      </c>
      <c r="M207" s="24" t="n">
        <v>46307.41645833333</v>
      </c>
      <c r="N207" s="26">
        <f>IFERROR(IF(OR(ISBLANK(M207), M207="", ISBLANK(C207), C207=""), 0, MAX(0, ROUND((C207-M207)*86400, 0))), 0)</f>
        <v/>
      </c>
      <c r="O207" s="11">
        <f>IF(H207="Post-Bill Void", IF(AND(G207="M-904", I207="Cash"), "EXCEPTION: Concurrent Cash Void", IF(AND(I207="Cash", N207&gt;120), "CRITICAL: Delayed Cash Void", IF(N207&gt;120, "EXCEPTION: Delayed Void", "Standard Void"))), IF(H207="Line Item Void", IF(I207="Cash", "EXCEPTION: Cash Line Void", "Standard Line Void"), IF(H207="No-Sale Drawer Opening", "DRAWER OPENING", "Standard Sale")))</f>
        <v/>
      </c>
    </row>
    <row r="208" ht="18" customHeight="1">
      <c r="A208" s="15" t="inlineStr">
        <is>
          <t>EVT-10164</t>
        </is>
      </c>
      <c r="B208" s="15" t="inlineStr">
        <is>
          <t>TX-80164</t>
        </is>
      </c>
      <c r="C208" s="27" t="n">
        <v>46307.42386574074</v>
      </c>
      <c r="D208" s="15" t="inlineStr">
        <is>
          <t>BR-01</t>
        </is>
      </c>
      <c r="E208" s="15" t="inlineStr">
        <is>
          <t>T-02</t>
        </is>
      </c>
      <c r="F208" s="15" t="inlineStr">
        <is>
          <t>C-102</t>
        </is>
      </c>
      <c r="G208" s="15" t="inlineStr">
        <is>
          <t>NONE</t>
        </is>
      </c>
      <c r="H208" s="14" t="inlineStr">
        <is>
          <t>Sale Tender</t>
        </is>
      </c>
      <c r="I208" s="15" t="inlineStr">
        <is>
          <t>Cash</t>
        </is>
      </c>
      <c r="J208" s="17" t="n">
        <v>6</v>
      </c>
      <c r="K208" s="28" t="n">
        <v>79.48999999999999</v>
      </c>
      <c r="L208" s="28" t="n">
        <v>79.48999999999999</v>
      </c>
      <c r="M208" s="27" t="n">
        <v>46307.42298611111</v>
      </c>
      <c r="N208" s="29">
        <f>IFERROR(IF(OR(ISBLANK(M208), M208="", ISBLANK(C208), C208=""), 0, MAX(0, ROUND((C208-M208)*86400, 0))), 0)</f>
        <v/>
      </c>
      <c r="O208" s="14">
        <f>IF(H208="Post-Bill Void", IF(AND(G208="M-904", I208="Cash"), "EXCEPTION: Concurrent Cash Void", IF(AND(I208="Cash", N208&gt;120), "CRITICAL: Delayed Cash Void", IF(N208&gt;120, "EXCEPTION: Delayed Void", "Standard Void"))), IF(H208="Line Item Void", IF(I208="Cash", "EXCEPTION: Cash Line Void", "Standard Line Void"), IF(H208="No-Sale Drawer Opening", "DRAWER OPENING", "Standard Sale")))</f>
        <v/>
      </c>
    </row>
    <row r="209" ht="18" customHeight="1">
      <c r="A209" s="12" t="inlineStr">
        <is>
          <t>EVT-10165</t>
        </is>
      </c>
      <c r="B209" s="12" t="inlineStr">
        <is>
          <t>TX-80165</t>
        </is>
      </c>
      <c r="C209" s="24" t="n">
        <v>46307.43056712963</v>
      </c>
      <c r="D209" s="12" t="inlineStr">
        <is>
          <t>BR-01</t>
        </is>
      </c>
      <c r="E209" s="12" t="inlineStr">
        <is>
          <t>T-01</t>
        </is>
      </c>
      <c r="F209" s="12" t="inlineStr">
        <is>
          <t>C-102</t>
        </is>
      </c>
      <c r="G209" s="12" t="inlineStr">
        <is>
          <t>NONE</t>
        </is>
      </c>
      <c r="H209" s="11" t="inlineStr">
        <is>
          <t>Sale Tender</t>
        </is>
      </c>
      <c r="I209" s="12" t="inlineStr">
        <is>
          <t>Cash</t>
        </is>
      </c>
      <c r="J209" s="20" t="n">
        <v>3</v>
      </c>
      <c r="K209" s="25" t="n">
        <v>32.51</v>
      </c>
      <c r="L209" s="25" t="n">
        <v>32.51</v>
      </c>
      <c r="M209" s="24" t="n">
        <v>46307.42960648148</v>
      </c>
      <c r="N209" s="26">
        <f>IFERROR(IF(OR(ISBLANK(M209), M209="", ISBLANK(C209), C209=""), 0, MAX(0, ROUND((C209-M209)*86400, 0))), 0)</f>
        <v/>
      </c>
      <c r="O209" s="11">
        <f>IF(H209="Post-Bill Void", IF(AND(G209="M-904", I209="Cash"), "EXCEPTION: Concurrent Cash Void", IF(AND(I209="Cash", N209&gt;120), "CRITICAL: Delayed Cash Void", IF(N209&gt;120, "EXCEPTION: Delayed Void", "Standard Void"))), IF(H209="Line Item Void", IF(I209="Cash", "EXCEPTION: Cash Line Void", "Standard Line Void"), IF(H209="No-Sale Drawer Opening", "DRAWER OPENING", "Standard Sale")))</f>
        <v/>
      </c>
    </row>
    <row r="210" ht="18" customHeight="1">
      <c r="A210" s="15" t="inlineStr">
        <is>
          <t>EVT-10166</t>
        </is>
      </c>
      <c r="B210" s="15" t="inlineStr">
        <is>
          <t>TX-80166</t>
        </is>
      </c>
      <c r="C210" s="27" t="n">
        <v>46307.43773148148</v>
      </c>
      <c r="D210" s="15" t="inlineStr">
        <is>
          <t>BR-01</t>
        </is>
      </c>
      <c r="E210" s="15" t="inlineStr">
        <is>
          <t>T-01</t>
        </is>
      </c>
      <c r="F210" s="15" t="inlineStr">
        <is>
          <t>C-101</t>
        </is>
      </c>
      <c r="G210" s="15" t="inlineStr">
        <is>
          <t>NONE</t>
        </is>
      </c>
      <c r="H210" s="14" t="inlineStr">
        <is>
          <t>Sale Tender</t>
        </is>
      </c>
      <c r="I210" s="15" t="inlineStr">
        <is>
          <t>Card</t>
        </is>
      </c>
      <c r="J210" s="17" t="n">
        <v>3</v>
      </c>
      <c r="K210" s="28" t="n">
        <v>35.47</v>
      </c>
      <c r="L210" s="28" t="n">
        <v>35.47</v>
      </c>
      <c r="M210" s="27" t="n">
        <v>46307.43737268518</v>
      </c>
      <c r="N210" s="29">
        <f>IFERROR(IF(OR(ISBLANK(M210), M210="", ISBLANK(C210), C210=""), 0, MAX(0, ROUND((C210-M210)*86400, 0))), 0)</f>
        <v/>
      </c>
      <c r="O210" s="14">
        <f>IF(H210="Post-Bill Void", IF(AND(G210="M-904", I210="Cash"), "EXCEPTION: Concurrent Cash Void", IF(AND(I210="Cash", N210&gt;120), "CRITICAL: Delayed Cash Void", IF(N210&gt;120, "EXCEPTION: Delayed Void", "Standard Void"))), IF(H210="Line Item Void", IF(I210="Cash", "EXCEPTION: Cash Line Void", "Standard Line Void"), IF(H210="No-Sale Drawer Opening", "DRAWER OPENING", "Standard Sale")))</f>
        <v/>
      </c>
    </row>
    <row r="211" ht="18" customHeight="1">
      <c r="A211" s="12" t="inlineStr">
        <is>
          <t>EVT-10167</t>
        </is>
      </c>
      <c r="B211" s="12" t="inlineStr">
        <is>
          <t>TX-80167</t>
        </is>
      </c>
      <c r="C211" s="24" t="n">
        <v>46307.44475694445</v>
      </c>
      <c r="D211" s="12" t="inlineStr">
        <is>
          <t>BR-04</t>
        </is>
      </c>
      <c r="E211" s="12" t="inlineStr">
        <is>
          <t>T-01</t>
        </is>
      </c>
      <c r="F211" s="12" t="inlineStr">
        <is>
          <t>C-115</t>
        </is>
      </c>
      <c r="G211" s="12" t="inlineStr">
        <is>
          <t>NONE</t>
        </is>
      </c>
      <c r="H211" s="11" t="inlineStr">
        <is>
          <t>Sale Tender</t>
        </is>
      </c>
      <c r="I211" s="12" t="inlineStr">
        <is>
          <t>Cash</t>
        </is>
      </c>
      <c r="J211" s="20" t="n">
        <v>5</v>
      </c>
      <c r="K211" s="25" t="n">
        <v>46.77</v>
      </c>
      <c r="L211" s="25" t="n">
        <v>46.77</v>
      </c>
      <c r="M211" s="24" t="n">
        <v>46307.44407407408</v>
      </c>
      <c r="N211" s="26">
        <f>IFERROR(IF(OR(ISBLANK(M211), M211="", ISBLANK(C211), C211=""), 0, MAX(0, ROUND((C211-M211)*86400, 0))), 0)</f>
        <v/>
      </c>
      <c r="O211" s="11">
        <f>IF(H211="Post-Bill Void", IF(AND(G211="M-904", I211="Cash"), "EXCEPTION: Concurrent Cash Void", IF(AND(I211="Cash", N211&gt;120), "CRITICAL: Delayed Cash Void", IF(N211&gt;120, "EXCEPTION: Delayed Void", "Standard Void"))), IF(H211="Line Item Void", IF(I211="Cash", "EXCEPTION: Cash Line Void", "Standard Line Void"), IF(H211="No-Sale Drawer Opening", "DRAWER OPENING", "Standard Sale")))</f>
        <v/>
      </c>
    </row>
    <row r="212" ht="18" customHeight="1">
      <c r="A212" s="15" t="inlineStr">
        <is>
          <t>EVT-10168</t>
        </is>
      </c>
      <c r="B212" s="15" t="inlineStr">
        <is>
          <t>TX-80168</t>
        </is>
      </c>
      <c r="C212" s="27" t="n">
        <v>46307.45170138889</v>
      </c>
      <c r="D212" s="15" t="inlineStr">
        <is>
          <t>BR-01</t>
        </is>
      </c>
      <c r="E212" s="15" t="inlineStr">
        <is>
          <t>T-02</t>
        </is>
      </c>
      <c r="F212" s="15" t="inlineStr">
        <is>
          <t>C-103</t>
        </is>
      </c>
      <c r="G212" s="15" t="inlineStr">
        <is>
          <t>NONE</t>
        </is>
      </c>
      <c r="H212" s="14" t="inlineStr">
        <is>
          <t>Sale Tender</t>
        </is>
      </c>
      <c r="I212" s="15" t="inlineStr">
        <is>
          <t>Card</t>
        </is>
      </c>
      <c r="J212" s="17" t="n">
        <v>3</v>
      </c>
      <c r="K212" s="28" t="n">
        <v>26.52</v>
      </c>
      <c r="L212" s="28" t="n">
        <v>26.52</v>
      </c>
      <c r="M212" s="27" t="n">
        <v>46307.45069444444</v>
      </c>
      <c r="N212" s="29">
        <f>IFERROR(IF(OR(ISBLANK(M212), M212="", ISBLANK(C212), C212=""), 0, MAX(0, ROUND((C212-M212)*86400, 0))), 0)</f>
        <v/>
      </c>
      <c r="O212" s="14">
        <f>IF(H212="Post-Bill Void", IF(AND(G212="M-904", I212="Cash"), "EXCEPTION: Concurrent Cash Void", IF(AND(I212="Cash", N212&gt;120), "CRITICAL: Delayed Cash Void", IF(N212&gt;120, "EXCEPTION: Delayed Void", "Standard Void"))), IF(H212="Line Item Void", IF(I212="Cash", "EXCEPTION: Cash Line Void", "Standard Line Void"), IF(H212="No-Sale Drawer Opening", "DRAWER OPENING", "Standard Sale")))</f>
        <v/>
      </c>
    </row>
    <row r="213" ht="18" customHeight="1">
      <c r="A213" s="12" t="inlineStr">
        <is>
          <t>EVT-10169</t>
        </is>
      </c>
      <c r="B213" s="12" t="inlineStr">
        <is>
          <t>TX-80169</t>
        </is>
      </c>
      <c r="C213" s="24" t="n">
        <v>46307.45862268518</v>
      </c>
      <c r="D213" s="12" t="inlineStr">
        <is>
          <t>BR-01</t>
        </is>
      </c>
      <c r="E213" s="12" t="inlineStr">
        <is>
          <t>T-01</t>
        </is>
      </c>
      <c r="F213" s="12" t="inlineStr">
        <is>
          <t>C-101</t>
        </is>
      </c>
      <c r="G213" s="12" t="inlineStr">
        <is>
          <t>NONE</t>
        </is>
      </c>
      <c r="H213" s="11" t="inlineStr">
        <is>
          <t>Sale Tender</t>
        </is>
      </c>
      <c r="I213" s="12" t="inlineStr">
        <is>
          <t>Card</t>
        </is>
      </c>
      <c r="J213" s="20" t="n">
        <v>3</v>
      </c>
      <c r="K213" s="25" t="n">
        <v>32.01</v>
      </c>
      <c r="L213" s="25" t="n">
        <v>32.01</v>
      </c>
      <c r="M213" s="24" t="n">
        <v>46307.45802083334</v>
      </c>
      <c r="N213" s="26">
        <f>IFERROR(IF(OR(ISBLANK(M213), M213="", ISBLANK(C213), C213=""), 0, MAX(0, ROUND((C213-M213)*86400, 0))), 0)</f>
        <v/>
      </c>
      <c r="O213" s="11">
        <f>IF(H213="Post-Bill Void", IF(AND(G213="M-904", I213="Cash"), "EXCEPTION: Concurrent Cash Void", IF(AND(I213="Cash", N213&gt;120), "CRITICAL: Delayed Cash Void", IF(N213&gt;120, "EXCEPTION: Delayed Void", "Standard Void"))), IF(H213="Line Item Void", IF(I213="Cash", "EXCEPTION: Cash Line Void", "Standard Line Void"), IF(H213="No-Sale Drawer Opening", "DRAWER OPENING", "Standard Sale")))</f>
        <v/>
      </c>
    </row>
    <row r="214" ht="18" customHeight="1">
      <c r="A214" s="15" t="inlineStr">
        <is>
          <t>EVT-10170</t>
        </is>
      </c>
      <c r="B214" s="15" t="inlineStr">
        <is>
          <t>TX-80170</t>
        </is>
      </c>
      <c r="C214" s="27" t="n">
        <v>46307.4653587963</v>
      </c>
      <c r="D214" s="15" t="inlineStr">
        <is>
          <t>BR-01</t>
        </is>
      </c>
      <c r="E214" s="15" t="inlineStr">
        <is>
          <t>T-02</t>
        </is>
      </c>
      <c r="F214" s="15" t="inlineStr">
        <is>
          <t>C-104</t>
        </is>
      </c>
      <c r="G214" s="15" t="inlineStr">
        <is>
          <t>NONE</t>
        </is>
      </c>
      <c r="H214" s="14" t="inlineStr">
        <is>
          <t>Sale Tender</t>
        </is>
      </c>
      <c r="I214" s="15" t="inlineStr">
        <is>
          <t>Cash</t>
        </is>
      </c>
      <c r="J214" s="17" t="n">
        <v>5</v>
      </c>
      <c r="K214" s="28" t="n">
        <v>68.89</v>
      </c>
      <c r="L214" s="28" t="n">
        <v>68.89</v>
      </c>
      <c r="M214" s="27" t="n">
        <v>46307.46481481481</v>
      </c>
      <c r="N214" s="29">
        <f>IFERROR(IF(OR(ISBLANK(M214), M214="", ISBLANK(C214), C214=""), 0, MAX(0, ROUND((C214-M214)*86400, 0))), 0)</f>
        <v/>
      </c>
      <c r="O214" s="14">
        <f>IF(H214="Post-Bill Void", IF(AND(G214="M-904", I214="Cash"), "EXCEPTION: Concurrent Cash Void", IF(AND(I214="Cash", N214&gt;120), "CRITICAL: Delayed Cash Void", IF(N214&gt;120, "EXCEPTION: Delayed Void", "Standard Void"))), IF(H214="Line Item Void", IF(I214="Cash", "EXCEPTION: Cash Line Void", "Standard Line Void"), IF(H214="No-Sale Drawer Opening", "DRAWER OPENING", "Standard Sale")))</f>
        <v/>
      </c>
    </row>
    <row r="215" ht="18" customHeight="1">
      <c r="A215" s="12" t="inlineStr">
        <is>
          <t>EVT-10171</t>
        </is>
      </c>
      <c r="B215" s="12" t="inlineStr">
        <is>
          <t>TX-80171</t>
        </is>
      </c>
      <c r="C215" s="24" t="n">
        <v>46307.4725925926</v>
      </c>
      <c r="D215" s="12" t="inlineStr">
        <is>
          <t>BR-03</t>
        </is>
      </c>
      <c r="E215" s="12" t="inlineStr">
        <is>
          <t>T-01</t>
        </is>
      </c>
      <c r="F215" s="12" t="inlineStr">
        <is>
          <t>C-109</t>
        </is>
      </c>
      <c r="G215" s="12" t="inlineStr">
        <is>
          <t>NONE</t>
        </is>
      </c>
      <c r="H215" s="11" t="inlineStr">
        <is>
          <t>Sale Tender</t>
        </is>
      </c>
      <c r="I215" s="12" t="inlineStr">
        <is>
          <t>Card</t>
        </is>
      </c>
      <c r="J215" s="20" t="n">
        <v>4</v>
      </c>
      <c r="K215" s="25" t="n">
        <v>61.63</v>
      </c>
      <c r="L215" s="25" t="n">
        <v>61.63</v>
      </c>
      <c r="M215" s="24" t="n">
        <v>46307.47224537037</v>
      </c>
      <c r="N215" s="26">
        <f>IFERROR(IF(OR(ISBLANK(M215), M215="", ISBLANK(C215), C215=""), 0, MAX(0, ROUND((C215-M215)*86400, 0))), 0)</f>
        <v/>
      </c>
      <c r="O215" s="11">
        <f>IF(H215="Post-Bill Void", IF(AND(G215="M-904", I215="Cash"), "EXCEPTION: Concurrent Cash Void", IF(AND(I215="Cash", N215&gt;120), "CRITICAL: Delayed Cash Void", IF(N215&gt;120, "EXCEPTION: Delayed Void", "Standard Void"))), IF(H215="Line Item Void", IF(I215="Cash", "EXCEPTION: Cash Line Void", "Standard Line Void"), IF(H215="No-Sale Drawer Opening", "DRAWER OPENING", "Standard Sale")))</f>
        <v/>
      </c>
    </row>
    <row r="216" ht="18" customHeight="1">
      <c r="A216" s="15" t="inlineStr">
        <is>
          <t>EVT-10172</t>
        </is>
      </c>
      <c r="B216" s="15" t="inlineStr">
        <is>
          <t>TX-80172</t>
        </is>
      </c>
      <c r="C216" s="27" t="n">
        <v>46307.47980324074</v>
      </c>
      <c r="D216" s="15" t="inlineStr">
        <is>
          <t>BR-03</t>
        </is>
      </c>
      <c r="E216" s="15" t="inlineStr">
        <is>
          <t>T-01</t>
        </is>
      </c>
      <c r="F216" s="15" t="inlineStr">
        <is>
          <t>C-112</t>
        </is>
      </c>
      <c r="G216" s="15" t="inlineStr">
        <is>
          <t>NONE</t>
        </is>
      </c>
      <c r="H216" s="14" t="inlineStr">
        <is>
          <t>Sale Tender</t>
        </is>
      </c>
      <c r="I216" s="15" t="inlineStr">
        <is>
          <t>Cash</t>
        </is>
      </c>
      <c r="J216" s="17" t="n">
        <v>4</v>
      </c>
      <c r="K216" s="28" t="n">
        <v>34.63</v>
      </c>
      <c r="L216" s="28" t="n">
        <v>34.63</v>
      </c>
      <c r="M216" s="27" t="n">
        <v>46307.47890046296</v>
      </c>
      <c r="N216" s="29">
        <f>IFERROR(IF(OR(ISBLANK(M216), M216="", ISBLANK(C216), C216=""), 0, MAX(0, ROUND((C216-M216)*86400, 0))), 0)</f>
        <v/>
      </c>
      <c r="O216" s="14">
        <f>IF(H216="Post-Bill Void", IF(AND(G216="M-904", I216="Cash"), "EXCEPTION: Concurrent Cash Void", IF(AND(I216="Cash", N216&gt;120), "CRITICAL: Delayed Cash Void", IF(N216&gt;120, "EXCEPTION: Delayed Void", "Standard Void"))), IF(H216="Line Item Void", IF(I216="Cash", "EXCEPTION: Cash Line Void", "Standard Line Void"), IF(H216="No-Sale Drawer Opening", "DRAWER OPENING", "Standard Sale")))</f>
        <v/>
      </c>
    </row>
    <row r="217" ht="18" customHeight="1">
      <c r="A217" s="12" t="inlineStr">
        <is>
          <t>EVT-10173</t>
        </is>
      </c>
      <c r="B217" s="12" t="inlineStr">
        <is>
          <t>TX-80173</t>
        </is>
      </c>
      <c r="C217" s="24" t="n">
        <v>46307.48634259259</v>
      </c>
      <c r="D217" s="12" t="inlineStr">
        <is>
          <t>BR-02</t>
        </is>
      </c>
      <c r="E217" s="12" t="inlineStr">
        <is>
          <t>T-02</t>
        </is>
      </c>
      <c r="F217" s="12" t="inlineStr">
        <is>
          <t>C-108</t>
        </is>
      </c>
      <c r="G217" s="12" t="inlineStr">
        <is>
          <t>NONE</t>
        </is>
      </c>
      <c r="H217" s="11" t="inlineStr">
        <is>
          <t>Sale Tender</t>
        </is>
      </c>
      <c r="I217" s="12" t="inlineStr">
        <is>
          <t>Cash</t>
        </is>
      </c>
      <c r="J217" s="20" t="n">
        <v>1</v>
      </c>
      <c r="K217" s="25" t="n">
        <v>10.32</v>
      </c>
      <c r="L217" s="25" t="n">
        <v>10.32</v>
      </c>
      <c r="M217" s="24" t="n">
        <v>46307.48552083333</v>
      </c>
      <c r="N217" s="26">
        <f>IFERROR(IF(OR(ISBLANK(M217), M217="", ISBLANK(C217), C217=""), 0, MAX(0, ROUND((C217-M217)*86400, 0))), 0)</f>
        <v/>
      </c>
      <c r="O217" s="11">
        <f>IF(H217="Post-Bill Void", IF(AND(G217="M-904", I217="Cash"), "EXCEPTION: Concurrent Cash Void", IF(AND(I217="Cash", N217&gt;120), "CRITICAL: Delayed Cash Void", IF(N217&gt;120, "EXCEPTION: Delayed Void", "Standard Void"))), IF(H217="Line Item Void", IF(I217="Cash", "EXCEPTION: Cash Line Void", "Standard Line Void"), IF(H217="No-Sale Drawer Opening", "DRAWER OPENING", "Standard Sale")))</f>
        <v/>
      </c>
    </row>
    <row r="218" ht="18" customHeight="1">
      <c r="A218" s="15" t="inlineStr">
        <is>
          <t>EVT-10174</t>
        </is>
      </c>
      <c r="B218" s="15" t="inlineStr">
        <is>
          <t>TX-80174</t>
        </is>
      </c>
      <c r="C218" s="27" t="n">
        <v>46307.49348379629</v>
      </c>
      <c r="D218" s="15" t="inlineStr">
        <is>
          <t>BR-04</t>
        </is>
      </c>
      <c r="E218" s="15" t="inlineStr">
        <is>
          <t>T-01</t>
        </is>
      </c>
      <c r="F218" s="15" t="inlineStr">
        <is>
          <t>C-115</t>
        </is>
      </c>
      <c r="G218" s="15" t="inlineStr">
        <is>
          <t>NONE</t>
        </is>
      </c>
      <c r="H218" s="14" t="inlineStr">
        <is>
          <t>Sale Tender</t>
        </is>
      </c>
      <c r="I218" s="15" t="inlineStr">
        <is>
          <t>Card</t>
        </is>
      </c>
      <c r="J218" s="17" t="n">
        <v>2</v>
      </c>
      <c r="K218" s="28" t="n">
        <v>22</v>
      </c>
      <c r="L218" s="28" t="n">
        <v>22</v>
      </c>
      <c r="M218" s="27" t="n">
        <v>46307.49274305555</v>
      </c>
      <c r="N218" s="29">
        <f>IFERROR(IF(OR(ISBLANK(M218), M218="", ISBLANK(C218), C218=""), 0, MAX(0, ROUND((C218-M218)*86400, 0))), 0)</f>
        <v/>
      </c>
      <c r="O218" s="14">
        <f>IF(H218="Post-Bill Void", IF(AND(G218="M-904", I218="Cash"), "EXCEPTION: Concurrent Cash Void", IF(AND(I218="Cash", N218&gt;120), "CRITICAL: Delayed Cash Void", IF(N218&gt;120, "EXCEPTION: Delayed Void", "Standard Void"))), IF(H218="Line Item Void", IF(I218="Cash", "EXCEPTION: Cash Line Void", "Standard Line Void"), IF(H218="No-Sale Drawer Opening", "DRAWER OPENING", "Standard Sale")))</f>
        <v/>
      </c>
    </row>
    <row r="219" ht="18" customHeight="1">
      <c r="A219" s="12" t="inlineStr">
        <is>
          <t>EVT-10175</t>
        </is>
      </c>
      <c r="B219" s="12" t="inlineStr">
        <is>
          <t>TX-80175</t>
        </is>
      </c>
      <c r="C219" s="24" t="n">
        <v>46307.50011574074</v>
      </c>
      <c r="D219" s="12" t="inlineStr">
        <is>
          <t>BR-01</t>
        </is>
      </c>
      <c r="E219" s="12" t="inlineStr">
        <is>
          <t>T-01</t>
        </is>
      </c>
      <c r="F219" s="12" t="inlineStr">
        <is>
          <t>C-101</t>
        </is>
      </c>
      <c r="G219" s="12" t="inlineStr">
        <is>
          <t>NONE</t>
        </is>
      </c>
      <c r="H219" s="11" t="inlineStr">
        <is>
          <t>Sale Tender</t>
        </is>
      </c>
      <c r="I219" s="12" t="inlineStr">
        <is>
          <t>Delivery Aggregator</t>
        </is>
      </c>
      <c r="J219" s="20" t="n">
        <v>3</v>
      </c>
      <c r="K219" s="25" t="n">
        <v>33.4</v>
      </c>
      <c r="L219" s="25" t="n">
        <v>33.4</v>
      </c>
      <c r="M219" s="24" t="n">
        <v>46307.49954861111</v>
      </c>
      <c r="N219" s="26">
        <f>IFERROR(IF(OR(ISBLANK(M219), M219="", ISBLANK(C219), C219=""), 0, MAX(0, ROUND((C219-M219)*86400, 0))), 0)</f>
        <v/>
      </c>
      <c r="O219" s="11">
        <f>IF(H219="Post-Bill Void", IF(AND(G219="M-904", I219="Cash"), "EXCEPTION: Concurrent Cash Void", IF(AND(I219="Cash", N219&gt;120), "CRITICAL: Delayed Cash Void", IF(N219&gt;120, "EXCEPTION: Delayed Void", "Standard Void"))), IF(H219="Line Item Void", IF(I219="Cash", "EXCEPTION: Cash Line Void", "Standard Line Void"), IF(H219="No-Sale Drawer Opening", "DRAWER OPENING", "Standard Sale")))</f>
        <v/>
      </c>
    </row>
    <row r="220" ht="18" customHeight="1">
      <c r="A220" s="15" t="inlineStr">
        <is>
          <t>EVT-10176</t>
        </is>
      </c>
      <c r="B220" s="15" t="inlineStr">
        <is>
          <t>TX-80176</t>
        </is>
      </c>
      <c r="C220" s="27" t="n">
        <v>46307.5075462963</v>
      </c>
      <c r="D220" s="15" t="inlineStr">
        <is>
          <t>BR-02</t>
        </is>
      </c>
      <c r="E220" s="15" t="inlineStr">
        <is>
          <t>T-01</t>
        </is>
      </c>
      <c r="F220" s="15" t="inlineStr">
        <is>
          <t>C-106</t>
        </is>
      </c>
      <c r="G220" s="15" t="inlineStr">
        <is>
          <t>NONE</t>
        </is>
      </c>
      <c r="H220" s="14" t="inlineStr">
        <is>
          <t>Sale Tender</t>
        </is>
      </c>
      <c r="I220" s="15" t="inlineStr">
        <is>
          <t>Cash</t>
        </is>
      </c>
      <c r="J220" s="17" t="n">
        <v>5</v>
      </c>
      <c r="K220" s="28" t="n">
        <v>48.23</v>
      </c>
      <c r="L220" s="28" t="n">
        <v>48.23</v>
      </c>
      <c r="M220" s="27" t="n">
        <v>46307.50688657408</v>
      </c>
      <c r="N220" s="29">
        <f>IFERROR(IF(OR(ISBLANK(M220), M220="", ISBLANK(C220), C220=""), 0, MAX(0, ROUND((C220-M220)*86400, 0))), 0)</f>
        <v/>
      </c>
      <c r="O220" s="14">
        <f>IF(H220="Post-Bill Void", IF(AND(G220="M-904", I220="Cash"), "EXCEPTION: Concurrent Cash Void", IF(AND(I220="Cash", N220&gt;120), "CRITICAL: Delayed Cash Void", IF(N220&gt;120, "EXCEPTION: Delayed Void", "Standard Void"))), IF(H220="Line Item Void", IF(I220="Cash", "EXCEPTION: Cash Line Void", "Standard Line Void"), IF(H220="No-Sale Drawer Opening", "DRAWER OPENING", "Standard Sale")))</f>
        <v/>
      </c>
    </row>
    <row r="221" ht="18" customHeight="1">
      <c r="A221" s="12" t="inlineStr">
        <is>
          <t>EVT-10177</t>
        </is>
      </c>
      <c r="B221" s="12" t="inlineStr">
        <is>
          <t>TX-80177</t>
        </is>
      </c>
      <c r="C221" s="24" t="n">
        <v>46307.51444444444</v>
      </c>
      <c r="D221" s="12" t="inlineStr">
        <is>
          <t>BR-01</t>
        </is>
      </c>
      <c r="E221" s="12" t="inlineStr">
        <is>
          <t>T-02</t>
        </is>
      </c>
      <c r="F221" s="12" t="inlineStr">
        <is>
          <t>C-102</t>
        </is>
      </c>
      <c r="G221" s="12" t="inlineStr">
        <is>
          <t>NONE</t>
        </is>
      </c>
      <c r="H221" s="11" t="inlineStr">
        <is>
          <t>Sale Tender</t>
        </is>
      </c>
      <c r="I221" s="12" t="inlineStr">
        <is>
          <t>Card</t>
        </is>
      </c>
      <c r="J221" s="20" t="n">
        <v>5</v>
      </c>
      <c r="K221" s="25" t="n">
        <v>71</v>
      </c>
      <c r="L221" s="25" t="n">
        <v>71</v>
      </c>
      <c r="M221" s="24" t="n">
        <v>46307.51342592593</v>
      </c>
      <c r="N221" s="26">
        <f>IFERROR(IF(OR(ISBLANK(M221), M221="", ISBLANK(C221), C221=""), 0, MAX(0, ROUND((C221-M221)*86400, 0))), 0)</f>
        <v/>
      </c>
      <c r="O221" s="11">
        <f>IF(H221="Post-Bill Void", IF(AND(G221="M-904", I221="Cash"), "EXCEPTION: Concurrent Cash Void", IF(AND(I221="Cash", N221&gt;120), "CRITICAL: Delayed Cash Void", IF(N221&gt;120, "EXCEPTION: Delayed Void", "Standard Void"))), IF(H221="Line Item Void", IF(I221="Cash", "EXCEPTION: Cash Line Void", "Standard Line Void"), IF(H221="No-Sale Drawer Opening", "DRAWER OPENING", "Standard Sale")))</f>
        <v/>
      </c>
    </row>
    <row r="222" ht="18" customHeight="1">
      <c r="A222" s="15" t="inlineStr">
        <is>
          <t>EVT-10178</t>
        </is>
      </c>
      <c r="B222" s="15" t="inlineStr">
        <is>
          <t>TX-80178</t>
        </is>
      </c>
      <c r="C222" s="27" t="n">
        <v>46307.52115740741</v>
      </c>
      <c r="D222" s="15" t="inlineStr">
        <is>
          <t>BR-03</t>
        </is>
      </c>
      <c r="E222" s="15" t="inlineStr">
        <is>
          <t>T-01</t>
        </is>
      </c>
      <c r="F222" s="15" t="inlineStr">
        <is>
          <t>C-111</t>
        </is>
      </c>
      <c r="G222" s="15" t="inlineStr">
        <is>
          <t>NONE</t>
        </is>
      </c>
      <c r="H222" s="14" t="inlineStr">
        <is>
          <t>Sale Tender</t>
        </is>
      </c>
      <c r="I222" s="15" t="inlineStr">
        <is>
          <t>Card</t>
        </is>
      </c>
      <c r="J222" s="17" t="n">
        <v>6</v>
      </c>
      <c r="K222" s="28" t="n">
        <v>64.63</v>
      </c>
      <c r="L222" s="28" t="n">
        <v>64.63</v>
      </c>
      <c r="M222" s="27" t="n">
        <v>46307.52077546297</v>
      </c>
      <c r="N222" s="29">
        <f>IFERROR(IF(OR(ISBLANK(M222), M222="", ISBLANK(C222), C222=""), 0, MAX(0, ROUND((C222-M222)*86400, 0))), 0)</f>
        <v/>
      </c>
      <c r="O222" s="14">
        <f>IF(H222="Post-Bill Void", IF(AND(G222="M-904", I222="Cash"), "EXCEPTION: Concurrent Cash Void", IF(AND(I222="Cash", N222&gt;120), "CRITICAL: Delayed Cash Void", IF(N222&gt;120, "EXCEPTION: Delayed Void", "Standard Void"))), IF(H222="Line Item Void", IF(I222="Cash", "EXCEPTION: Cash Line Void", "Standard Line Void"), IF(H222="No-Sale Drawer Opening", "DRAWER OPENING", "Standard Sale")))</f>
        <v/>
      </c>
    </row>
    <row r="223" ht="18" customHeight="1">
      <c r="A223" s="12" t="inlineStr">
        <is>
          <t>EVT-10179</t>
        </is>
      </c>
      <c r="B223" s="12" t="inlineStr">
        <is>
          <t>TX-80179</t>
        </is>
      </c>
      <c r="C223" s="24" t="n">
        <v>46307.52797453704</v>
      </c>
      <c r="D223" s="12" t="inlineStr">
        <is>
          <t>BR-01</t>
        </is>
      </c>
      <c r="E223" s="12" t="inlineStr">
        <is>
          <t>T-01</t>
        </is>
      </c>
      <c r="F223" s="12" t="inlineStr">
        <is>
          <t>C-103</t>
        </is>
      </c>
      <c r="G223" s="12" t="inlineStr">
        <is>
          <t>NONE</t>
        </is>
      </c>
      <c r="H223" s="11" t="inlineStr">
        <is>
          <t>Sale Tender</t>
        </is>
      </c>
      <c r="I223" s="12" t="inlineStr">
        <is>
          <t>Card</t>
        </is>
      </c>
      <c r="J223" s="20" t="n">
        <v>1</v>
      </c>
      <c r="K223" s="25" t="n">
        <v>8.93</v>
      </c>
      <c r="L223" s="25" t="n">
        <v>8.93</v>
      </c>
      <c r="M223" s="24" t="n">
        <v>46307.5272337963</v>
      </c>
      <c r="N223" s="26">
        <f>IFERROR(IF(OR(ISBLANK(M223), M223="", ISBLANK(C223), C223=""), 0, MAX(0, ROUND((C223-M223)*86400, 0))), 0)</f>
        <v/>
      </c>
      <c r="O223" s="11">
        <f>IF(H223="Post-Bill Void", IF(AND(G223="M-904", I223="Cash"), "EXCEPTION: Concurrent Cash Void", IF(AND(I223="Cash", N223&gt;120), "CRITICAL: Delayed Cash Void", IF(N223&gt;120, "EXCEPTION: Delayed Void", "Standard Void"))), IF(H223="Line Item Void", IF(I223="Cash", "EXCEPTION: Cash Line Void", "Standard Line Void"), IF(H223="No-Sale Drawer Opening", "DRAWER OPENING", "Standard Sale")))</f>
        <v/>
      </c>
    </row>
    <row r="224" ht="18" customHeight="1">
      <c r="A224" s="15" t="inlineStr">
        <is>
          <t>EVT-10180</t>
        </is>
      </c>
      <c r="B224" s="15" t="inlineStr">
        <is>
          <t>TX-80180</t>
        </is>
      </c>
      <c r="C224" s="27" t="n">
        <v>46307.53533564815</v>
      </c>
      <c r="D224" s="15" t="inlineStr">
        <is>
          <t>BR-03</t>
        </is>
      </c>
      <c r="E224" s="15" t="inlineStr">
        <is>
          <t>T-02</t>
        </is>
      </c>
      <c r="F224" s="15" t="inlineStr">
        <is>
          <t>C-109</t>
        </is>
      </c>
      <c r="G224" s="15" t="inlineStr">
        <is>
          <t>NONE</t>
        </is>
      </c>
      <c r="H224" s="14" t="inlineStr">
        <is>
          <t>Sale Tender</t>
        </is>
      </c>
      <c r="I224" s="15" t="inlineStr">
        <is>
          <t>Card</t>
        </is>
      </c>
      <c r="J224" s="17" t="n">
        <v>5</v>
      </c>
      <c r="K224" s="28" t="n">
        <v>56.92</v>
      </c>
      <c r="L224" s="28" t="n">
        <v>56.92</v>
      </c>
      <c r="M224" s="27" t="n">
        <v>46307.53491898148</v>
      </c>
      <c r="N224" s="29">
        <f>IFERROR(IF(OR(ISBLANK(M224), M224="", ISBLANK(C224), C224=""), 0, MAX(0, ROUND((C224-M224)*86400, 0))), 0)</f>
        <v/>
      </c>
      <c r="O224" s="14">
        <f>IF(H224="Post-Bill Void", IF(AND(G224="M-904", I224="Cash"), "EXCEPTION: Concurrent Cash Void", IF(AND(I224="Cash", N224&gt;120), "CRITICAL: Delayed Cash Void", IF(N224&gt;120, "EXCEPTION: Delayed Void", "Standard Void"))), IF(H224="Line Item Void", IF(I224="Cash", "EXCEPTION: Cash Line Void", "Standard Line Void"), IF(H224="No-Sale Drawer Opening", "DRAWER OPENING", "Standard Sale")))</f>
        <v/>
      </c>
    </row>
    <row r="225" ht="18" customHeight="1">
      <c r="A225" s="12" t="inlineStr">
        <is>
          <t>EVT-10181</t>
        </is>
      </c>
      <c r="B225" s="12" t="inlineStr">
        <is>
          <t>TX-80181</t>
        </is>
      </c>
      <c r="C225" s="24" t="n">
        <v>46307.54209490741</v>
      </c>
      <c r="D225" s="12" t="inlineStr">
        <is>
          <t>BR-01</t>
        </is>
      </c>
      <c r="E225" s="12" t="inlineStr">
        <is>
          <t>T-02</t>
        </is>
      </c>
      <c r="F225" s="12" t="inlineStr">
        <is>
          <t>C-104</t>
        </is>
      </c>
      <c r="G225" s="12" t="inlineStr">
        <is>
          <t>NONE</t>
        </is>
      </c>
      <c r="H225" s="11" t="inlineStr">
        <is>
          <t>Sale Tender</t>
        </is>
      </c>
      <c r="I225" s="12" t="inlineStr">
        <is>
          <t>Cash</t>
        </is>
      </c>
      <c r="J225" s="20" t="n">
        <v>4</v>
      </c>
      <c r="K225" s="25" t="n">
        <v>49.04</v>
      </c>
      <c r="L225" s="25" t="n">
        <v>49.04</v>
      </c>
      <c r="M225" s="24" t="n">
        <v>46307.54152777778</v>
      </c>
      <c r="N225" s="26">
        <f>IFERROR(IF(OR(ISBLANK(M225), M225="", ISBLANK(C225), C225=""), 0, MAX(0, ROUND((C225-M225)*86400, 0))), 0)</f>
        <v/>
      </c>
      <c r="O225" s="11">
        <f>IF(H225="Post-Bill Void", IF(AND(G225="M-904", I225="Cash"), "EXCEPTION: Concurrent Cash Void", IF(AND(I225="Cash", N225&gt;120), "CRITICAL: Delayed Cash Void", IF(N225&gt;120, "EXCEPTION: Delayed Void", "Standard Void"))), IF(H225="Line Item Void", IF(I225="Cash", "EXCEPTION: Cash Line Void", "Standard Line Void"), IF(H225="No-Sale Drawer Opening", "DRAWER OPENING", "Standard Sale")))</f>
        <v/>
      </c>
    </row>
    <row r="226" ht="18" customHeight="1">
      <c r="A226" s="15" t="inlineStr">
        <is>
          <t>EVT-10182</t>
        </is>
      </c>
      <c r="B226" s="15" t="inlineStr">
        <is>
          <t>TX-80182</t>
        </is>
      </c>
      <c r="C226" s="27" t="n">
        <v>46307.54864583333</v>
      </c>
      <c r="D226" s="15" t="inlineStr">
        <is>
          <t>BR-04</t>
        </is>
      </c>
      <c r="E226" s="15" t="inlineStr">
        <is>
          <t>T-02</t>
        </is>
      </c>
      <c r="F226" s="15" t="inlineStr">
        <is>
          <t>C-113</t>
        </is>
      </c>
      <c r="G226" s="15" t="inlineStr">
        <is>
          <t>NONE</t>
        </is>
      </c>
      <c r="H226" s="14" t="inlineStr">
        <is>
          <t>Sale Tender</t>
        </is>
      </c>
      <c r="I226" s="15" t="inlineStr">
        <is>
          <t>Delivery Aggregator</t>
        </is>
      </c>
      <c r="J226" s="17" t="n">
        <v>1</v>
      </c>
      <c r="K226" s="28" t="n">
        <v>12.28</v>
      </c>
      <c r="L226" s="28" t="n">
        <v>12.28</v>
      </c>
      <c r="M226" s="27" t="n">
        <v>46307.54785879629</v>
      </c>
      <c r="N226" s="29">
        <f>IFERROR(IF(OR(ISBLANK(M226), M226="", ISBLANK(C226), C226=""), 0, MAX(0, ROUND((C226-M226)*86400, 0))), 0)</f>
        <v/>
      </c>
      <c r="O226" s="14">
        <f>IF(H226="Post-Bill Void", IF(AND(G226="M-904", I226="Cash"), "EXCEPTION: Concurrent Cash Void", IF(AND(I226="Cash", N226&gt;120), "CRITICAL: Delayed Cash Void", IF(N226&gt;120, "EXCEPTION: Delayed Void", "Standard Void"))), IF(H226="Line Item Void", IF(I226="Cash", "EXCEPTION: Cash Line Void", "Standard Line Void"), IF(H226="No-Sale Drawer Opening", "DRAWER OPENING", "Standard Sale")))</f>
        <v/>
      </c>
    </row>
    <row r="227" ht="18" customHeight="1">
      <c r="A227" s="12" t="inlineStr">
        <is>
          <t>EVT-10183</t>
        </is>
      </c>
      <c r="B227" s="12" t="inlineStr">
        <is>
          <t>TX-80183</t>
        </is>
      </c>
      <c r="C227" s="24" t="n">
        <v>46307.55568287037</v>
      </c>
      <c r="D227" s="12" t="inlineStr">
        <is>
          <t>BR-01</t>
        </is>
      </c>
      <c r="E227" s="12" t="inlineStr">
        <is>
          <t>T-02</t>
        </is>
      </c>
      <c r="F227" s="12" t="inlineStr">
        <is>
          <t>C-102</t>
        </is>
      </c>
      <c r="G227" s="12" t="inlineStr">
        <is>
          <t>NONE</t>
        </is>
      </c>
      <c r="H227" s="11" t="inlineStr">
        <is>
          <t>Sale Tender</t>
        </is>
      </c>
      <c r="I227" s="12" t="inlineStr">
        <is>
          <t>Card</t>
        </is>
      </c>
      <c r="J227" s="20" t="n">
        <v>5</v>
      </c>
      <c r="K227" s="25" t="n">
        <v>48.45</v>
      </c>
      <c r="L227" s="25" t="n">
        <v>48.45</v>
      </c>
      <c r="M227" s="24" t="n">
        <v>46307.55474537037</v>
      </c>
      <c r="N227" s="26">
        <f>IFERROR(IF(OR(ISBLANK(M227), M227="", ISBLANK(C227), C227=""), 0, MAX(0, ROUND((C227-M227)*86400, 0))), 0)</f>
        <v/>
      </c>
      <c r="O227" s="11">
        <f>IF(H227="Post-Bill Void", IF(AND(G227="M-904", I227="Cash"), "EXCEPTION: Concurrent Cash Void", IF(AND(I227="Cash", N227&gt;120), "CRITICAL: Delayed Cash Void", IF(N227&gt;120, "EXCEPTION: Delayed Void", "Standard Void"))), IF(H227="Line Item Void", IF(I227="Cash", "EXCEPTION: Cash Line Void", "Standard Line Void"), IF(H227="No-Sale Drawer Opening", "DRAWER OPENING", "Standard Sale")))</f>
        <v/>
      </c>
    </row>
    <row r="228" ht="18" customHeight="1">
      <c r="A228" s="15" t="inlineStr">
        <is>
          <t>EVT-10184</t>
        </is>
      </c>
      <c r="B228" s="15" t="inlineStr">
        <is>
          <t>TX-80184</t>
        </is>
      </c>
      <c r="C228" s="27" t="n">
        <v>46307.5627662037</v>
      </c>
      <c r="D228" s="15" t="inlineStr">
        <is>
          <t>BR-03</t>
        </is>
      </c>
      <c r="E228" s="15" t="inlineStr">
        <is>
          <t>T-01</t>
        </is>
      </c>
      <c r="F228" s="15" t="inlineStr">
        <is>
          <t>C-112</t>
        </is>
      </c>
      <c r="G228" s="15" t="inlineStr">
        <is>
          <t>NONE</t>
        </is>
      </c>
      <c r="H228" s="14" t="inlineStr">
        <is>
          <t>Sale Tender</t>
        </is>
      </c>
      <c r="I228" s="15" t="inlineStr">
        <is>
          <t>Card</t>
        </is>
      </c>
      <c r="J228" s="17" t="n">
        <v>1</v>
      </c>
      <c r="K228" s="28" t="n">
        <v>14.42</v>
      </c>
      <c r="L228" s="28" t="n">
        <v>14.42</v>
      </c>
      <c r="M228" s="27" t="n">
        <v>46307.56197916667</v>
      </c>
      <c r="N228" s="29">
        <f>IFERROR(IF(OR(ISBLANK(M228), M228="", ISBLANK(C228), C228=""), 0, MAX(0, ROUND((C228-M228)*86400, 0))), 0)</f>
        <v/>
      </c>
      <c r="O228" s="14">
        <f>IF(H228="Post-Bill Void", IF(AND(G228="M-904", I228="Cash"), "EXCEPTION: Concurrent Cash Void", IF(AND(I228="Cash", N228&gt;120), "CRITICAL: Delayed Cash Void", IF(N228&gt;120, "EXCEPTION: Delayed Void", "Standard Void"))), IF(H228="Line Item Void", IF(I228="Cash", "EXCEPTION: Cash Line Void", "Standard Line Void"), IF(H228="No-Sale Drawer Opening", "DRAWER OPENING", "Standard Sale")))</f>
        <v/>
      </c>
    </row>
    <row r="229" ht="18" customHeight="1">
      <c r="A229" s="12" t="inlineStr">
        <is>
          <t>EVT-10185</t>
        </is>
      </c>
      <c r="B229" s="12" t="inlineStr">
        <is>
          <t>TX-80185</t>
        </is>
      </c>
      <c r="C229" s="24" t="n">
        <v>46307.56991898148</v>
      </c>
      <c r="D229" s="12" t="inlineStr">
        <is>
          <t>BR-03</t>
        </is>
      </c>
      <c r="E229" s="12" t="inlineStr">
        <is>
          <t>T-01</t>
        </is>
      </c>
      <c r="F229" s="12" t="inlineStr">
        <is>
          <t>C-109</t>
        </is>
      </c>
      <c r="G229" s="12" t="inlineStr">
        <is>
          <t>NONE</t>
        </is>
      </c>
      <c r="H229" s="11" t="inlineStr">
        <is>
          <t>Sale Tender</t>
        </is>
      </c>
      <c r="I229" s="12" t="inlineStr">
        <is>
          <t>Cash</t>
        </is>
      </c>
      <c r="J229" s="20" t="n">
        <v>6</v>
      </c>
      <c r="K229" s="25" t="n">
        <v>89.31999999999999</v>
      </c>
      <c r="L229" s="25" t="n">
        <v>89.31999999999999</v>
      </c>
      <c r="M229" s="24" t="n">
        <v>46307.5690625</v>
      </c>
      <c r="N229" s="26">
        <f>IFERROR(IF(OR(ISBLANK(M229), M229="", ISBLANK(C229), C229=""), 0, MAX(0, ROUND((C229-M229)*86400, 0))), 0)</f>
        <v/>
      </c>
      <c r="O229" s="11">
        <f>IF(H229="Post-Bill Void", IF(AND(G229="M-904", I229="Cash"), "EXCEPTION: Concurrent Cash Void", IF(AND(I229="Cash", N229&gt;120), "CRITICAL: Delayed Cash Void", IF(N229&gt;120, "EXCEPTION: Delayed Void", "Standard Void"))), IF(H229="Line Item Void", IF(I229="Cash", "EXCEPTION: Cash Line Void", "Standard Line Void"), IF(H229="No-Sale Drawer Opening", "DRAWER OPENING", "Standard Sale")))</f>
        <v/>
      </c>
    </row>
    <row r="230" ht="18" customHeight="1">
      <c r="A230" s="15" t="inlineStr">
        <is>
          <t>EVT-10186</t>
        </is>
      </c>
      <c r="B230" s="15" t="inlineStr">
        <is>
          <t>TX-80186</t>
        </is>
      </c>
      <c r="C230" s="27" t="n">
        <v>46307.57706018518</v>
      </c>
      <c r="D230" s="15" t="inlineStr">
        <is>
          <t>BR-02</t>
        </is>
      </c>
      <c r="E230" s="15" t="inlineStr">
        <is>
          <t>T-01</t>
        </is>
      </c>
      <c r="F230" s="15" t="inlineStr">
        <is>
          <t>C-107</t>
        </is>
      </c>
      <c r="G230" s="15" t="inlineStr">
        <is>
          <t>NONE</t>
        </is>
      </c>
      <c r="H230" s="14" t="inlineStr">
        <is>
          <t>Sale Tender</t>
        </is>
      </c>
      <c r="I230" s="15" t="inlineStr">
        <is>
          <t>Delivery Aggregator</t>
        </is>
      </c>
      <c r="J230" s="17" t="n">
        <v>3</v>
      </c>
      <c r="K230" s="28" t="n">
        <v>47.27</v>
      </c>
      <c r="L230" s="28" t="n">
        <v>47.27</v>
      </c>
      <c r="M230" s="27" t="n">
        <v>46307.5765625</v>
      </c>
      <c r="N230" s="29">
        <f>IFERROR(IF(OR(ISBLANK(M230), M230="", ISBLANK(C230), C230=""), 0, MAX(0, ROUND((C230-M230)*86400, 0))), 0)</f>
        <v/>
      </c>
      <c r="O230" s="14">
        <f>IF(H230="Post-Bill Void", IF(AND(G230="M-904", I230="Cash"), "EXCEPTION: Concurrent Cash Void", IF(AND(I230="Cash", N230&gt;120), "CRITICAL: Delayed Cash Void", IF(N230&gt;120, "EXCEPTION: Delayed Void", "Standard Void"))), IF(H230="Line Item Void", IF(I230="Cash", "EXCEPTION: Cash Line Void", "Standard Line Void"), IF(H230="No-Sale Drawer Opening", "DRAWER OPENING", "Standard Sale")))</f>
        <v/>
      </c>
    </row>
    <row r="231" ht="18" customHeight="1">
      <c r="A231" s="12" t="inlineStr">
        <is>
          <t>EVT-10187</t>
        </is>
      </c>
      <c r="B231" s="12" t="inlineStr">
        <is>
          <t>TX-80187</t>
        </is>
      </c>
      <c r="C231" s="24" t="n">
        <v>46307.58384259259</v>
      </c>
      <c r="D231" s="12" t="inlineStr">
        <is>
          <t>BR-04</t>
        </is>
      </c>
      <c r="E231" s="12" t="inlineStr">
        <is>
          <t>T-01</t>
        </is>
      </c>
      <c r="F231" s="12" t="inlineStr">
        <is>
          <t>C-113</t>
        </is>
      </c>
      <c r="G231" s="12" t="inlineStr">
        <is>
          <t>NONE</t>
        </is>
      </c>
      <c r="H231" s="11" t="inlineStr">
        <is>
          <t>Sale Tender</t>
        </is>
      </c>
      <c r="I231" s="12" t="inlineStr">
        <is>
          <t>Cash</t>
        </is>
      </c>
      <c r="J231" s="20" t="n">
        <v>4</v>
      </c>
      <c r="K231" s="25" t="n">
        <v>53.3</v>
      </c>
      <c r="L231" s="25" t="n">
        <v>53.3</v>
      </c>
      <c r="M231" s="24" t="n">
        <v>46307.5834375</v>
      </c>
      <c r="N231" s="26">
        <f>IFERROR(IF(OR(ISBLANK(M231), M231="", ISBLANK(C231), C231=""), 0, MAX(0, ROUND((C231-M231)*86400, 0))), 0)</f>
        <v/>
      </c>
      <c r="O231" s="11">
        <f>IF(H231="Post-Bill Void", IF(AND(G231="M-904", I231="Cash"), "EXCEPTION: Concurrent Cash Void", IF(AND(I231="Cash", N231&gt;120), "CRITICAL: Delayed Cash Void", IF(N231&gt;120, "EXCEPTION: Delayed Void", "Standard Void"))), IF(H231="Line Item Void", IF(I231="Cash", "EXCEPTION: Cash Line Void", "Standard Line Void"), IF(H231="No-Sale Drawer Opening", "DRAWER OPENING", "Standard Sale")))</f>
        <v/>
      </c>
    </row>
    <row r="232" ht="18" customHeight="1">
      <c r="A232" s="15" t="inlineStr">
        <is>
          <t>EVT-10188</t>
        </is>
      </c>
      <c r="B232" s="15" t="inlineStr">
        <is>
          <t>TX-80188</t>
        </is>
      </c>
      <c r="C232" s="27" t="n">
        <v>46307.59052083334</v>
      </c>
      <c r="D232" s="15" t="inlineStr">
        <is>
          <t>BR-02</t>
        </is>
      </c>
      <c r="E232" s="15" t="inlineStr">
        <is>
          <t>T-02</t>
        </is>
      </c>
      <c r="F232" s="15" t="inlineStr">
        <is>
          <t>C-105</t>
        </is>
      </c>
      <c r="G232" s="15" t="inlineStr">
        <is>
          <t>NONE</t>
        </is>
      </c>
      <c r="H232" s="14" t="inlineStr">
        <is>
          <t>Sale Tender</t>
        </is>
      </c>
      <c r="I232" s="15" t="inlineStr">
        <is>
          <t>Card</t>
        </is>
      </c>
      <c r="J232" s="17" t="n">
        <v>1</v>
      </c>
      <c r="K232" s="28" t="n">
        <v>11.22</v>
      </c>
      <c r="L232" s="28" t="n">
        <v>11.22</v>
      </c>
      <c r="M232" s="27" t="n">
        <v>46307.58960648148</v>
      </c>
      <c r="N232" s="29">
        <f>IFERROR(IF(OR(ISBLANK(M232), M232="", ISBLANK(C232), C232=""), 0, MAX(0, ROUND((C232-M232)*86400, 0))), 0)</f>
        <v/>
      </c>
      <c r="O232" s="14">
        <f>IF(H232="Post-Bill Void", IF(AND(G232="M-904", I232="Cash"), "EXCEPTION: Concurrent Cash Void", IF(AND(I232="Cash", N232&gt;120), "CRITICAL: Delayed Cash Void", IF(N232&gt;120, "EXCEPTION: Delayed Void", "Standard Void"))), IF(H232="Line Item Void", IF(I232="Cash", "EXCEPTION: Cash Line Void", "Standard Line Void"), IF(H232="No-Sale Drawer Opening", "DRAWER OPENING", "Standard Sale")))</f>
        <v/>
      </c>
    </row>
    <row r="233" ht="18" customHeight="1">
      <c r="A233" s="12" t="inlineStr">
        <is>
          <t>EVT-10189</t>
        </is>
      </c>
      <c r="B233" s="12" t="inlineStr">
        <is>
          <t>TX-80189</t>
        </is>
      </c>
      <c r="C233" s="24" t="n">
        <v>46307.59734953703</v>
      </c>
      <c r="D233" s="12" t="inlineStr">
        <is>
          <t>BR-02</t>
        </is>
      </c>
      <c r="E233" s="12" t="inlineStr">
        <is>
          <t>T-02</t>
        </is>
      </c>
      <c r="F233" s="12" t="inlineStr">
        <is>
          <t>C-107</t>
        </is>
      </c>
      <c r="G233" s="12" t="inlineStr">
        <is>
          <t>NONE</t>
        </is>
      </c>
      <c r="H233" s="11" t="inlineStr">
        <is>
          <t>Sale Tender</t>
        </is>
      </c>
      <c r="I233" s="12" t="inlineStr">
        <is>
          <t>Cash</t>
        </is>
      </c>
      <c r="J233" s="20" t="n">
        <v>2</v>
      </c>
      <c r="K233" s="25" t="n">
        <v>19.32</v>
      </c>
      <c r="L233" s="25" t="n">
        <v>19.32</v>
      </c>
      <c r="M233" s="24" t="n">
        <v>46307.59634259259</v>
      </c>
      <c r="N233" s="26">
        <f>IFERROR(IF(OR(ISBLANK(M233), M233="", ISBLANK(C233), C233=""), 0, MAX(0, ROUND((C233-M233)*86400, 0))), 0)</f>
        <v/>
      </c>
      <c r="O233" s="11">
        <f>IF(H233="Post-Bill Void", IF(AND(G233="M-904", I233="Cash"), "EXCEPTION: Concurrent Cash Void", IF(AND(I233="Cash", N233&gt;120), "CRITICAL: Delayed Cash Void", IF(N233&gt;120, "EXCEPTION: Delayed Void", "Standard Void"))), IF(H233="Line Item Void", IF(I233="Cash", "EXCEPTION: Cash Line Void", "Standard Line Void"), IF(H233="No-Sale Drawer Opening", "DRAWER OPENING", "Standard Sale")))</f>
        <v/>
      </c>
    </row>
    <row r="234" ht="18" customHeight="1">
      <c r="A234" s="15" t="inlineStr">
        <is>
          <t>EVT-10190</t>
        </is>
      </c>
      <c r="B234" s="15" t="inlineStr">
        <is>
          <t>TX-80190</t>
        </is>
      </c>
      <c r="C234" s="27" t="n">
        <v>46307.604375</v>
      </c>
      <c r="D234" s="15" t="inlineStr">
        <is>
          <t>BR-01</t>
        </is>
      </c>
      <c r="E234" s="15" t="inlineStr">
        <is>
          <t>T-02</t>
        </is>
      </c>
      <c r="F234" s="15" t="inlineStr">
        <is>
          <t>C-101</t>
        </is>
      </c>
      <c r="G234" s="15" t="inlineStr">
        <is>
          <t>NONE</t>
        </is>
      </c>
      <c r="H234" s="14" t="inlineStr">
        <is>
          <t>Sale Tender</t>
        </is>
      </c>
      <c r="I234" s="15" t="inlineStr">
        <is>
          <t>Card</t>
        </is>
      </c>
      <c r="J234" s="17" t="n">
        <v>2</v>
      </c>
      <c r="K234" s="28" t="n">
        <v>19.43</v>
      </c>
      <c r="L234" s="28" t="n">
        <v>19.43</v>
      </c>
      <c r="M234" s="27" t="n">
        <v>46307.60390046296</v>
      </c>
      <c r="N234" s="29">
        <f>IFERROR(IF(OR(ISBLANK(M234), M234="", ISBLANK(C234), C234=""), 0, MAX(0, ROUND((C234-M234)*86400, 0))), 0)</f>
        <v/>
      </c>
      <c r="O234" s="14">
        <f>IF(H234="Post-Bill Void", IF(AND(G234="M-904", I234="Cash"), "EXCEPTION: Concurrent Cash Void", IF(AND(I234="Cash", N234&gt;120), "CRITICAL: Delayed Cash Void", IF(N234&gt;120, "EXCEPTION: Delayed Void", "Standard Void"))), IF(H234="Line Item Void", IF(I234="Cash", "EXCEPTION: Cash Line Void", "Standard Line Void"), IF(H234="No-Sale Drawer Opening", "DRAWER OPENING", "Standard Sale")))</f>
        <v/>
      </c>
    </row>
    <row r="235" ht="18" customHeight="1">
      <c r="A235" s="12" t="inlineStr">
        <is>
          <t>EVT-10191</t>
        </is>
      </c>
      <c r="B235" s="12" t="inlineStr">
        <is>
          <t>TX-80191</t>
        </is>
      </c>
      <c r="C235" s="24" t="n">
        <v>46307.61172453704</v>
      </c>
      <c r="D235" s="12" t="inlineStr">
        <is>
          <t>BR-02</t>
        </is>
      </c>
      <c r="E235" s="12" t="inlineStr">
        <is>
          <t>T-01</t>
        </is>
      </c>
      <c r="F235" s="12" t="inlineStr">
        <is>
          <t>C-108</t>
        </is>
      </c>
      <c r="G235" s="12" t="inlineStr">
        <is>
          <t>NONE</t>
        </is>
      </c>
      <c r="H235" s="11" t="inlineStr">
        <is>
          <t>Sale Tender</t>
        </is>
      </c>
      <c r="I235" s="12" t="inlineStr">
        <is>
          <t>Card</t>
        </is>
      </c>
      <c r="J235" s="20" t="n">
        <v>2</v>
      </c>
      <c r="K235" s="25" t="n">
        <v>31.54</v>
      </c>
      <c r="L235" s="25" t="n">
        <v>31.54</v>
      </c>
      <c r="M235" s="24" t="n">
        <v>46307.61090277778</v>
      </c>
      <c r="N235" s="26">
        <f>IFERROR(IF(OR(ISBLANK(M235), M235="", ISBLANK(C235), C235=""), 0, MAX(0, ROUND((C235-M235)*86400, 0))), 0)</f>
        <v/>
      </c>
      <c r="O235" s="11">
        <f>IF(H235="Post-Bill Void", IF(AND(G235="M-904", I235="Cash"), "EXCEPTION: Concurrent Cash Void", IF(AND(I235="Cash", N235&gt;120), "CRITICAL: Delayed Cash Void", IF(N235&gt;120, "EXCEPTION: Delayed Void", "Standard Void"))), IF(H235="Line Item Void", IF(I235="Cash", "EXCEPTION: Cash Line Void", "Standard Line Void"), IF(H235="No-Sale Drawer Opening", "DRAWER OPENING", "Standard Sale")))</f>
        <v/>
      </c>
    </row>
    <row r="236" ht="18" customHeight="1">
      <c r="A236" s="15" t="inlineStr">
        <is>
          <t>EVT-10192</t>
        </is>
      </c>
      <c r="B236" s="15" t="inlineStr">
        <is>
          <t>TX-80192</t>
        </is>
      </c>
      <c r="C236" s="27" t="n">
        <v>46307.61850694445</v>
      </c>
      <c r="D236" s="15" t="inlineStr">
        <is>
          <t>BR-03</t>
        </is>
      </c>
      <c r="E236" s="15" t="inlineStr">
        <is>
          <t>T-01</t>
        </is>
      </c>
      <c r="F236" s="15" t="inlineStr">
        <is>
          <t>C-112</t>
        </is>
      </c>
      <c r="G236" s="15" t="inlineStr">
        <is>
          <t>NONE</t>
        </is>
      </c>
      <c r="H236" s="14" t="inlineStr">
        <is>
          <t>Sale Tender</t>
        </is>
      </c>
      <c r="I236" s="15" t="inlineStr">
        <is>
          <t>Cash</t>
        </is>
      </c>
      <c r="J236" s="17" t="n">
        <v>4</v>
      </c>
      <c r="K236" s="28" t="n">
        <v>61.12</v>
      </c>
      <c r="L236" s="28" t="n">
        <v>61.12</v>
      </c>
      <c r="M236" s="27" t="n">
        <v>46307.61787037037</v>
      </c>
      <c r="N236" s="29">
        <f>IFERROR(IF(OR(ISBLANK(M236), M236="", ISBLANK(C236), C236=""), 0, MAX(0, ROUND((C236-M236)*86400, 0))), 0)</f>
        <v/>
      </c>
      <c r="O236" s="14">
        <f>IF(H236="Post-Bill Void", IF(AND(G236="M-904", I236="Cash"), "EXCEPTION: Concurrent Cash Void", IF(AND(I236="Cash", N236&gt;120), "CRITICAL: Delayed Cash Void", IF(N236&gt;120, "EXCEPTION: Delayed Void", "Standard Void"))), IF(H236="Line Item Void", IF(I236="Cash", "EXCEPTION: Cash Line Void", "Standard Line Void"), IF(H236="No-Sale Drawer Opening", "DRAWER OPENING", "Standard Sale")))</f>
        <v/>
      </c>
    </row>
    <row r="237" ht="18" customHeight="1">
      <c r="A237" s="12" t="inlineStr">
        <is>
          <t>EVT-10193</t>
        </is>
      </c>
      <c r="B237" s="12" t="inlineStr">
        <is>
          <t>TX-80193</t>
        </is>
      </c>
      <c r="C237" s="24" t="n">
        <v>46307.62513888889</v>
      </c>
      <c r="D237" s="12" t="inlineStr">
        <is>
          <t>BR-03</t>
        </is>
      </c>
      <c r="E237" s="12" t="inlineStr">
        <is>
          <t>T-01</t>
        </is>
      </c>
      <c r="F237" s="12" t="inlineStr">
        <is>
          <t>C-112</t>
        </is>
      </c>
      <c r="G237" s="12" t="inlineStr">
        <is>
          <t>NONE</t>
        </is>
      </c>
      <c r="H237" s="11" t="inlineStr">
        <is>
          <t>Sale Tender</t>
        </is>
      </c>
      <c r="I237" s="12" t="inlineStr">
        <is>
          <t>Card</t>
        </is>
      </c>
      <c r="J237" s="20" t="n">
        <v>5</v>
      </c>
      <c r="K237" s="25" t="n">
        <v>62.28</v>
      </c>
      <c r="L237" s="25" t="n">
        <v>62.28</v>
      </c>
      <c r="M237" s="24" t="n">
        <v>46307.62443287037</v>
      </c>
      <c r="N237" s="26">
        <f>IFERROR(IF(OR(ISBLANK(M237), M237="", ISBLANK(C237), C237=""), 0, MAX(0, ROUND((C237-M237)*86400, 0))), 0)</f>
        <v/>
      </c>
      <c r="O237" s="11">
        <f>IF(H237="Post-Bill Void", IF(AND(G237="M-904", I237="Cash"), "EXCEPTION: Concurrent Cash Void", IF(AND(I237="Cash", N237&gt;120), "CRITICAL: Delayed Cash Void", IF(N237&gt;120, "EXCEPTION: Delayed Void", "Standard Void"))), IF(H237="Line Item Void", IF(I237="Cash", "EXCEPTION: Cash Line Void", "Standard Line Void"), IF(H237="No-Sale Drawer Opening", "DRAWER OPENING", "Standard Sale")))</f>
        <v/>
      </c>
    </row>
    <row r="238" ht="18" customHeight="1">
      <c r="A238" s="15" t="inlineStr">
        <is>
          <t>EVT-10194</t>
        </is>
      </c>
      <c r="B238" s="15" t="inlineStr">
        <is>
          <t>TX-80194</t>
        </is>
      </c>
      <c r="C238" s="27" t="n">
        <v>46307.63206018518</v>
      </c>
      <c r="D238" s="15" t="inlineStr">
        <is>
          <t>BR-02</t>
        </is>
      </c>
      <c r="E238" s="15" t="inlineStr">
        <is>
          <t>T-02</t>
        </is>
      </c>
      <c r="F238" s="15" t="inlineStr">
        <is>
          <t>C-106</t>
        </is>
      </c>
      <c r="G238" s="15" t="inlineStr">
        <is>
          <t>NONE</t>
        </is>
      </c>
      <c r="H238" s="14" t="inlineStr">
        <is>
          <t>Sale Tender</t>
        </is>
      </c>
      <c r="I238" s="15" t="inlineStr">
        <is>
          <t>Card</t>
        </is>
      </c>
      <c r="J238" s="17" t="n">
        <v>3</v>
      </c>
      <c r="K238" s="28" t="n">
        <v>37.98</v>
      </c>
      <c r="L238" s="28" t="n">
        <v>37.98</v>
      </c>
      <c r="M238" s="27" t="n">
        <v>46307.63170138889</v>
      </c>
      <c r="N238" s="29">
        <f>IFERROR(IF(OR(ISBLANK(M238), M238="", ISBLANK(C238), C238=""), 0, MAX(0, ROUND((C238-M238)*86400, 0))), 0)</f>
        <v/>
      </c>
      <c r="O238" s="14">
        <f>IF(H238="Post-Bill Void", IF(AND(G238="M-904", I238="Cash"), "EXCEPTION: Concurrent Cash Void", IF(AND(I238="Cash", N238&gt;120), "CRITICAL: Delayed Cash Void", IF(N238&gt;120, "EXCEPTION: Delayed Void", "Standard Void"))), IF(H238="Line Item Void", IF(I238="Cash", "EXCEPTION: Cash Line Void", "Standard Line Void"), IF(H238="No-Sale Drawer Opening", "DRAWER OPENING", "Standard Sale")))</f>
        <v/>
      </c>
    </row>
    <row r="239" ht="18" customHeight="1">
      <c r="A239" s="12" t="inlineStr">
        <is>
          <t>EVT-10195</t>
        </is>
      </c>
      <c r="B239" s="12" t="inlineStr">
        <is>
          <t>TX-80195</t>
        </is>
      </c>
      <c r="C239" s="24" t="n">
        <v>46307.63895833334</v>
      </c>
      <c r="D239" s="12" t="inlineStr">
        <is>
          <t>BR-01</t>
        </is>
      </c>
      <c r="E239" s="12" t="inlineStr">
        <is>
          <t>T-01</t>
        </is>
      </c>
      <c r="F239" s="12" t="inlineStr">
        <is>
          <t>C-103</t>
        </is>
      </c>
      <c r="G239" s="12" t="inlineStr">
        <is>
          <t>NONE</t>
        </is>
      </c>
      <c r="H239" s="11" t="inlineStr">
        <is>
          <t>Sale Tender</t>
        </is>
      </c>
      <c r="I239" s="12" t="inlineStr">
        <is>
          <t>Cash</t>
        </is>
      </c>
      <c r="J239" s="20" t="n">
        <v>5</v>
      </c>
      <c r="K239" s="25" t="n">
        <v>48.03</v>
      </c>
      <c r="L239" s="25" t="n">
        <v>48.03</v>
      </c>
      <c r="M239" s="24" t="n">
        <v>46307.6384375</v>
      </c>
      <c r="N239" s="26">
        <f>IFERROR(IF(OR(ISBLANK(M239), M239="", ISBLANK(C239), C239=""), 0, MAX(0, ROUND((C239-M239)*86400, 0))), 0)</f>
        <v/>
      </c>
      <c r="O239" s="11">
        <f>IF(H239="Post-Bill Void", IF(AND(G239="M-904", I239="Cash"), "EXCEPTION: Concurrent Cash Void", IF(AND(I239="Cash", N239&gt;120), "CRITICAL: Delayed Cash Void", IF(N239&gt;120, "EXCEPTION: Delayed Void", "Standard Void"))), IF(H239="Line Item Void", IF(I239="Cash", "EXCEPTION: Cash Line Void", "Standard Line Void"), IF(H239="No-Sale Drawer Opening", "DRAWER OPENING", "Standard Sale")))</f>
        <v/>
      </c>
    </row>
    <row r="240" ht="18" customHeight="1">
      <c r="A240" s="15" t="inlineStr">
        <is>
          <t>EVT-10196</t>
        </is>
      </c>
      <c r="B240" s="15" t="inlineStr">
        <is>
          <t>TX-80196</t>
        </is>
      </c>
      <c r="C240" s="27" t="n">
        <v>46307.64614583334</v>
      </c>
      <c r="D240" s="15" t="inlineStr">
        <is>
          <t>BR-01</t>
        </is>
      </c>
      <c r="E240" s="15" t="inlineStr">
        <is>
          <t>T-02</t>
        </is>
      </c>
      <c r="F240" s="15" t="inlineStr">
        <is>
          <t>C-102</t>
        </is>
      </c>
      <c r="G240" s="15" t="inlineStr">
        <is>
          <t>NONE</t>
        </is>
      </c>
      <c r="H240" s="14" t="inlineStr">
        <is>
          <t>Sale Tender</t>
        </is>
      </c>
      <c r="I240" s="15" t="inlineStr">
        <is>
          <t>Delivery Aggregator</t>
        </is>
      </c>
      <c r="J240" s="17" t="n">
        <v>4</v>
      </c>
      <c r="K240" s="28" t="n">
        <v>35.6</v>
      </c>
      <c r="L240" s="28" t="n">
        <v>35.6</v>
      </c>
      <c r="M240" s="27" t="n">
        <v>46307.64534722222</v>
      </c>
      <c r="N240" s="29">
        <f>IFERROR(IF(OR(ISBLANK(M240), M240="", ISBLANK(C240), C240=""), 0, MAX(0, ROUND((C240-M240)*86400, 0))), 0)</f>
        <v/>
      </c>
      <c r="O240" s="14">
        <f>IF(H240="Post-Bill Void", IF(AND(G240="M-904", I240="Cash"), "EXCEPTION: Concurrent Cash Void", IF(AND(I240="Cash", N240&gt;120), "CRITICAL: Delayed Cash Void", IF(N240&gt;120, "EXCEPTION: Delayed Void", "Standard Void"))), IF(H240="Line Item Void", IF(I240="Cash", "EXCEPTION: Cash Line Void", "Standard Line Void"), IF(H240="No-Sale Drawer Opening", "DRAWER OPENING", "Standard Sale")))</f>
        <v/>
      </c>
    </row>
    <row r="241" ht="18" customHeight="1">
      <c r="A241" s="12" t="inlineStr">
        <is>
          <t>EVT-10197</t>
        </is>
      </c>
      <c r="B241" s="12" t="inlineStr">
        <is>
          <t>TX-80197</t>
        </is>
      </c>
      <c r="C241" s="24" t="n">
        <v>46307.65314814815</v>
      </c>
      <c r="D241" s="12" t="inlineStr">
        <is>
          <t>BR-03</t>
        </is>
      </c>
      <c r="E241" s="12" t="inlineStr">
        <is>
          <t>T-01</t>
        </is>
      </c>
      <c r="F241" s="12" t="inlineStr">
        <is>
          <t>C-110</t>
        </is>
      </c>
      <c r="G241" s="12" t="inlineStr">
        <is>
          <t>NONE</t>
        </is>
      </c>
      <c r="H241" s="11" t="inlineStr">
        <is>
          <t>Sale Tender</t>
        </is>
      </c>
      <c r="I241" s="12" t="inlineStr">
        <is>
          <t>Card</t>
        </is>
      </c>
      <c r="J241" s="20" t="n">
        <v>1</v>
      </c>
      <c r="K241" s="25" t="n">
        <v>10.89</v>
      </c>
      <c r="L241" s="25" t="n">
        <v>10.89</v>
      </c>
      <c r="M241" s="24" t="n">
        <v>46307.65274305556</v>
      </c>
      <c r="N241" s="26">
        <f>IFERROR(IF(OR(ISBLANK(M241), M241="", ISBLANK(C241), C241=""), 0, MAX(0, ROUND((C241-M241)*86400, 0))), 0)</f>
        <v/>
      </c>
      <c r="O241" s="11">
        <f>IF(H241="Post-Bill Void", IF(AND(G241="M-904", I241="Cash"), "EXCEPTION: Concurrent Cash Void", IF(AND(I241="Cash", N241&gt;120), "CRITICAL: Delayed Cash Void", IF(N241&gt;120, "EXCEPTION: Delayed Void", "Standard Void"))), IF(H241="Line Item Void", IF(I241="Cash", "EXCEPTION: Cash Line Void", "Standard Line Void"), IF(H241="No-Sale Drawer Opening", "DRAWER OPENING", "Standard Sale")))</f>
        <v/>
      </c>
    </row>
    <row r="242" ht="18" customHeight="1">
      <c r="A242" s="15" t="inlineStr">
        <is>
          <t>EVT-10198</t>
        </is>
      </c>
      <c r="B242" s="15" t="inlineStr">
        <is>
          <t>TX-80198</t>
        </is>
      </c>
      <c r="C242" s="27" t="n">
        <v>46307.65979166667</v>
      </c>
      <c r="D242" s="15" t="inlineStr">
        <is>
          <t>BR-03</t>
        </is>
      </c>
      <c r="E242" s="15" t="inlineStr">
        <is>
          <t>T-01</t>
        </is>
      </c>
      <c r="F242" s="15" t="inlineStr">
        <is>
          <t>C-110</t>
        </is>
      </c>
      <c r="G242" s="15" t="inlineStr">
        <is>
          <t>NONE</t>
        </is>
      </c>
      <c r="H242" s="14" t="inlineStr">
        <is>
          <t>Sale Tender</t>
        </is>
      </c>
      <c r="I242" s="15" t="inlineStr">
        <is>
          <t>Delivery Aggregator</t>
        </is>
      </c>
      <c r="J242" s="17" t="n">
        <v>4</v>
      </c>
      <c r="K242" s="28" t="n">
        <v>54.88</v>
      </c>
      <c r="L242" s="28" t="n">
        <v>54.88</v>
      </c>
      <c r="M242" s="27" t="n">
        <v>46307.65908564815</v>
      </c>
      <c r="N242" s="29">
        <f>IFERROR(IF(OR(ISBLANK(M242), M242="", ISBLANK(C242), C242=""), 0, MAX(0, ROUND((C242-M242)*86400, 0))), 0)</f>
        <v/>
      </c>
      <c r="O242" s="14">
        <f>IF(H242="Post-Bill Void", IF(AND(G242="M-904", I242="Cash"), "EXCEPTION: Concurrent Cash Void", IF(AND(I242="Cash", N242&gt;120), "CRITICAL: Delayed Cash Void", IF(N242&gt;120, "EXCEPTION: Delayed Void", "Standard Void"))), IF(H242="Line Item Void", IF(I242="Cash", "EXCEPTION: Cash Line Void", "Standard Line Void"), IF(H242="No-Sale Drawer Opening", "DRAWER OPENING", "Standard Sale")))</f>
        <v/>
      </c>
    </row>
    <row r="243" ht="18" customHeight="1">
      <c r="A243" s="12" t="inlineStr">
        <is>
          <t>EVT-10199</t>
        </is>
      </c>
      <c r="B243" s="12" t="inlineStr">
        <is>
          <t>TX-80199</t>
        </is>
      </c>
      <c r="C243" s="24" t="n">
        <v>46307.66675925926</v>
      </c>
      <c r="D243" s="12" t="inlineStr">
        <is>
          <t>BR-04</t>
        </is>
      </c>
      <c r="E243" s="12" t="inlineStr">
        <is>
          <t>T-02</t>
        </is>
      </c>
      <c r="F243" s="12" t="inlineStr">
        <is>
          <t>C-114</t>
        </is>
      </c>
      <c r="G243" s="12" t="inlineStr">
        <is>
          <t>NONE</t>
        </is>
      </c>
      <c r="H243" s="11" t="inlineStr">
        <is>
          <t>Sale Tender</t>
        </is>
      </c>
      <c r="I243" s="12" t="inlineStr">
        <is>
          <t>Cash</t>
        </is>
      </c>
      <c r="J243" s="20" t="n">
        <v>2</v>
      </c>
      <c r="K243" s="25" t="n">
        <v>29.52</v>
      </c>
      <c r="L243" s="25" t="n">
        <v>29.52</v>
      </c>
      <c r="M243" s="24" t="n">
        <v>46307.66635416666</v>
      </c>
      <c r="N243" s="26">
        <f>IFERROR(IF(OR(ISBLANK(M243), M243="", ISBLANK(C243), C243=""), 0, MAX(0, ROUND((C243-M243)*86400, 0))), 0)</f>
        <v/>
      </c>
      <c r="O243" s="11">
        <f>IF(H243="Post-Bill Void", IF(AND(G243="M-904", I243="Cash"), "EXCEPTION: Concurrent Cash Void", IF(AND(I243="Cash", N243&gt;120), "CRITICAL: Delayed Cash Void", IF(N243&gt;120, "EXCEPTION: Delayed Void", "Standard Void"))), IF(H243="Line Item Void", IF(I243="Cash", "EXCEPTION: Cash Line Void", "Standard Line Void"), IF(H243="No-Sale Drawer Opening", "DRAWER OPENING", "Standard Sale")))</f>
        <v/>
      </c>
    </row>
    <row r="244" ht="18" customHeight="1">
      <c r="A244" s="15" t="inlineStr">
        <is>
          <t>EVT-10200</t>
        </is>
      </c>
      <c r="B244" s="15" t="inlineStr">
        <is>
          <t>TX-80200</t>
        </is>
      </c>
      <c r="C244" s="27" t="n">
        <v>46307.6740162037</v>
      </c>
      <c r="D244" s="15" t="inlineStr">
        <is>
          <t>BR-04</t>
        </is>
      </c>
      <c r="E244" s="15" t="inlineStr">
        <is>
          <t>T-02</t>
        </is>
      </c>
      <c r="F244" s="15" t="inlineStr">
        <is>
          <t>C-113</t>
        </is>
      </c>
      <c r="G244" s="15" t="inlineStr">
        <is>
          <t>NONE</t>
        </is>
      </c>
      <c r="H244" s="14" t="inlineStr">
        <is>
          <t>Sale Tender</t>
        </is>
      </c>
      <c r="I244" s="15" t="inlineStr">
        <is>
          <t>Cash</t>
        </is>
      </c>
      <c r="J244" s="17" t="n">
        <v>1</v>
      </c>
      <c r="K244" s="28" t="n">
        <v>10.29</v>
      </c>
      <c r="L244" s="28" t="n">
        <v>10.29</v>
      </c>
      <c r="M244" s="27" t="n">
        <v>46307.67337962963</v>
      </c>
      <c r="N244" s="29">
        <f>IFERROR(IF(OR(ISBLANK(M244), M244="", ISBLANK(C244), C244=""), 0, MAX(0, ROUND((C244-M244)*86400, 0))), 0)</f>
        <v/>
      </c>
      <c r="O244" s="14">
        <f>IF(H244="Post-Bill Void", IF(AND(G244="M-904", I244="Cash"), "EXCEPTION: Concurrent Cash Void", IF(AND(I244="Cash", N244&gt;120), "CRITICAL: Delayed Cash Void", IF(N244&gt;120, "EXCEPTION: Delayed Void", "Standard Void"))), IF(H244="Line Item Void", IF(I244="Cash", "EXCEPTION: Cash Line Void", "Standard Line Void"), IF(H244="No-Sale Drawer Opening", "DRAWER OPENING", "Standard Sale")))</f>
        <v/>
      </c>
    </row>
    <row r="245" ht="18" customHeight="1">
      <c r="A245" s="12" t="inlineStr">
        <is>
          <t>EVT-10201</t>
        </is>
      </c>
      <c r="B245" s="12" t="inlineStr">
        <is>
          <t>TX-80201</t>
        </is>
      </c>
      <c r="C245" s="24" t="n">
        <v>46307.68101851852</v>
      </c>
      <c r="D245" s="12" t="inlineStr">
        <is>
          <t>BR-04</t>
        </is>
      </c>
      <c r="E245" s="12" t="inlineStr">
        <is>
          <t>T-01</t>
        </is>
      </c>
      <c r="F245" s="12" t="inlineStr">
        <is>
          <t>C-113</t>
        </is>
      </c>
      <c r="G245" s="12" t="inlineStr">
        <is>
          <t>NONE</t>
        </is>
      </c>
      <c r="H245" s="11" t="inlineStr">
        <is>
          <t>Sale Tender</t>
        </is>
      </c>
      <c r="I245" s="12" t="inlineStr">
        <is>
          <t>Card</t>
        </is>
      </c>
      <c r="J245" s="20" t="n">
        <v>1</v>
      </c>
      <c r="K245" s="25" t="n">
        <v>13.24</v>
      </c>
      <c r="L245" s="25" t="n">
        <v>13.24</v>
      </c>
      <c r="M245" s="24" t="n">
        <v>46307.68</v>
      </c>
      <c r="N245" s="26">
        <f>IFERROR(IF(OR(ISBLANK(M245), M245="", ISBLANK(C245), C245=""), 0, MAX(0, ROUND((C245-M245)*86400, 0))), 0)</f>
        <v/>
      </c>
      <c r="O245" s="11">
        <f>IF(H245="Post-Bill Void", IF(AND(G245="M-904", I245="Cash"), "EXCEPTION: Concurrent Cash Void", IF(AND(I245="Cash", N245&gt;120), "CRITICAL: Delayed Cash Void", IF(N245&gt;120, "EXCEPTION: Delayed Void", "Standard Void"))), IF(H245="Line Item Void", IF(I245="Cash", "EXCEPTION: Cash Line Void", "Standard Line Void"), IF(H245="No-Sale Drawer Opening", "DRAWER OPENING", "Standard Sale")))</f>
        <v/>
      </c>
    </row>
    <row r="246" ht="18" customHeight="1">
      <c r="A246" s="15" t="inlineStr">
        <is>
          <t>EVT-10202</t>
        </is>
      </c>
      <c r="B246" s="15" t="inlineStr">
        <is>
          <t>TX-80202</t>
        </is>
      </c>
      <c r="C246" s="27" t="n">
        <v>46307.68791666667</v>
      </c>
      <c r="D246" s="15" t="inlineStr">
        <is>
          <t>BR-02</t>
        </is>
      </c>
      <c r="E246" s="15" t="inlineStr">
        <is>
          <t>T-01</t>
        </is>
      </c>
      <c r="F246" s="15" t="inlineStr">
        <is>
          <t>C-106</t>
        </is>
      </c>
      <c r="G246" s="15" t="inlineStr">
        <is>
          <t>NONE</t>
        </is>
      </c>
      <c r="H246" s="14" t="inlineStr">
        <is>
          <t>Sale Tender</t>
        </is>
      </c>
      <c r="I246" s="15" t="inlineStr">
        <is>
          <t>Card</t>
        </is>
      </c>
      <c r="J246" s="17" t="n">
        <v>2</v>
      </c>
      <c r="K246" s="28" t="n">
        <v>25.56</v>
      </c>
      <c r="L246" s="28" t="n">
        <v>25.56</v>
      </c>
      <c r="M246" s="27" t="n">
        <v>46307.68762731482</v>
      </c>
      <c r="N246" s="29">
        <f>IFERROR(IF(OR(ISBLANK(M246), M246="", ISBLANK(C246), C246=""), 0, MAX(0, ROUND((C246-M246)*86400, 0))), 0)</f>
        <v/>
      </c>
      <c r="O246" s="14">
        <f>IF(H246="Post-Bill Void", IF(AND(G246="M-904", I246="Cash"), "EXCEPTION: Concurrent Cash Void", IF(AND(I246="Cash", N246&gt;120), "CRITICAL: Delayed Cash Void", IF(N246&gt;120, "EXCEPTION: Delayed Void", "Standard Void"))), IF(H246="Line Item Void", IF(I246="Cash", "EXCEPTION: Cash Line Void", "Standard Line Void"), IF(H246="No-Sale Drawer Opening", "DRAWER OPENING", "Standard Sale")))</f>
        <v/>
      </c>
    </row>
    <row r="247" ht="18" customHeight="1">
      <c r="A247" s="12" t="inlineStr">
        <is>
          <t>EVT-10203</t>
        </is>
      </c>
      <c r="B247" s="12" t="inlineStr">
        <is>
          <t>TX-80203</t>
        </is>
      </c>
      <c r="C247" s="24" t="n">
        <v>46307.69457175926</v>
      </c>
      <c r="D247" s="12" t="inlineStr">
        <is>
          <t>BR-01</t>
        </is>
      </c>
      <c r="E247" s="12" t="inlineStr">
        <is>
          <t>T-01</t>
        </is>
      </c>
      <c r="F247" s="12" t="inlineStr">
        <is>
          <t>C-103</t>
        </is>
      </c>
      <c r="G247" s="12" t="inlineStr">
        <is>
          <t>NONE</t>
        </is>
      </c>
      <c r="H247" s="11" t="inlineStr">
        <is>
          <t>Sale Tender</t>
        </is>
      </c>
      <c r="I247" s="12" t="inlineStr">
        <is>
          <t>Card</t>
        </is>
      </c>
      <c r="J247" s="20" t="n">
        <v>5</v>
      </c>
      <c r="K247" s="25" t="n">
        <v>63.28</v>
      </c>
      <c r="L247" s="25" t="n">
        <v>63.28</v>
      </c>
      <c r="M247" s="24" t="n">
        <v>46307.69350694444</v>
      </c>
      <c r="N247" s="26">
        <f>IFERROR(IF(OR(ISBLANK(M247), M247="", ISBLANK(C247), C247=""), 0, MAX(0, ROUND((C247-M247)*86400, 0))), 0)</f>
        <v/>
      </c>
      <c r="O247" s="11">
        <f>IF(H247="Post-Bill Void", IF(AND(G247="M-904", I247="Cash"), "EXCEPTION: Concurrent Cash Void", IF(AND(I247="Cash", N247&gt;120), "CRITICAL: Delayed Cash Void", IF(N247&gt;120, "EXCEPTION: Delayed Void", "Standard Void"))), IF(H247="Line Item Void", IF(I247="Cash", "EXCEPTION: Cash Line Void", "Standard Line Void"), IF(H247="No-Sale Drawer Opening", "DRAWER OPENING", "Standard Sale")))</f>
        <v/>
      </c>
    </row>
    <row r="248" ht="18" customHeight="1">
      <c r="A248" s="15" t="inlineStr">
        <is>
          <t>EVT-10204</t>
        </is>
      </c>
      <c r="B248" s="15" t="inlineStr">
        <is>
          <t>TX-80204</t>
        </is>
      </c>
      <c r="C248" s="27" t="n">
        <v>46307.70166666667</v>
      </c>
      <c r="D248" s="15" t="inlineStr">
        <is>
          <t>BR-04</t>
        </is>
      </c>
      <c r="E248" s="15" t="inlineStr">
        <is>
          <t>T-02</t>
        </is>
      </c>
      <c r="F248" s="15" t="inlineStr">
        <is>
          <t>C-113</t>
        </is>
      </c>
      <c r="G248" s="15" t="inlineStr">
        <is>
          <t>NONE</t>
        </is>
      </c>
      <c r="H248" s="14" t="inlineStr">
        <is>
          <t>Sale Tender</t>
        </is>
      </c>
      <c r="I248" s="15" t="inlineStr">
        <is>
          <t>Cash</t>
        </is>
      </c>
      <c r="J248" s="17" t="n">
        <v>1</v>
      </c>
      <c r="K248" s="28" t="n">
        <v>11.18</v>
      </c>
      <c r="L248" s="28" t="n">
        <v>11.18</v>
      </c>
      <c r="M248" s="27" t="n">
        <v>46307.70083333334</v>
      </c>
      <c r="N248" s="29">
        <f>IFERROR(IF(OR(ISBLANK(M248), M248="", ISBLANK(C248), C248=""), 0, MAX(0, ROUND((C248-M248)*86400, 0))), 0)</f>
        <v/>
      </c>
      <c r="O248" s="14">
        <f>IF(H248="Post-Bill Void", IF(AND(G248="M-904", I248="Cash"), "EXCEPTION: Concurrent Cash Void", IF(AND(I248="Cash", N248&gt;120), "CRITICAL: Delayed Cash Void", IF(N248&gt;120, "EXCEPTION: Delayed Void", "Standard Void"))), IF(H248="Line Item Void", IF(I248="Cash", "EXCEPTION: Cash Line Void", "Standard Line Void"), IF(H248="No-Sale Drawer Opening", "DRAWER OPENING", "Standard Sale")))</f>
        <v/>
      </c>
    </row>
    <row r="249" ht="18" customHeight="1">
      <c r="A249" s="12" t="inlineStr">
        <is>
          <t>EVT-10205</t>
        </is>
      </c>
      <c r="B249" s="12" t="inlineStr">
        <is>
          <t>TX-80205</t>
        </is>
      </c>
      <c r="C249" s="24" t="n">
        <v>46307.70837962963</v>
      </c>
      <c r="D249" s="12" t="inlineStr">
        <is>
          <t>BR-03</t>
        </is>
      </c>
      <c r="E249" s="12" t="inlineStr">
        <is>
          <t>T-02</t>
        </is>
      </c>
      <c r="F249" s="12" t="inlineStr">
        <is>
          <t>C-110</t>
        </is>
      </c>
      <c r="G249" s="12" t="inlineStr">
        <is>
          <t>NONE</t>
        </is>
      </c>
      <c r="H249" s="11" t="inlineStr">
        <is>
          <t>Sale Tender</t>
        </is>
      </c>
      <c r="I249" s="12" t="inlineStr">
        <is>
          <t>Card</t>
        </is>
      </c>
      <c r="J249" s="20" t="n">
        <v>6</v>
      </c>
      <c r="K249" s="25" t="n">
        <v>85.05</v>
      </c>
      <c r="L249" s="25" t="n">
        <v>85.05</v>
      </c>
      <c r="M249" s="24" t="n">
        <v>46307.70793981481</v>
      </c>
      <c r="N249" s="26">
        <f>IFERROR(IF(OR(ISBLANK(M249), M249="", ISBLANK(C249), C249=""), 0, MAX(0, ROUND((C249-M249)*86400, 0))), 0)</f>
        <v/>
      </c>
      <c r="O249" s="11">
        <f>IF(H249="Post-Bill Void", IF(AND(G249="M-904", I249="Cash"), "EXCEPTION: Concurrent Cash Void", IF(AND(I249="Cash", N249&gt;120), "CRITICAL: Delayed Cash Void", IF(N249&gt;120, "EXCEPTION: Delayed Void", "Standard Void"))), IF(H249="Line Item Void", IF(I249="Cash", "EXCEPTION: Cash Line Void", "Standard Line Void"), IF(H249="No-Sale Drawer Opening", "DRAWER OPENING", "Standard Sale")))</f>
        <v/>
      </c>
    </row>
    <row r="250" ht="18" customHeight="1">
      <c r="A250" s="15" t="inlineStr">
        <is>
          <t>EVT-10206</t>
        </is>
      </c>
      <c r="B250" s="15" t="inlineStr">
        <is>
          <t>TX-80206</t>
        </is>
      </c>
      <c r="C250" s="27" t="n">
        <v>46307.71537037037</v>
      </c>
      <c r="D250" s="15" t="inlineStr">
        <is>
          <t>BR-01</t>
        </is>
      </c>
      <c r="E250" s="15" t="inlineStr">
        <is>
          <t>T-01</t>
        </is>
      </c>
      <c r="F250" s="15" t="inlineStr">
        <is>
          <t>C-103</t>
        </is>
      </c>
      <c r="G250" s="15" t="inlineStr">
        <is>
          <t>NONE</t>
        </is>
      </c>
      <c r="H250" s="14" t="inlineStr">
        <is>
          <t>Sale Tender</t>
        </is>
      </c>
      <c r="I250" s="15" t="inlineStr">
        <is>
          <t>Card</t>
        </is>
      </c>
      <c r="J250" s="17" t="n">
        <v>6</v>
      </c>
      <c r="K250" s="28" t="n">
        <v>71.91</v>
      </c>
      <c r="L250" s="28" t="n">
        <v>71.91</v>
      </c>
      <c r="M250" s="27" t="n">
        <v>46307.71482638889</v>
      </c>
      <c r="N250" s="29">
        <f>IFERROR(IF(OR(ISBLANK(M250), M250="", ISBLANK(C250), C250=""), 0, MAX(0, ROUND((C250-M250)*86400, 0))), 0)</f>
        <v/>
      </c>
      <c r="O250" s="14">
        <f>IF(H250="Post-Bill Void", IF(AND(G250="M-904", I250="Cash"), "EXCEPTION: Concurrent Cash Void", IF(AND(I250="Cash", N250&gt;120), "CRITICAL: Delayed Cash Void", IF(N250&gt;120, "EXCEPTION: Delayed Void", "Standard Void"))), IF(H250="Line Item Void", IF(I250="Cash", "EXCEPTION: Cash Line Void", "Standard Line Void"), IF(H250="No-Sale Drawer Opening", "DRAWER OPENING", "Standard Sale")))</f>
        <v/>
      </c>
    </row>
    <row r="251" ht="18" customHeight="1">
      <c r="A251" s="12" t="inlineStr">
        <is>
          <t>EVT-10207</t>
        </is>
      </c>
      <c r="B251" s="12" t="inlineStr">
        <is>
          <t>TX-80207</t>
        </is>
      </c>
      <c r="C251" s="24" t="n">
        <v>46307.72273148148</v>
      </c>
      <c r="D251" s="12" t="inlineStr">
        <is>
          <t>BR-04</t>
        </is>
      </c>
      <c r="E251" s="12" t="inlineStr">
        <is>
          <t>T-01</t>
        </is>
      </c>
      <c r="F251" s="12" t="inlineStr">
        <is>
          <t>C-115</t>
        </is>
      </c>
      <c r="G251" s="12" t="inlineStr">
        <is>
          <t>NONE</t>
        </is>
      </c>
      <c r="H251" s="11" t="inlineStr">
        <is>
          <t>Sale Tender</t>
        </is>
      </c>
      <c r="I251" s="12" t="inlineStr">
        <is>
          <t>Cash</t>
        </is>
      </c>
      <c r="J251" s="20" t="n">
        <v>4</v>
      </c>
      <c r="K251" s="25" t="n">
        <v>35.11</v>
      </c>
      <c r="L251" s="25" t="n">
        <v>35.11</v>
      </c>
      <c r="M251" s="24" t="n">
        <v>46307.72224537037</v>
      </c>
      <c r="N251" s="26">
        <f>IFERROR(IF(OR(ISBLANK(M251), M251="", ISBLANK(C251), C251=""), 0, MAX(0, ROUND((C251-M251)*86400, 0))), 0)</f>
        <v/>
      </c>
      <c r="O251" s="11">
        <f>IF(H251="Post-Bill Void", IF(AND(G251="M-904", I251="Cash"), "EXCEPTION: Concurrent Cash Void", IF(AND(I251="Cash", N251&gt;120), "CRITICAL: Delayed Cash Void", IF(N251&gt;120, "EXCEPTION: Delayed Void", "Standard Void"))), IF(H251="Line Item Void", IF(I251="Cash", "EXCEPTION: Cash Line Void", "Standard Line Void"), IF(H251="No-Sale Drawer Opening", "DRAWER OPENING", "Standard Sale")))</f>
        <v/>
      </c>
    </row>
    <row r="252" ht="18" customHeight="1">
      <c r="A252" s="15" t="inlineStr">
        <is>
          <t>EVT-10208</t>
        </is>
      </c>
      <c r="B252" s="15" t="inlineStr">
        <is>
          <t>TX-80208</t>
        </is>
      </c>
      <c r="C252" s="27" t="n">
        <v>46307.72930555556</v>
      </c>
      <c r="D252" s="15" t="inlineStr">
        <is>
          <t>BR-01</t>
        </is>
      </c>
      <c r="E252" s="15" t="inlineStr">
        <is>
          <t>T-02</t>
        </is>
      </c>
      <c r="F252" s="15" t="inlineStr">
        <is>
          <t>C-102</t>
        </is>
      </c>
      <c r="G252" s="15" t="inlineStr">
        <is>
          <t>NONE</t>
        </is>
      </c>
      <c r="H252" s="14" t="inlineStr">
        <is>
          <t>Sale Tender</t>
        </is>
      </c>
      <c r="I252" s="15" t="inlineStr">
        <is>
          <t>Delivery Aggregator</t>
        </is>
      </c>
      <c r="J252" s="17" t="n">
        <v>5</v>
      </c>
      <c r="K252" s="28" t="n">
        <v>57.43</v>
      </c>
      <c r="L252" s="28" t="n">
        <v>57.43</v>
      </c>
      <c r="M252" s="27" t="n">
        <v>46307.72855324074</v>
      </c>
      <c r="N252" s="29">
        <f>IFERROR(IF(OR(ISBLANK(M252), M252="", ISBLANK(C252), C252=""), 0, MAX(0, ROUND((C252-M252)*86400, 0))), 0)</f>
        <v/>
      </c>
      <c r="O252" s="14">
        <f>IF(H252="Post-Bill Void", IF(AND(G252="M-904", I252="Cash"), "EXCEPTION: Concurrent Cash Void", IF(AND(I252="Cash", N252&gt;120), "CRITICAL: Delayed Cash Void", IF(N252&gt;120, "EXCEPTION: Delayed Void", "Standard Void"))), IF(H252="Line Item Void", IF(I252="Cash", "EXCEPTION: Cash Line Void", "Standard Line Void"), IF(H252="No-Sale Drawer Opening", "DRAWER OPENING", "Standard Sale")))</f>
        <v/>
      </c>
    </row>
    <row r="253" ht="18" customHeight="1">
      <c r="A253" s="12" t="inlineStr">
        <is>
          <t>EVT-10209</t>
        </is>
      </c>
      <c r="B253" s="12" t="inlineStr">
        <is>
          <t>TX-80209</t>
        </is>
      </c>
      <c r="C253" s="24" t="n">
        <v>46307.73671296296</v>
      </c>
      <c r="D253" s="12" t="inlineStr">
        <is>
          <t>BR-04</t>
        </is>
      </c>
      <c r="E253" s="12" t="inlineStr">
        <is>
          <t>T-01</t>
        </is>
      </c>
      <c r="F253" s="12" t="inlineStr">
        <is>
          <t>C-114</t>
        </is>
      </c>
      <c r="G253" s="12" t="inlineStr">
        <is>
          <t>NONE</t>
        </is>
      </c>
      <c r="H253" s="11" t="inlineStr">
        <is>
          <t>Sale Tender</t>
        </is>
      </c>
      <c r="I253" s="12" t="inlineStr">
        <is>
          <t>Cash</t>
        </is>
      </c>
      <c r="J253" s="20" t="n">
        <v>1</v>
      </c>
      <c r="K253" s="25" t="n">
        <v>14.99</v>
      </c>
      <c r="L253" s="25" t="n">
        <v>14.99</v>
      </c>
      <c r="M253" s="24" t="n">
        <v>46307.73614583333</v>
      </c>
      <c r="N253" s="26">
        <f>IFERROR(IF(OR(ISBLANK(M253), M253="", ISBLANK(C253), C253=""), 0, MAX(0, ROUND((C253-M253)*86400, 0))), 0)</f>
        <v/>
      </c>
      <c r="O253" s="11">
        <f>IF(H253="Post-Bill Void", IF(AND(G253="M-904", I253="Cash"), "EXCEPTION: Concurrent Cash Void", IF(AND(I253="Cash", N253&gt;120), "CRITICAL: Delayed Cash Void", IF(N253&gt;120, "EXCEPTION: Delayed Void", "Standard Void"))), IF(H253="Line Item Void", IF(I253="Cash", "EXCEPTION: Cash Line Void", "Standard Line Void"), IF(H253="No-Sale Drawer Opening", "DRAWER OPENING", "Standard Sale")))</f>
        <v/>
      </c>
    </row>
    <row r="254" ht="18" customHeight="1">
      <c r="A254" s="15" t="inlineStr">
        <is>
          <t>EVT-10210</t>
        </is>
      </c>
      <c r="B254" s="15" t="inlineStr">
        <is>
          <t>TX-80210</t>
        </is>
      </c>
      <c r="C254" s="27" t="n">
        <v>46307.74329861111</v>
      </c>
      <c r="D254" s="15" t="inlineStr">
        <is>
          <t>BR-03</t>
        </is>
      </c>
      <c r="E254" s="15" t="inlineStr">
        <is>
          <t>T-02</t>
        </is>
      </c>
      <c r="F254" s="15" t="inlineStr">
        <is>
          <t>C-109</t>
        </is>
      </c>
      <c r="G254" s="15" t="inlineStr">
        <is>
          <t>NONE</t>
        </is>
      </c>
      <c r="H254" s="14" t="inlineStr">
        <is>
          <t>Sale Tender</t>
        </is>
      </c>
      <c r="I254" s="15" t="inlineStr">
        <is>
          <t>Delivery Aggregator</t>
        </is>
      </c>
      <c r="J254" s="17" t="n">
        <v>6</v>
      </c>
      <c r="K254" s="28" t="n">
        <v>70.79000000000001</v>
      </c>
      <c r="L254" s="28" t="n">
        <v>70.79000000000001</v>
      </c>
      <c r="M254" s="27" t="n">
        <v>46307.74237268518</v>
      </c>
      <c r="N254" s="29">
        <f>IFERROR(IF(OR(ISBLANK(M254), M254="", ISBLANK(C254), C254=""), 0, MAX(0, ROUND((C254-M254)*86400, 0))), 0)</f>
        <v/>
      </c>
      <c r="O254" s="14">
        <f>IF(H254="Post-Bill Void", IF(AND(G254="M-904", I254="Cash"), "EXCEPTION: Concurrent Cash Void", IF(AND(I254="Cash", N254&gt;120), "CRITICAL: Delayed Cash Void", IF(N254&gt;120, "EXCEPTION: Delayed Void", "Standard Void"))), IF(H254="Line Item Void", IF(I254="Cash", "EXCEPTION: Cash Line Void", "Standard Line Void"), IF(H254="No-Sale Drawer Opening", "DRAWER OPENING", "Standard Sale")))</f>
        <v/>
      </c>
    </row>
    <row r="255" ht="18" customHeight="1">
      <c r="A255" s="12" t="inlineStr">
        <is>
          <t>EVT-10211</t>
        </is>
      </c>
      <c r="B255" s="12" t="inlineStr">
        <is>
          <t>TX-80211</t>
        </is>
      </c>
      <c r="C255" s="24" t="n">
        <v>46307.75027777778</v>
      </c>
      <c r="D255" s="12" t="inlineStr">
        <is>
          <t>BR-03</t>
        </is>
      </c>
      <c r="E255" s="12" t="inlineStr">
        <is>
          <t>T-01</t>
        </is>
      </c>
      <c r="F255" s="12" t="inlineStr">
        <is>
          <t>C-110</t>
        </is>
      </c>
      <c r="G255" s="12" t="inlineStr">
        <is>
          <t>NONE</t>
        </is>
      </c>
      <c r="H255" s="11" t="inlineStr">
        <is>
          <t>Sale Tender</t>
        </is>
      </c>
      <c r="I255" s="12" t="inlineStr">
        <is>
          <t>Card</t>
        </is>
      </c>
      <c r="J255" s="20" t="n">
        <v>5</v>
      </c>
      <c r="K255" s="25" t="n">
        <v>52.5</v>
      </c>
      <c r="L255" s="25" t="n">
        <v>52.5</v>
      </c>
      <c r="M255" s="24" t="n">
        <v>46307.74925925926</v>
      </c>
      <c r="N255" s="26">
        <f>IFERROR(IF(OR(ISBLANK(M255), M255="", ISBLANK(C255), C255=""), 0, MAX(0, ROUND((C255-M255)*86400, 0))), 0)</f>
        <v/>
      </c>
      <c r="O255" s="11">
        <f>IF(H255="Post-Bill Void", IF(AND(G255="M-904", I255="Cash"), "EXCEPTION: Concurrent Cash Void", IF(AND(I255="Cash", N255&gt;120), "CRITICAL: Delayed Cash Void", IF(N255&gt;120, "EXCEPTION: Delayed Void", "Standard Void"))), IF(H255="Line Item Void", IF(I255="Cash", "EXCEPTION: Cash Line Void", "Standard Line Void"), IF(H255="No-Sale Drawer Opening", "DRAWER OPENING", "Standard Sale")))</f>
        <v/>
      </c>
    </row>
    <row r="256" ht="18" customHeight="1">
      <c r="A256" s="15" t="inlineStr">
        <is>
          <t>EVT-10212</t>
        </is>
      </c>
      <c r="B256" s="15" t="inlineStr">
        <is>
          <t>TX-80212</t>
        </is>
      </c>
      <c r="C256" s="27" t="n">
        <v>46307.75700231481</v>
      </c>
      <c r="D256" s="15" t="inlineStr">
        <is>
          <t>BR-04</t>
        </is>
      </c>
      <c r="E256" s="15" t="inlineStr">
        <is>
          <t>T-01</t>
        </is>
      </c>
      <c r="F256" s="15" t="inlineStr">
        <is>
          <t>C-113</t>
        </is>
      </c>
      <c r="G256" s="15" t="inlineStr">
        <is>
          <t>NONE</t>
        </is>
      </c>
      <c r="H256" s="14" t="inlineStr">
        <is>
          <t>Sale Tender</t>
        </is>
      </c>
      <c r="I256" s="15" t="inlineStr">
        <is>
          <t>Card</t>
        </is>
      </c>
      <c r="J256" s="17" t="n">
        <v>3</v>
      </c>
      <c r="K256" s="28" t="n">
        <v>27.81</v>
      </c>
      <c r="L256" s="28" t="n">
        <v>27.81</v>
      </c>
      <c r="M256" s="27" t="n">
        <v>46307.75644675926</v>
      </c>
      <c r="N256" s="29">
        <f>IFERROR(IF(OR(ISBLANK(M256), M256="", ISBLANK(C256), C256=""), 0, MAX(0, ROUND((C256-M256)*86400, 0))), 0)</f>
        <v/>
      </c>
      <c r="O256" s="14">
        <f>IF(H256="Post-Bill Void", IF(AND(G256="M-904", I256="Cash"), "EXCEPTION: Concurrent Cash Void", IF(AND(I256="Cash", N256&gt;120), "CRITICAL: Delayed Cash Void", IF(N256&gt;120, "EXCEPTION: Delayed Void", "Standard Void"))), IF(H256="Line Item Void", IF(I256="Cash", "EXCEPTION: Cash Line Void", "Standard Line Void"), IF(H256="No-Sale Drawer Opening", "DRAWER OPENING", "Standard Sale")))</f>
        <v/>
      </c>
    </row>
    <row r="257" ht="18" customHeight="1">
      <c r="A257" s="12" t="inlineStr">
        <is>
          <t>EVT-10213</t>
        </is>
      </c>
      <c r="B257" s="12" t="inlineStr">
        <is>
          <t>TX-80213</t>
        </is>
      </c>
      <c r="C257" s="24" t="n">
        <v>46307.76412037037</v>
      </c>
      <c r="D257" s="12" t="inlineStr">
        <is>
          <t>BR-03</t>
        </is>
      </c>
      <c r="E257" s="12" t="inlineStr">
        <is>
          <t>T-01</t>
        </is>
      </c>
      <c r="F257" s="12" t="inlineStr">
        <is>
          <t>C-111</t>
        </is>
      </c>
      <c r="G257" s="12" t="inlineStr">
        <is>
          <t>NONE</t>
        </is>
      </c>
      <c r="H257" s="11" t="inlineStr">
        <is>
          <t>Sale Tender</t>
        </is>
      </c>
      <c r="I257" s="12" t="inlineStr">
        <is>
          <t>Cash</t>
        </is>
      </c>
      <c r="J257" s="20" t="n">
        <v>4</v>
      </c>
      <c r="K257" s="25" t="n">
        <v>44.55</v>
      </c>
      <c r="L257" s="25" t="n">
        <v>44.55</v>
      </c>
      <c r="M257" s="24" t="n">
        <v>46307.76320601852</v>
      </c>
      <c r="N257" s="26">
        <f>IFERROR(IF(OR(ISBLANK(M257), M257="", ISBLANK(C257), C257=""), 0, MAX(0, ROUND((C257-M257)*86400, 0))), 0)</f>
        <v/>
      </c>
      <c r="O257" s="11">
        <f>IF(H257="Post-Bill Void", IF(AND(G257="M-904", I257="Cash"), "EXCEPTION: Concurrent Cash Void", IF(AND(I257="Cash", N257&gt;120), "CRITICAL: Delayed Cash Void", IF(N257&gt;120, "EXCEPTION: Delayed Void", "Standard Void"))), IF(H257="Line Item Void", IF(I257="Cash", "EXCEPTION: Cash Line Void", "Standard Line Void"), IF(H257="No-Sale Drawer Opening", "DRAWER OPENING", "Standard Sale")))</f>
        <v/>
      </c>
    </row>
    <row r="258" ht="18" customHeight="1">
      <c r="A258" s="15" t="inlineStr">
        <is>
          <t>EVT-10214</t>
        </is>
      </c>
      <c r="B258" s="15" t="inlineStr">
        <is>
          <t>TX-80214</t>
        </is>
      </c>
      <c r="C258" s="27" t="n">
        <v>46307.77085648148</v>
      </c>
      <c r="D258" s="15" t="inlineStr">
        <is>
          <t>BR-03</t>
        </is>
      </c>
      <c r="E258" s="15" t="inlineStr">
        <is>
          <t>T-01</t>
        </is>
      </c>
      <c r="F258" s="15" t="inlineStr">
        <is>
          <t>C-112</t>
        </is>
      </c>
      <c r="G258" s="15" t="inlineStr">
        <is>
          <t>NONE</t>
        </is>
      </c>
      <c r="H258" s="14" t="inlineStr">
        <is>
          <t>Sale Tender</t>
        </is>
      </c>
      <c r="I258" s="15" t="inlineStr">
        <is>
          <t>Cash</t>
        </is>
      </c>
      <c r="J258" s="17" t="n">
        <v>6</v>
      </c>
      <c r="K258" s="28" t="n">
        <v>69.28</v>
      </c>
      <c r="L258" s="28" t="n">
        <v>69.28</v>
      </c>
      <c r="M258" s="27" t="n">
        <v>46307.77048611111</v>
      </c>
      <c r="N258" s="29">
        <f>IFERROR(IF(OR(ISBLANK(M258), M258="", ISBLANK(C258), C258=""), 0, MAX(0, ROUND((C258-M258)*86400, 0))), 0)</f>
        <v/>
      </c>
      <c r="O258" s="14">
        <f>IF(H258="Post-Bill Void", IF(AND(G258="M-904", I258="Cash"), "EXCEPTION: Concurrent Cash Void", IF(AND(I258="Cash", N258&gt;120), "CRITICAL: Delayed Cash Void", IF(N258&gt;120, "EXCEPTION: Delayed Void", "Standard Void"))), IF(H258="Line Item Void", IF(I258="Cash", "EXCEPTION: Cash Line Void", "Standard Line Void"), IF(H258="No-Sale Drawer Opening", "DRAWER OPENING", "Standard Sale")))</f>
        <v/>
      </c>
    </row>
    <row r="259" ht="18" customHeight="1">
      <c r="A259" s="12" t="inlineStr">
        <is>
          <t>EVT-10215</t>
        </is>
      </c>
      <c r="B259" s="12" t="inlineStr">
        <is>
          <t>TX-80215</t>
        </is>
      </c>
      <c r="C259" s="24" t="n">
        <v>46307.77814814815</v>
      </c>
      <c r="D259" s="12" t="inlineStr">
        <is>
          <t>BR-02</t>
        </is>
      </c>
      <c r="E259" s="12" t="inlineStr">
        <is>
          <t>T-01</t>
        </is>
      </c>
      <c r="F259" s="12" t="inlineStr">
        <is>
          <t>C-105</t>
        </is>
      </c>
      <c r="G259" s="12" t="inlineStr">
        <is>
          <t>NONE</t>
        </is>
      </c>
      <c r="H259" s="11" t="inlineStr">
        <is>
          <t>Sale Tender</t>
        </is>
      </c>
      <c r="I259" s="12" t="inlineStr">
        <is>
          <t>Cash</t>
        </is>
      </c>
      <c r="J259" s="20" t="n">
        <v>1</v>
      </c>
      <c r="K259" s="25" t="n">
        <v>10.27</v>
      </c>
      <c r="L259" s="25" t="n">
        <v>10.27</v>
      </c>
      <c r="M259" s="24" t="n">
        <v>46307.77721064815</v>
      </c>
      <c r="N259" s="26">
        <f>IFERROR(IF(OR(ISBLANK(M259), M259="", ISBLANK(C259), C259=""), 0, MAX(0, ROUND((C259-M259)*86400, 0))), 0)</f>
        <v/>
      </c>
      <c r="O259" s="11">
        <f>IF(H259="Post-Bill Void", IF(AND(G259="M-904", I259="Cash"), "EXCEPTION: Concurrent Cash Void", IF(AND(I259="Cash", N259&gt;120), "CRITICAL: Delayed Cash Void", IF(N259&gt;120, "EXCEPTION: Delayed Void", "Standard Void"))), IF(H259="Line Item Void", IF(I259="Cash", "EXCEPTION: Cash Line Void", "Standard Line Void"), IF(H259="No-Sale Drawer Opening", "DRAWER OPENING", "Standard Sale")))</f>
        <v/>
      </c>
    </row>
    <row r="260" ht="18" customHeight="1">
      <c r="A260" s="15" t="inlineStr">
        <is>
          <t>EVT-10216</t>
        </is>
      </c>
      <c r="B260" s="15" t="inlineStr">
        <is>
          <t>TX-80216</t>
        </is>
      </c>
      <c r="C260" s="27" t="n">
        <v>46307.78519675926</v>
      </c>
      <c r="D260" s="15" t="inlineStr">
        <is>
          <t>BR-03</t>
        </is>
      </c>
      <c r="E260" s="15" t="inlineStr">
        <is>
          <t>T-01</t>
        </is>
      </c>
      <c r="F260" s="15" t="inlineStr">
        <is>
          <t>C-111</t>
        </is>
      </c>
      <c r="G260" s="15" t="inlineStr">
        <is>
          <t>NONE</t>
        </is>
      </c>
      <c r="H260" s="14" t="inlineStr">
        <is>
          <t>Sale Tender</t>
        </is>
      </c>
      <c r="I260" s="15" t="inlineStr">
        <is>
          <t>Card</t>
        </is>
      </c>
      <c r="J260" s="17" t="n">
        <v>6</v>
      </c>
      <c r="K260" s="28" t="n">
        <v>71.25</v>
      </c>
      <c r="L260" s="28" t="n">
        <v>71.25</v>
      </c>
      <c r="M260" s="27" t="n">
        <v>46307.78486111111</v>
      </c>
      <c r="N260" s="29">
        <f>IFERROR(IF(OR(ISBLANK(M260), M260="", ISBLANK(C260), C260=""), 0, MAX(0, ROUND((C260-M260)*86400, 0))), 0)</f>
        <v/>
      </c>
      <c r="O260" s="14">
        <f>IF(H260="Post-Bill Void", IF(AND(G260="M-904", I260="Cash"), "EXCEPTION: Concurrent Cash Void", IF(AND(I260="Cash", N260&gt;120), "CRITICAL: Delayed Cash Void", IF(N260&gt;120, "EXCEPTION: Delayed Void", "Standard Void"))), IF(H260="Line Item Void", IF(I260="Cash", "EXCEPTION: Cash Line Void", "Standard Line Void"), IF(H260="No-Sale Drawer Opening", "DRAWER OPENING", "Standard Sale")))</f>
        <v/>
      </c>
    </row>
    <row r="261" ht="18" customHeight="1">
      <c r="A261" s="12" t="inlineStr">
        <is>
          <t>EVT-10217</t>
        </is>
      </c>
      <c r="B261" s="12" t="inlineStr">
        <is>
          <t>TX-80217</t>
        </is>
      </c>
      <c r="C261" s="24" t="n">
        <v>46307.79193287037</v>
      </c>
      <c r="D261" s="12" t="inlineStr">
        <is>
          <t>BR-03</t>
        </is>
      </c>
      <c r="E261" s="12" t="inlineStr">
        <is>
          <t>T-02</t>
        </is>
      </c>
      <c r="F261" s="12" t="inlineStr">
        <is>
          <t>C-112</t>
        </is>
      </c>
      <c r="G261" s="12" t="inlineStr">
        <is>
          <t>NONE</t>
        </is>
      </c>
      <c r="H261" s="11" t="inlineStr">
        <is>
          <t>Sale Tender</t>
        </is>
      </c>
      <c r="I261" s="12" t="inlineStr">
        <is>
          <t>Card</t>
        </is>
      </c>
      <c r="J261" s="20" t="n">
        <v>4</v>
      </c>
      <c r="K261" s="25" t="n">
        <v>43.43</v>
      </c>
      <c r="L261" s="25" t="n">
        <v>43.43</v>
      </c>
      <c r="M261" s="24" t="n">
        <v>46307.79144675926</v>
      </c>
      <c r="N261" s="26">
        <f>IFERROR(IF(OR(ISBLANK(M261), M261="", ISBLANK(C261), C261=""), 0, MAX(0, ROUND((C261-M261)*86400, 0))), 0)</f>
        <v/>
      </c>
      <c r="O261" s="11">
        <f>IF(H261="Post-Bill Void", IF(AND(G261="M-904", I261="Cash"), "EXCEPTION: Concurrent Cash Void", IF(AND(I261="Cash", N261&gt;120), "CRITICAL: Delayed Cash Void", IF(N261&gt;120, "EXCEPTION: Delayed Void", "Standard Void"))), IF(H261="Line Item Void", IF(I261="Cash", "EXCEPTION: Cash Line Void", "Standard Line Void"), IF(H261="No-Sale Drawer Opening", "DRAWER OPENING", "Standard Sale")))</f>
        <v/>
      </c>
    </row>
    <row r="262" ht="18" customHeight="1">
      <c r="A262" s="15" t="inlineStr">
        <is>
          <t>EVT-10218</t>
        </is>
      </c>
      <c r="B262" s="15" t="inlineStr">
        <is>
          <t>TX-80218</t>
        </is>
      </c>
      <c r="C262" s="27" t="n">
        <v>46307.79880787037</v>
      </c>
      <c r="D262" s="15" t="inlineStr">
        <is>
          <t>BR-02</t>
        </is>
      </c>
      <c r="E262" s="15" t="inlineStr">
        <is>
          <t>T-01</t>
        </is>
      </c>
      <c r="F262" s="15" t="inlineStr">
        <is>
          <t>C-105</t>
        </is>
      </c>
      <c r="G262" s="15" t="inlineStr">
        <is>
          <t>NONE</t>
        </is>
      </c>
      <c r="H262" s="14" t="inlineStr">
        <is>
          <t>Sale Tender</t>
        </is>
      </c>
      <c r="I262" s="15" t="inlineStr">
        <is>
          <t>Card</t>
        </is>
      </c>
      <c r="J262" s="17" t="n">
        <v>4</v>
      </c>
      <c r="K262" s="28" t="n">
        <v>61.41</v>
      </c>
      <c r="L262" s="28" t="n">
        <v>61.41</v>
      </c>
      <c r="M262" s="27" t="n">
        <v>46307.79825231482</v>
      </c>
      <c r="N262" s="29">
        <f>IFERROR(IF(OR(ISBLANK(M262), M262="", ISBLANK(C262), C262=""), 0, MAX(0, ROUND((C262-M262)*86400, 0))), 0)</f>
        <v/>
      </c>
      <c r="O262" s="14">
        <f>IF(H262="Post-Bill Void", IF(AND(G262="M-904", I262="Cash"), "EXCEPTION: Concurrent Cash Void", IF(AND(I262="Cash", N262&gt;120), "CRITICAL: Delayed Cash Void", IF(N262&gt;120, "EXCEPTION: Delayed Void", "Standard Void"))), IF(H262="Line Item Void", IF(I262="Cash", "EXCEPTION: Cash Line Void", "Standard Line Void"), IF(H262="No-Sale Drawer Opening", "DRAWER OPENING", "Standard Sale")))</f>
        <v/>
      </c>
    </row>
    <row r="263" ht="18" customHeight="1">
      <c r="A263" s="12" t="inlineStr">
        <is>
          <t>EVT-10219</t>
        </is>
      </c>
      <c r="B263" s="12" t="inlineStr">
        <is>
          <t>TX-80219</t>
        </is>
      </c>
      <c r="C263" s="24" t="n">
        <v>46307.80563657408</v>
      </c>
      <c r="D263" s="12" t="inlineStr">
        <is>
          <t>BR-03</t>
        </is>
      </c>
      <c r="E263" s="12" t="inlineStr">
        <is>
          <t>T-02</t>
        </is>
      </c>
      <c r="F263" s="12" t="inlineStr">
        <is>
          <t>C-111</t>
        </is>
      </c>
      <c r="G263" s="12" t="inlineStr">
        <is>
          <t>NONE</t>
        </is>
      </c>
      <c r="H263" s="11" t="inlineStr">
        <is>
          <t>Sale Tender</t>
        </is>
      </c>
      <c r="I263" s="12" t="inlineStr">
        <is>
          <t>Delivery Aggregator</t>
        </is>
      </c>
      <c r="J263" s="20" t="n">
        <v>3</v>
      </c>
      <c r="K263" s="25" t="n">
        <v>41.11</v>
      </c>
      <c r="L263" s="25" t="n">
        <v>41.11</v>
      </c>
      <c r="M263" s="24" t="n">
        <v>46307.80503472222</v>
      </c>
      <c r="N263" s="26">
        <f>IFERROR(IF(OR(ISBLANK(M263), M263="", ISBLANK(C263), C263=""), 0, MAX(0, ROUND((C263-M263)*86400, 0))), 0)</f>
        <v/>
      </c>
      <c r="O263" s="11">
        <f>IF(H263="Post-Bill Void", IF(AND(G263="M-904", I263="Cash"), "EXCEPTION: Concurrent Cash Void", IF(AND(I263="Cash", N263&gt;120), "CRITICAL: Delayed Cash Void", IF(N263&gt;120, "EXCEPTION: Delayed Void", "Standard Void"))), IF(H263="Line Item Void", IF(I263="Cash", "EXCEPTION: Cash Line Void", "Standard Line Void"), IF(H263="No-Sale Drawer Opening", "DRAWER OPENING", "Standard Sale")))</f>
        <v/>
      </c>
    </row>
    <row r="264" ht="18" customHeight="1">
      <c r="A264" s="15" t="inlineStr">
        <is>
          <t>EVT-10220</t>
        </is>
      </c>
      <c r="B264" s="15" t="inlineStr">
        <is>
          <t>TX-80220</t>
        </is>
      </c>
      <c r="C264" s="27" t="n">
        <v>46307.81285879629</v>
      </c>
      <c r="D264" s="15" t="inlineStr">
        <is>
          <t>BR-02</t>
        </is>
      </c>
      <c r="E264" s="15" t="inlineStr">
        <is>
          <t>T-01</t>
        </is>
      </c>
      <c r="F264" s="15" t="inlineStr">
        <is>
          <t>C-105</t>
        </is>
      </c>
      <c r="G264" s="15" t="inlineStr">
        <is>
          <t>NONE</t>
        </is>
      </c>
      <c r="H264" s="14" t="inlineStr">
        <is>
          <t>Sale Tender</t>
        </is>
      </c>
      <c r="I264" s="15" t="inlineStr">
        <is>
          <t>Card</t>
        </is>
      </c>
      <c r="J264" s="17" t="n">
        <v>6</v>
      </c>
      <c r="K264" s="28" t="n">
        <v>71.03</v>
      </c>
      <c r="L264" s="28" t="n">
        <v>71.03</v>
      </c>
      <c r="M264" s="27" t="n">
        <v>46307.81246527778</v>
      </c>
      <c r="N264" s="29">
        <f>IFERROR(IF(OR(ISBLANK(M264), M264="", ISBLANK(C264), C264=""), 0, MAX(0, ROUND((C264-M264)*86400, 0))), 0)</f>
        <v/>
      </c>
      <c r="O264" s="14">
        <f>IF(H264="Post-Bill Void", IF(AND(G264="M-904", I264="Cash"), "EXCEPTION: Concurrent Cash Void", IF(AND(I264="Cash", N264&gt;120), "CRITICAL: Delayed Cash Void", IF(N264&gt;120, "EXCEPTION: Delayed Void", "Standard Void"))), IF(H264="Line Item Void", IF(I264="Cash", "EXCEPTION: Cash Line Void", "Standard Line Void"), IF(H264="No-Sale Drawer Opening", "DRAWER OPENING", "Standard Sale")))</f>
        <v/>
      </c>
    </row>
    <row r="265" ht="18" customHeight="1">
      <c r="A265" s="12" t="inlineStr">
        <is>
          <t>EVT-10221</t>
        </is>
      </c>
      <c r="B265" s="12" t="inlineStr">
        <is>
          <t>TX-80221</t>
        </is>
      </c>
      <c r="C265" s="24" t="n">
        <v>46307.81950231481</v>
      </c>
      <c r="D265" s="12" t="inlineStr">
        <is>
          <t>BR-03</t>
        </is>
      </c>
      <c r="E265" s="12" t="inlineStr">
        <is>
          <t>T-02</t>
        </is>
      </c>
      <c r="F265" s="12" t="inlineStr">
        <is>
          <t>C-111</t>
        </is>
      </c>
      <c r="G265" s="12" t="inlineStr">
        <is>
          <t>NONE</t>
        </is>
      </c>
      <c r="H265" s="11" t="inlineStr">
        <is>
          <t>Sale Tender</t>
        </is>
      </c>
      <c r="I265" s="12" t="inlineStr">
        <is>
          <t>Card</t>
        </is>
      </c>
      <c r="J265" s="20" t="n">
        <v>3</v>
      </c>
      <c r="K265" s="25" t="n">
        <v>44.66</v>
      </c>
      <c r="L265" s="25" t="n">
        <v>44.66</v>
      </c>
      <c r="M265" s="24" t="n">
        <v>46307.81840277778</v>
      </c>
      <c r="N265" s="26">
        <f>IFERROR(IF(OR(ISBLANK(M265), M265="", ISBLANK(C265), C265=""), 0, MAX(0, ROUND((C265-M265)*86400, 0))), 0)</f>
        <v/>
      </c>
      <c r="O265" s="11">
        <f>IF(H265="Post-Bill Void", IF(AND(G265="M-904", I265="Cash"), "EXCEPTION: Concurrent Cash Void", IF(AND(I265="Cash", N265&gt;120), "CRITICAL: Delayed Cash Void", IF(N265&gt;120, "EXCEPTION: Delayed Void", "Standard Void"))), IF(H265="Line Item Void", IF(I265="Cash", "EXCEPTION: Cash Line Void", "Standard Line Void"), IF(H265="No-Sale Drawer Opening", "DRAWER OPENING", "Standard Sale")))</f>
        <v/>
      </c>
    </row>
    <row r="266" ht="18" customHeight="1">
      <c r="A266" s="15" t="inlineStr">
        <is>
          <t>EVT-10222</t>
        </is>
      </c>
      <c r="B266" s="15" t="inlineStr">
        <is>
          <t>TX-80222</t>
        </is>
      </c>
      <c r="C266" s="27" t="n">
        <v>46307.82690972222</v>
      </c>
      <c r="D266" s="15" t="inlineStr">
        <is>
          <t>BR-02</t>
        </is>
      </c>
      <c r="E266" s="15" t="inlineStr">
        <is>
          <t>T-01</t>
        </is>
      </c>
      <c r="F266" s="15" t="inlineStr">
        <is>
          <t>C-107</t>
        </is>
      </c>
      <c r="G266" s="15" t="inlineStr">
        <is>
          <t>NONE</t>
        </is>
      </c>
      <c r="H266" s="14" t="inlineStr">
        <is>
          <t>Sale Tender</t>
        </is>
      </c>
      <c r="I266" s="15" t="inlineStr">
        <is>
          <t>Delivery Aggregator</t>
        </is>
      </c>
      <c r="J266" s="17" t="n">
        <v>2</v>
      </c>
      <c r="K266" s="28" t="n">
        <v>20.55</v>
      </c>
      <c r="L266" s="28" t="n">
        <v>20.55</v>
      </c>
      <c r="M266" s="27" t="n">
        <v>46307.82644675926</v>
      </c>
      <c r="N266" s="29">
        <f>IFERROR(IF(OR(ISBLANK(M266), M266="", ISBLANK(C266), C266=""), 0, MAX(0, ROUND((C266-M266)*86400, 0))), 0)</f>
        <v/>
      </c>
      <c r="O266" s="14">
        <f>IF(H266="Post-Bill Void", IF(AND(G266="M-904", I266="Cash"), "EXCEPTION: Concurrent Cash Void", IF(AND(I266="Cash", N266&gt;120), "CRITICAL: Delayed Cash Void", IF(N266&gt;120, "EXCEPTION: Delayed Void", "Standard Void"))), IF(H266="Line Item Void", IF(I266="Cash", "EXCEPTION: Cash Line Void", "Standard Line Void"), IF(H266="No-Sale Drawer Opening", "DRAWER OPENING", "Standard Sale")))</f>
        <v/>
      </c>
    </row>
    <row r="267" ht="18" customHeight="1">
      <c r="A267" s="12" t="inlineStr">
        <is>
          <t>EVT-10223</t>
        </is>
      </c>
      <c r="B267" s="12" t="inlineStr">
        <is>
          <t>TX-80223</t>
        </is>
      </c>
      <c r="C267" s="24" t="n">
        <v>46307.83369212963</v>
      </c>
      <c r="D267" s="12" t="inlineStr">
        <is>
          <t>BR-01</t>
        </is>
      </c>
      <c r="E267" s="12" t="inlineStr">
        <is>
          <t>T-01</t>
        </is>
      </c>
      <c r="F267" s="12" t="inlineStr">
        <is>
          <t>C-103</t>
        </is>
      </c>
      <c r="G267" s="12" t="inlineStr">
        <is>
          <t>NONE</t>
        </is>
      </c>
      <c r="H267" s="11" t="inlineStr">
        <is>
          <t>Sale Tender</t>
        </is>
      </c>
      <c r="I267" s="12" t="inlineStr">
        <is>
          <t>Card</t>
        </is>
      </c>
      <c r="J267" s="20" t="n">
        <v>5</v>
      </c>
      <c r="K267" s="25" t="n">
        <v>47.37</v>
      </c>
      <c r="L267" s="25" t="n">
        <v>47.37</v>
      </c>
      <c r="M267" s="24" t="n">
        <v>46307.8328587963</v>
      </c>
      <c r="N267" s="26">
        <f>IFERROR(IF(OR(ISBLANK(M267), M267="", ISBLANK(C267), C267=""), 0, MAX(0, ROUND((C267-M267)*86400, 0))), 0)</f>
        <v/>
      </c>
      <c r="O267" s="11">
        <f>IF(H267="Post-Bill Void", IF(AND(G267="M-904", I267="Cash"), "EXCEPTION: Concurrent Cash Void", IF(AND(I267="Cash", N267&gt;120), "CRITICAL: Delayed Cash Void", IF(N267&gt;120, "EXCEPTION: Delayed Void", "Standard Void"))), IF(H267="Line Item Void", IF(I267="Cash", "EXCEPTION: Cash Line Void", "Standard Line Void"), IF(H267="No-Sale Drawer Opening", "DRAWER OPENING", "Standard Sale")))</f>
        <v/>
      </c>
    </row>
    <row r="268" ht="18" customHeight="1">
      <c r="A268" s="15" t="inlineStr">
        <is>
          <t>EVT-10224</t>
        </is>
      </c>
      <c r="B268" s="15" t="inlineStr">
        <is>
          <t>TX-80224</t>
        </is>
      </c>
      <c r="C268" s="27" t="n">
        <v>46307.84092592593</v>
      </c>
      <c r="D268" s="15" t="inlineStr">
        <is>
          <t>BR-01</t>
        </is>
      </c>
      <c r="E268" s="15" t="inlineStr">
        <is>
          <t>T-01</t>
        </is>
      </c>
      <c r="F268" s="15" t="inlineStr">
        <is>
          <t>C-101</t>
        </is>
      </c>
      <c r="G268" s="15" t="inlineStr">
        <is>
          <t>NONE</t>
        </is>
      </c>
      <c r="H268" s="14" t="inlineStr">
        <is>
          <t>Sale Tender</t>
        </is>
      </c>
      <c r="I268" s="15" t="inlineStr">
        <is>
          <t>Card</t>
        </is>
      </c>
      <c r="J268" s="17" t="n">
        <v>4</v>
      </c>
      <c r="K268" s="28" t="n">
        <v>58.7</v>
      </c>
      <c r="L268" s="28" t="n">
        <v>58.7</v>
      </c>
      <c r="M268" s="27" t="n">
        <v>46307.83993055556</v>
      </c>
      <c r="N268" s="29">
        <f>IFERROR(IF(OR(ISBLANK(M268), M268="", ISBLANK(C268), C268=""), 0, MAX(0, ROUND((C268-M268)*86400, 0))), 0)</f>
        <v/>
      </c>
      <c r="O268" s="14">
        <f>IF(H268="Post-Bill Void", IF(AND(G268="M-904", I268="Cash"), "EXCEPTION: Concurrent Cash Void", IF(AND(I268="Cash", N268&gt;120), "CRITICAL: Delayed Cash Void", IF(N268&gt;120, "EXCEPTION: Delayed Void", "Standard Void"))), IF(H268="Line Item Void", IF(I268="Cash", "EXCEPTION: Cash Line Void", "Standard Line Void"), IF(H268="No-Sale Drawer Opening", "DRAWER OPENING", "Standard Sale")))</f>
        <v/>
      </c>
    </row>
    <row r="269" ht="18" customHeight="1">
      <c r="A269" s="12" t="inlineStr">
        <is>
          <t>EVT-10225</t>
        </is>
      </c>
      <c r="B269" s="12" t="inlineStr">
        <is>
          <t>TX-80225</t>
        </is>
      </c>
      <c r="C269" s="24" t="n">
        <v>46307.84726851852</v>
      </c>
      <c r="D269" s="12" t="inlineStr">
        <is>
          <t>BR-02</t>
        </is>
      </c>
      <c r="E269" s="12" t="inlineStr">
        <is>
          <t>T-02</t>
        </is>
      </c>
      <c r="F269" s="12" t="inlineStr">
        <is>
          <t>C-107</t>
        </is>
      </c>
      <c r="G269" s="12" t="inlineStr">
        <is>
          <t>NONE</t>
        </is>
      </c>
      <c r="H269" s="11" t="inlineStr">
        <is>
          <t>Sale Tender</t>
        </is>
      </c>
      <c r="I269" s="12" t="inlineStr">
        <is>
          <t>Card</t>
        </is>
      </c>
      <c r="J269" s="20" t="n">
        <v>5</v>
      </c>
      <c r="K269" s="25" t="n">
        <v>55.42</v>
      </c>
      <c r="L269" s="25" t="n">
        <v>55.42</v>
      </c>
      <c r="M269" s="24" t="n">
        <v>46307.84631944444</v>
      </c>
      <c r="N269" s="26">
        <f>IFERROR(IF(OR(ISBLANK(M269), M269="", ISBLANK(C269), C269=""), 0, MAX(0, ROUND((C269-M269)*86400, 0))), 0)</f>
        <v/>
      </c>
      <c r="O269" s="11">
        <f>IF(H269="Post-Bill Void", IF(AND(G269="M-904", I269="Cash"), "EXCEPTION: Concurrent Cash Void", IF(AND(I269="Cash", N269&gt;120), "CRITICAL: Delayed Cash Void", IF(N269&gt;120, "EXCEPTION: Delayed Void", "Standard Void"))), IF(H269="Line Item Void", IF(I269="Cash", "EXCEPTION: Cash Line Void", "Standard Line Void"), IF(H269="No-Sale Drawer Opening", "DRAWER OPENING", "Standard Sale")))</f>
        <v/>
      </c>
    </row>
    <row r="270" ht="18" customHeight="1">
      <c r="A270" s="15" t="inlineStr">
        <is>
          <t>EVT-10642</t>
        </is>
      </c>
      <c r="B270" s="15" t="inlineStr">
        <is>
          <t>N/A - NO SALE</t>
        </is>
      </c>
      <c r="C270" s="27" t="n">
        <v>46307.84791666667</v>
      </c>
      <c r="D270" s="15" t="inlineStr">
        <is>
          <t>BR-02</t>
        </is>
      </c>
      <c r="E270" s="15" t="inlineStr">
        <is>
          <t>T-01</t>
        </is>
      </c>
      <c r="F270" s="15" t="inlineStr">
        <is>
          <t>C-107</t>
        </is>
      </c>
      <c r="G270" s="15" t="inlineStr">
        <is>
          <t>NONE</t>
        </is>
      </c>
      <c r="H270" s="14" t="inlineStr">
        <is>
          <t>No-Sale Drawer Opening</t>
        </is>
      </c>
      <c r="I270" s="15" t="inlineStr">
        <is>
          <t>N/A</t>
        </is>
      </c>
      <c r="J270" s="17" t="n">
        <v>0</v>
      </c>
      <c r="K270" s="28" t="n">
        <v>0</v>
      </c>
      <c r="L270" s="28" t="n">
        <v>0</v>
      </c>
      <c r="M270" s="27" t="n">
        <v>46307.84791666667</v>
      </c>
      <c r="N270" s="29">
        <f>IFERROR(IF(OR(ISBLANK(M270), M270="", ISBLANK(C270), C270=""), 0, MAX(0, ROUND((C270-M270)*86400, 0))), 0)</f>
        <v/>
      </c>
      <c r="O270" s="14">
        <f>IF(H270="Post-Bill Void", IF(AND(G270="M-904", I270="Cash"), "EXCEPTION: Concurrent Cash Void", IF(AND(I270="Cash", N270&gt;120), "CRITICAL: Delayed Cash Void", IF(N270&gt;120, "EXCEPTION: Delayed Void", "Standard Void"))), IF(H270="Line Item Void", IF(I270="Cash", "EXCEPTION: Cash Line Void", "Standard Line Void"), IF(H270="No-Sale Drawer Opening", "DRAWER OPENING", "Standard Sale")))</f>
        <v/>
      </c>
    </row>
    <row r="271" ht="18" customHeight="1">
      <c r="A271" s="12" t="inlineStr">
        <is>
          <t>EVT-10601</t>
        </is>
      </c>
      <c r="B271" s="12" t="inlineStr">
        <is>
          <t>N/A - NO SALE</t>
        </is>
      </c>
      <c r="C271" s="24" t="n">
        <v>46307.85416666666</v>
      </c>
      <c r="D271" s="12" t="inlineStr">
        <is>
          <t>BR-03</t>
        </is>
      </c>
      <c r="E271" s="12" t="inlineStr">
        <is>
          <t>T-02</t>
        </is>
      </c>
      <c r="F271" s="12" t="inlineStr">
        <is>
          <t>C-112</t>
        </is>
      </c>
      <c r="G271" s="12" t="inlineStr">
        <is>
          <t>NONE</t>
        </is>
      </c>
      <c r="H271" s="11" t="inlineStr">
        <is>
          <t>No-Sale Drawer Opening</t>
        </is>
      </c>
      <c r="I271" s="12" t="inlineStr">
        <is>
          <t>N/A</t>
        </is>
      </c>
      <c r="J271" s="20" t="n">
        <v>0</v>
      </c>
      <c r="K271" s="25" t="n">
        <v>0</v>
      </c>
      <c r="L271" s="25" t="n">
        <v>0</v>
      </c>
      <c r="M271" s="24" t="n">
        <v>46307.85416666666</v>
      </c>
      <c r="N271" s="26">
        <f>IFERROR(IF(OR(ISBLANK(M271), M271="", ISBLANK(C271), C271=""), 0, MAX(0, ROUND((C271-M271)*86400, 0))), 0)</f>
        <v/>
      </c>
      <c r="O271" s="11">
        <f>IF(H271="Post-Bill Void", IF(AND(G271="M-904", I271="Cash"), "EXCEPTION: Concurrent Cash Void", IF(AND(I271="Cash", N271&gt;120), "CRITICAL: Delayed Cash Void", IF(N271&gt;120, "EXCEPTION: Delayed Void", "Standard Void"))), IF(H271="Line Item Void", IF(I271="Cash", "EXCEPTION: Cash Line Void", "Standard Line Void"), IF(H271="No-Sale Drawer Opening", "DRAWER OPENING", "Standard Sale")))</f>
        <v/>
      </c>
    </row>
    <row r="272" ht="18" customHeight="1">
      <c r="A272" s="15" t="inlineStr">
        <is>
          <t>EVT-10226</t>
        </is>
      </c>
      <c r="B272" s="15" t="inlineStr">
        <is>
          <t>TX-80226</t>
        </is>
      </c>
      <c r="C272" s="27" t="n">
        <v>46307.85481481482</v>
      </c>
      <c r="D272" s="15" t="inlineStr">
        <is>
          <t>BR-02</t>
        </is>
      </c>
      <c r="E272" s="15" t="inlineStr">
        <is>
          <t>T-01</t>
        </is>
      </c>
      <c r="F272" s="15" t="inlineStr">
        <is>
          <t>C-106</t>
        </is>
      </c>
      <c r="G272" s="15" t="inlineStr">
        <is>
          <t>NONE</t>
        </is>
      </c>
      <c r="H272" s="14" t="inlineStr">
        <is>
          <t>Sale Tender</t>
        </is>
      </c>
      <c r="I272" s="15" t="inlineStr">
        <is>
          <t>Card</t>
        </is>
      </c>
      <c r="J272" s="17" t="n">
        <v>5</v>
      </c>
      <c r="K272" s="28" t="n">
        <v>48.24</v>
      </c>
      <c r="L272" s="28" t="n">
        <v>48.24</v>
      </c>
      <c r="M272" s="27" t="n">
        <v>46307.85444444444</v>
      </c>
      <c r="N272" s="29">
        <f>IFERROR(IF(OR(ISBLANK(M272), M272="", ISBLANK(C272), C272=""), 0, MAX(0, ROUND((C272-M272)*86400, 0))), 0)</f>
        <v/>
      </c>
      <c r="O272" s="14">
        <f>IF(H272="Post-Bill Void", IF(AND(G272="M-904", I272="Cash"), "EXCEPTION: Concurrent Cash Void", IF(AND(I272="Cash", N272&gt;120), "CRITICAL: Delayed Cash Void", IF(N272&gt;120, "EXCEPTION: Delayed Void", "Standard Void"))), IF(H272="Line Item Void", IF(I272="Cash", "EXCEPTION: Cash Line Void", "Standard Line Void"), IF(H272="No-Sale Drawer Opening", "DRAWER OPENING", "Standard Sale")))</f>
        <v/>
      </c>
    </row>
    <row r="273" ht="18" customHeight="1">
      <c r="A273" s="12" t="inlineStr">
        <is>
          <t>EVT-10607</t>
        </is>
      </c>
      <c r="B273" s="12" t="inlineStr">
        <is>
          <t>N/A - NO SALE</t>
        </is>
      </c>
      <c r="C273" s="24" t="n">
        <v>46307.86041666667</v>
      </c>
      <c r="D273" s="12" t="inlineStr">
        <is>
          <t>BR-03</t>
        </is>
      </c>
      <c r="E273" s="12" t="inlineStr">
        <is>
          <t>T-02</t>
        </is>
      </c>
      <c r="F273" s="12" t="inlineStr">
        <is>
          <t>C-112</t>
        </is>
      </c>
      <c r="G273" s="12" t="inlineStr">
        <is>
          <t>NONE</t>
        </is>
      </c>
      <c r="H273" s="11" t="inlineStr">
        <is>
          <t>No-Sale Drawer Opening</t>
        </is>
      </c>
      <c r="I273" s="12" t="inlineStr">
        <is>
          <t>N/A</t>
        </is>
      </c>
      <c r="J273" s="20" t="n">
        <v>0</v>
      </c>
      <c r="K273" s="25" t="n">
        <v>0</v>
      </c>
      <c r="L273" s="25" t="n">
        <v>0</v>
      </c>
      <c r="M273" s="24" t="n">
        <v>46307.86041666667</v>
      </c>
      <c r="N273" s="26">
        <f>IFERROR(IF(OR(ISBLANK(M273), M273="", ISBLANK(C273), C273=""), 0, MAX(0, ROUND((C273-M273)*86400, 0))), 0)</f>
        <v/>
      </c>
      <c r="O273" s="11">
        <f>IF(H273="Post-Bill Void", IF(AND(G273="M-904", I273="Cash"), "EXCEPTION: Concurrent Cash Void", IF(AND(I273="Cash", N273&gt;120), "CRITICAL: Delayed Cash Void", IF(N273&gt;120, "EXCEPTION: Delayed Void", "Standard Void"))), IF(H273="Line Item Void", IF(I273="Cash", "EXCEPTION: Cash Line Void", "Standard Line Void"), IF(H273="No-Sale Drawer Opening", "DRAWER OPENING", "Standard Sale")))</f>
        <v/>
      </c>
    </row>
    <row r="274" ht="18" customHeight="1">
      <c r="A274" s="15" t="inlineStr">
        <is>
          <t>EVT-10227</t>
        </is>
      </c>
      <c r="B274" s="15" t="inlineStr">
        <is>
          <t>TX-80227</t>
        </is>
      </c>
      <c r="C274" s="27" t="n">
        <v>46307.86122685186</v>
      </c>
      <c r="D274" s="15" t="inlineStr">
        <is>
          <t>BR-02</t>
        </is>
      </c>
      <c r="E274" s="15" t="inlineStr">
        <is>
          <t>T-02</t>
        </is>
      </c>
      <c r="F274" s="15" t="inlineStr">
        <is>
          <t>C-107</t>
        </is>
      </c>
      <c r="G274" s="15" t="inlineStr">
        <is>
          <t>NONE</t>
        </is>
      </c>
      <c r="H274" s="14" t="inlineStr">
        <is>
          <t>Sale Tender</t>
        </is>
      </c>
      <c r="I274" s="15" t="inlineStr">
        <is>
          <t>Cash</t>
        </is>
      </c>
      <c r="J274" s="17" t="n">
        <v>5</v>
      </c>
      <c r="K274" s="28" t="n">
        <v>76.06</v>
      </c>
      <c r="L274" s="28" t="n">
        <v>76.06</v>
      </c>
      <c r="M274" s="27" t="n">
        <v>46307.86061342592</v>
      </c>
      <c r="N274" s="29">
        <f>IFERROR(IF(OR(ISBLANK(M274), M274="", ISBLANK(C274), C274=""), 0, MAX(0, ROUND((C274-M274)*86400, 0))), 0)</f>
        <v/>
      </c>
      <c r="O274" s="14">
        <f>IF(H274="Post-Bill Void", IF(AND(G274="M-904", I274="Cash"), "EXCEPTION: Concurrent Cash Void", IF(AND(I274="Cash", N274&gt;120), "CRITICAL: Delayed Cash Void", IF(N274&gt;120, "EXCEPTION: Delayed Void", "Standard Void"))), IF(H274="Line Item Void", IF(I274="Cash", "EXCEPTION: Cash Line Void", "Standard Line Void"), IF(H274="No-Sale Drawer Opening", "DRAWER OPENING", "Standard Sale")))</f>
        <v/>
      </c>
    </row>
    <row r="275" ht="18" customHeight="1">
      <c r="A275" s="12" t="inlineStr">
        <is>
          <t>EVT-10228</t>
        </is>
      </c>
      <c r="B275" s="12" t="inlineStr">
        <is>
          <t>TX-80228</t>
        </is>
      </c>
      <c r="C275" s="24" t="n">
        <v>46307.86868055556</v>
      </c>
      <c r="D275" s="12" t="inlineStr">
        <is>
          <t>BR-01</t>
        </is>
      </c>
      <c r="E275" s="12" t="inlineStr">
        <is>
          <t>T-01</t>
        </is>
      </c>
      <c r="F275" s="12" t="inlineStr">
        <is>
          <t>C-103</t>
        </is>
      </c>
      <c r="G275" s="12" t="inlineStr">
        <is>
          <t>NONE</t>
        </is>
      </c>
      <c r="H275" s="11" t="inlineStr">
        <is>
          <t>Sale Tender</t>
        </is>
      </c>
      <c r="I275" s="12" t="inlineStr">
        <is>
          <t>Cash</t>
        </is>
      </c>
      <c r="J275" s="20" t="n">
        <v>6</v>
      </c>
      <c r="K275" s="25" t="n">
        <v>64.63</v>
      </c>
      <c r="L275" s="25" t="n">
        <v>64.63</v>
      </c>
      <c r="M275" s="24" t="n">
        <v>46307.86758101852</v>
      </c>
      <c r="N275" s="26">
        <f>IFERROR(IF(OR(ISBLANK(M275), M275="", ISBLANK(C275), C275=""), 0, MAX(0, ROUND((C275-M275)*86400, 0))), 0)</f>
        <v/>
      </c>
      <c r="O275" s="11">
        <f>IF(H275="Post-Bill Void", IF(AND(G275="M-904", I275="Cash"), "EXCEPTION: Concurrent Cash Void", IF(AND(I275="Cash", N275&gt;120), "CRITICAL: Delayed Cash Void", IF(N275&gt;120, "EXCEPTION: Delayed Void", "Standard Void"))), IF(H275="Line Item Void", IF(I275="Cash", "EXCEPTION: Cash Line Void", "Standard Line Void"), IF(H275="No-Sale Drawer Opening", "DRAWER OPENING", "Standard Sale")))</f>
        <v/>
      </c>
    </row>
    <row r="276" ht="18" customHeight="1">
      <c r="A276" s="15" t="inlineStr">
        <is>
          <t>EVT-10641</t>
        </is>
      </c>
      <c r="B276" s="15" t="inlineStr">
        <is>
          <t>TX-80595</t>
        </is>
      </c>
      <c r="C276" s="27" t="n">
        <v>46307.87222222222</v>
      </c>
      <c r="D276" s="15" t="inlineStr">
        <is>
          <t>BR-02</t>
        </is>
      </c>
      <c r="E276" s="15" t="inlineStr">
        <is>
          <t>T-01</t>
        </is>
      </c>
      <c r="F276" s="15" t="inlineStr">
        <is>
          <t>C-107</t>
        </is>
      </c>
      <c r="G276" s="15" t="inlineStr">
        <is>
          <t>M-902</t>
        </is>
      </c>
      <c r="H276" s="14" t="inlineStr">
        <is>
          <t>Post-Bill Void</t>
        </is>
      </c>
      <c r="I276" s="15" t="inlineStr">
        <is>
          <t>Card</t>
        </is>
      </c>
      <c r="J276" s="17" t="n">
        <v>1</v>
      </c>
      <c r="K276" s="28" t="n">
        <v>19.26</v>
      </c>
      <c r="L276" s="28" t="n">
        <v>0</v>
      </c>
      <c r="M276" s="27" t="n">
        <v>46307.87173611111</v>
      </c>
      <c r="N276" s="29">
        <f>IFERROR(IF(OR(ISBLANK(M276), M276="", ISBLANK(C276), C276=""), 0, MAX(0, ROUND((C276-M276)*86400, 0))), 0)</f>
        <v/>
      </c>
      <c r="O276" s="14">
        <f>IF(H276="Post-Bill Void", IF(AND(G276="M-904", I276="Cash"), "EXCEPTION: Concurrent Cash Void", IF(AND(I276="Cash", N276&gt;120), "CRITICAL: Delayed Cash Void", IF(N276&gt;120, "EXCEPTION: Delayed Void", "Standard Void"))), IF(H276="Line Item Void", IF(I276="Cash", "EXCEPTION: Cash Line Void", "Standard Line Void"), IF(H276="No-Sale Drawer Opening", "DRAWER OPENING", "Standard Sale")))</f>
        <v/>
      </c>
    </row>
    <row r="277" ht="18" customHeight="1">
      <c r="A277" s="12" t="inlineStr">
        <is>
          <t>EVT-10229</t>
        </is>
      </c>
      <c r="B277" s="12" t="inlineStr">
        <is>
          <t>TX-80229</t>
        </is>
      </c>
      <c r="C277" s="24" t="n">
        <v>46307.87539351852</v>
      </c>
      <c r="D277" s="12" t="inlineStr">
        <is>
          <t>BR-01</t>
        </is>
      </c>
      <c r="E277" s="12" t="inlineStr">
        <is>
          <t>T-01</t>
        </is>
      </c>
      <c r="F277" s="12" t="inlineStr">
        <is>
          <t>C-102</t>
        </is>
      </c>
      <c r="G277" s="12" t="inlineStr">
        <is>
          <t>NONE</t>
        </is>
      </c>
      <c r="H277" s="11" t="inlineStr">
        <is>
          <t>Sale Tender</t>
        </is>
      </c>
      <c r="I277" s="12" t="inlineStr">
        <is>
          <t>Cash</t>
        </is>
      </c>
      <c r="J277" s="20" t="n">
        <v>5</v>
      </c>
      <c r="K277" s="25" t="n">
        <v>69.52</v>
      </c>
      <c r="L277" s="25" t="n">
        <v>69.52</v>
      </c>
      <c r="M277" s="24" t="n">
        <v>46307.87488425926</v>
      </c>
      <c r="N277" s="26">
        <f>IFERROR(IF(OR(ISBLANK(M277), M277="", ISBLANK(C277), C277=""), 0, MAX(0, ROUND((C277-M277)*86400, 0))), 0)</f>
        <v/>
      </c>
      <c r="O277" s="11">
        <f>IF(H277="Post-Bill Void", IF(AND(G277="M-904", I277="Cash"), "EXCEPTION: Concurrent Cash Void", IF(AND(I277="Cash", N277&gt;120), "CRITICAL: Delayed Cash Void", IF(N277&gt;120, "EXCEPTION: Delayed Void", "Standard Void"))), IF(H277="Line Item Void", IF(I277="Cash", "EXCEPTION: Cash Line Void", "Standard Line Void"), IF(H277="No-Sale Drawer Opening", "DRAWER OPENING", "Standard Sale")))</f>
        <v/>
      </c>
    </row>
    <row r="278" ht="18" customHeight="1">
      <c r="A278" s="15" t="inlineStr">
        <is>
          <t>EVT-10230</t>
        </is>
      </c>
      <c r="B278" s="15" t="inlineStr">
        <is>
          <t>TX-80230</t>
        </is>
      </c>
      <c r="C278" s="27" t="n">
        <v>46307.88238425926</v>
      </c>
      <c r="D278" s="15" t="inlineStr">
        <is>
          <t>BR-03</t>
        </is>
      </c>
      <c r="E278" s="15" t="inlineStr">
        <is>
          <t>T-02</t>
        </is>
      </c>
      <c r="F278" s="15" t="inlineStr">
        <is>
          <t>C-109</t>
        </is>
      </c>
      <c r="G278" s="15" t="inlineStr">
        <is>
          <t>NONE</t>
        </is>
      </c>
      <c r="H278" s="14" t="inlineStr">
        <is>
          <t>Sale Tender</t>
        </is>
      </c>
      <c r="I278" s="15" t="inlineStr">
        <is>
          <t>Cash</t>
        </is>
      </c>
      <c r="J278" s="17" t="n">
        <v>6</v>
      </c>
      <c r="K278" s="28" t="n">
        <v>85.7</v>
      </c>
      <c r="L278" s="28" t="n">
        <v>85.7</v>
      </c>
      <c r="M278" s="27" t="n">
        <v>46307.88206018518</v>
      </c>
      <c r="N278" s="29">
        <f>IFERROR(IF(OR(ISBLANK(M278), M278="", ISBLANK(C278), C278=""), 0, MAX(0, ROUND((C278-M278)*86400, 0))), 0)</f>
        <v/>
      </c>
      <c r="O278" s="14">
        <f>IF(H278="Post-Bill Void", IF(AND(G278="M-904", I278="Cash"), "EXCEPTION: Concurrent Cash Void", IF(AND(I278="Cash", N278&gt;120), "CRITICAL: Delayed Cash Void", IF(N278&gt;120, "EXCEPTION: Delayed Void", "Standard Void"))), IF(H278="Line Item Void", IF(I278="Cash", "EXCEPTION: Cash Line Void", "Standard Line Void"), IF(H278="No-Sale Drawer Opening", "DRAWER OPENING", "Standard Sale")))</f>
        <v/>
      </c>
    </row>
    <row r="279" ht="18" customHeight="1">
      <c r="A279" s="12" t="inlineStr">
        <is>
          <t>EVT-10591</t>
        </is>
      </c>
      <c r="B279" s="12" t="inlineStr">
        <is>
          <t>N/A - NO SALE</t>
        </is>
      </c>
      <c r="C279" s="24" t="n">
        <v>46307.88472222222</v>
      </c>
      <c r="D279" s="12" t="inlineStr">
        <is>
          <t>BR-03</t>
        </is>
      </c>
      <c r="E279" s="12" t="inlineStr">
        <is>
          <t>T-02</t>
        </is>
      </c>
      <c r="F279" s="12" t="inlineStr">
        <is>
          <t>C-112</t>
        </is>
      </c>
      <c r="G279" s="12" t="inlineStr">
        <is>
          <t>NONE</t>
        </is>
      </c>
      <c r="H279" s="11" t="inlineStr">
        <is>
          <t>No-Sale Drawer Opening</t>
        </is>
      </c>
      <c r="I279" s="12" t="inlineStr">
        <is>
          <t>N/A</t>
        </is>
      </c>
      <c r="J279" s="20" t="n">
        <v>0</v>
      </c>
      <c r="K279" s="25" t="n">
        <v>0</v>
      </c>
      <c r="L279" s="25" t="n">
        <v>0</v>
      </c>
      <c r="M279" s="24" t="n">
        <v>46307.88472222222</v>
      </c>
      <c r="N279" s="26">
        <f>IFERROR(IF(OR(ISBLANK(M279), M279="", ISBLANK(C279), C279=""), 0, MAX(0, ROUND((C279-M279)*86400, 0))), 0)</f>
        <v/>
      </c>
      <c r="O279" s="11">
        <f>IF(H279="Post-Bill Void", IF(AND(G279="M-904", I279="Cash"), "EXCEPTION: Concurrent Cash Void", IF(AND(I279="Cash", N279&gt;120), "CRITICAL: Delayed Cash Void", IF(N279&gt;120, "EXCEPTION: Delayed Void", "Standard Void"))), IF(H279="Line Item Void", IF(I279="Cash", "EXCEPTION: Cash Line Void", "Standard Line Void"), IF(H279="No-Sale Drawer Opening", "DRAWER OPENING", "Standard Sale")))</f>
        <v/>
      </c>
    </row>
    <row r="280" ht="18" customHeight="1">
      <c r="A280" s="15" t="inlineStr">
        <is>
          <t>EVT-10231</t>
        </is>
      </c>
      <c r="B280" s="15" t="inlineStr">
        <is>
          <t>TX-80231</t>
        </is>
      </c>
      <c r="C280" s="27" t="n">
        <v>46307.88907407408</v>
      </c>
      <c r="D280" s="15" t="inlineStr">
        <is>
          <t>BR-02</t>
        </is>
      </c>
      <c r="E280" s="15" t="inlineStr">
        <is>
          <t>T-02</t>
        </is>
      </c>
      <c r="F280" s="15" t="inlineStr">
        <is>
          <t>C-108</t>
        </is>
      </c>
      <c r="G280" s="15" t="inlineStr">
        <is>
          <t>NONE</t>
        </is>
      </c>
      <c r="H280" s="14" t="inlineStr">
        <is>
          <t>Sale Tender</t>
        </is>
      </c>
      <c r="I280" s="15" t="inlineStr">
        <is>
          <t>Card</t>
        </is>
      </c>
      <c r="J280" s="17" t="n">
        <v>6</v>
      </c>
      <c r="K280" s="28" t="n">
        <v>75.55</v>
      </c>
      <c r="L280" s="28" t="n">
        <v>75.55</v>
      </c>
      <c r="M280" s="27" t="n">
        <v>46307.88875</v>
      </c>
      <c r="N280" s="29">
        <f>IFERROR(IF(OR(ISBLANK(M280), M280="", ISBLANK(C280), C280=""), 0, MAX(0, ROUND((C280-M280)*86400, 0))), 0)</f>
        <v/>
      </c>
      <c r="O280" s="14">
        <f>IF(H280="Post-Bill Void", IF(AND(G280="M-904", I280="Cash"), "EXCEPTION: Concurrent Cash Void", IF(AND(I280="Cash", N280&gt;120), "CRITICAL: Delayed Cash Void", IF(N280&gt;120, "EXCEPTION: Delayed Void", "Standard Void"))), IF(H280="Line Item Void", IF(I280="Cash", "EXCEPTION: Cash Line Void", "Standard Line Void"), IF(H280="No-Sale Drawer Opening", "DRAWER OPENING", "Standard Sale")))</f>
        <v/>
      </c>
    </row>
    <row r="281" ht="18" customHeight="1">
      <c r="A281" s="12" t="inlineStr">
        <is>
          <t>EVT-10232</t>
        </is>
      </c>
      <c r="B281" s="12" t="inlineStr">
        <is>
          <t>TX-80232</t>
        </is>
      </c>
      <c r="C281" s="24" t="n">
        <v>46307.89630787037</v>
      </c>
      <c r="D281" s="12" t="inlineStr">
        <is>
          <t>BR-03</t>
        </is>
      </c>
      <c r="E281" s="12" t="inlineStr">
        <is>
          <t>T-01</t>
        </is>
      </c>
      <c r="F281" s="12" t="inlineStr">
        <is>
          <t>C-112</t>
        </is>
      </c>
      <c r="G281" s="12" t="inlineStr">
        <is>
          <t>NONE</t>
        </is>
      </c>
      <c r="H281" s="11" t="inlineStr">
        <is>
          <t>Sale Tender</t>
        </is>
      </c>
      <c r="I281" s="12" t="inlineStr">
        <is>
          <t>Cash</t>
        </is>
      </c>
      <c r="J281" s="20" t="n">
        <v>1</v>
      </c>
      <c r="K281" s="25" t="n">
        <v>13.66</v>
      </c>
      <c r="L281" s="25" t="n">
        <v>13.66</v>
      </c>
      <c r="M281" s="24" t="n">
        <v>46307.89542824074</v>
      </c>
      <c r="N281" s="26">
        <f>IFERROR(IF(OR(ISBLANK(M281), M281="", ISBLANK(C281), C281=""), 0, MAX(0, ROUND((C281-M281)*86400, 0))), 0)</f>
        <v/>
      </c>
      <c r="O281" s="11">
        <f>IF(H281="Post-Bill Void", IF(AND(G281="M-904", I281="Cash"), "EXCEPTION: Concurrent Cash Void", IF(AND(I281="Cash", N281&gt;120), "CRITICAL: Delayed Cash Void", IF(N281&gt;120, "EXCEPTION: Delayed Void", "Standard Void"))), IF(H281="Line Item Void", IF(I281="Cash", "EXCEPTION: Cash Line Void", "Standard Line Void"), IF(H281="No-Sale Drawer Opening", "DRAWER OPENING", "Standard Sale")))</f>
        <v/>
      </c>
    </row>
    <row r="282" ht="18" customHeight="1">
      <c r="A282" s="15" t="inlineStr">
        <is>
          <t>EVT-10233</t>
        </is>
      </c>
      <c r="B282" s="15" t="inlineStr">
        <is>
          <t>TX-80233</t>
        </is>
      </c>
      <c r="C282" s="27" t="n">
        <v>46307.90289351852</v>
      </c>
      <c r="D282" s="15" t="inlineStr">
        <is>
          <t>BR-04</t>
        </is>
      </c>
      <c r="E282" s="15" t="inlineStr">
        <is>
          <t>T-01</t>
        </is>
      </c>
      <c r="F282" s="15" t="inlineStr">
        <is>
          <t>C-114</t>
        </is>
      </c>
      <c r="G282" s="15" t="inlineStr">
        <is>
          <t>NONE</t>
        </is>
      </c>
      <c r="H282" s="14" t="inlineStr">
        <is>
          <t>Sale Tender</t>
        </is>
      </c>
      <c r="I282" s="15" t="inlineStr">
        <is>
          <t>Cash</t>
        </is>
      </c>
      <c r="J282" s="17" t="n">
        <v>2</v>
      </c>
      <c r="K282" s="28" t="n">
        <v>21.69</v>
      </c>
      <c r="L282" s="28" t="n">
        <v>21.69</v>
      </c>
      <c r="M282" s="27" t="n">
        <v>46307.90230324074</v>
      </c>
      <c r="N282" s="29">
        <f>IFERROR(IF(OR(ISBLANK(M282), M282="", ISBLANK(C282), C282=""), 0, MAX(0, ROUND((C282-M282)*86400, 0))), 0)</f>
        <v/>
      </c>
      <c r="O282" s="14">
        <f>IF(H282="Post-Bill Void", IF(AND(G282="M-904", I282="Cash"), "EXCEPTION: Concurrent Cash Void", IF(AND(I282="Cash", N282&gt;120), "CRITICAL: Delayed Cash Void", IF(N282&gt;120, "EXCEPTION: Delayed Void", "Standard Void"))), IF(H282="Line Item Void", IF(I282="Cash", "EXCEPTION: Cash Line Void", "Standard Line Void"), IF(H282="No-Sale Drawer Opening", "DRAWER OPENING", "Standard Sale")))</f>
        <v/>
      </c>
    </row>
    <row r="283" ht="18" customHeight="1">
      <c r="A283" s="12" t="inlineStr">
        <is>
          <t>EVT-10234</t>
        </is>
      </c>
      <c r="B283" s="12" t="inlineStr">
        <is>
          <t>TX-80234</t>
        </is>
      </c>
      <c r="C283" s="24" t="n">
        <v>46307.91024305556</v>
      </c>
      <c r="D283" s="12" t="inlineStr">
        <is>
          <t>BR-03</t>
        </is>
      </c>
      <c r="E283" s="12" t="inlineStr">
        <is>
          <t>T-02</t>
        </is>
      </c>
      <c r="F283" s="12" t="inlineStr">
        <is>
          <t>C-111</t>
        </is>
      </c>
      <c r="G283" s="12" t="inlineStr">
        <is>
          <t>NONE</t>
        </is>
      </c>
      <c r="H283" s="11" t="inlineStr">
        <is>
          <t>Sale Tender</t>
        </is>
      </c>
      <c r="I283" s="12" t="inlineStr">
        <is>
          <t>Card</t>
        </is>
      </c>
      <c r="J283" s="20" t="n">
        <v>5</v>
      </c>
      <c r="K283" s="25" t="n">
        <v>63.56</v>
      </c>
      <c r="L283" s="25" t="n">
        <v>63.56</v>
      </c>
      <c r="M283" s="24" t="n">
        <v>46307.90976851852</v>
      </c>
      <c r="N283" s="26">
        <f>IFERROR(IF(OR(ISBLANK(M283), M283="", ISBLANK(C283), C283=""), 0, MAX(0, ROUND((C283-M283)*86400, 0))), 0)</f>
        <v/>
      </c>
      <c r="O283" s="11">
        <f>IF(H283="Post-Bill Void", IF(AND(G283="M-904", I283="Cash"), "EXCEPTION: Concurrent Cash Void", IF(AND(I283="Cash", N283&gt;120), "CRITICAL: Delayed Cash Void", IF(N283&gt;120, "EXCEPTION: Delayed Void", "Standard Void"))), IF(H283="Line Item Void", IF(I283="Cash", "EXCEPTION: Cash Line Void", "Standard Line Void"), IF(H283="No-Sale Drawer Opening", "DRAWER OPENING", "Standard Sale")))</f>
        <v/>
      </c>
    </row>
    <row r="284" ht="18" customHeight="1">
      <c r="A284" s="15" t="inlineStr">
        <is>
          <t>EVT-10634</t>
        </is>
      </c>
      <c r="B284" s="15" t="inlineStr">
        <is>
          <t>N/A - NO SALE</t>
        </is>
      </c>
      <c r="C284" s="27" t="n">
        <v>46307.92430555556</v>
      </c>
      <c r="D284" s="15" t="inlineStr">
        <is>
          <t>BR-01</t>
        </is>
      </c>
      <c r="E284" s="15" t="inlineStr">
        <is>
          <t>T-01</t>
        </is>
      </c>
      <c r="F284" s="15" t="inlineStr">
        <is>
          <t>C-103</t>
        </is>
      </c>
      <c r="G284" s="15" t="inlineStr">
        <is>
          <t>NONE</t>
        </is>
      </c>
      <c r="H284" s="14" t="inlineStr">
        <is>
          <t>No-Sale Drawer Opening</t>
        </is>
      </c>
      <c r="I284" s="15" t="inlineStr">
        <is>
          <t>N/A</t>
        </is>
      </c>
      <c r="J284" s="17" t="n">
        <v>0</v>
      </c>
      <c r="K284" s="28" t="n">
        <v>0</v>
      </c>
      <c r="L284" s="28" t="n">
        <v>0</v>
      </c>
      <c r="M284" s="27" t="n">
        <v>46307.92430555556</v>
      </c>
      <c r="N284" s="29">
        <f>IFERROR(IF(OR(ISBLANK(M284), M284="", ISBLANK(C284), C284=""), 0, MAX(0, ROUND((C284-M284)*86400, 0))), 0)</f>
        <v/>
      </c>
      <c r="O284" s="14">
        <f>IF(H284="Post-Bill Void", IF(AND(G284="M-904", I284="Cash"), "EXCEPTION: Concurrent Cash Void", IF(AND(I284="Cash", N284&gt;120), "CRITICAL: Delayed Cash Void", IF(N284&gt;120, "EXCEPTION: Delayed Void", "Standard Void"))), IF(H284="Line Item Void", IF(I284="Cash", "EXCEPTION: Cash Line Void", "Standard Line Void"), IF(H284="No-Sale Drawer Opening", "DRAWER OPENING", "Standard Sale")))</f>
        <v/>
      </c>
    </row>
    <row r="285" ht="18" customHeight="1">
      <c r="A285" s="12" t="inlineStr">
        <is>
          <t>EVT-10598</t>
        </is>
      </c>
      <c r="B285" s="12" t="inlineStr">
        <is>
          <t>N/A - NO SALE</t>
        </is>
      </c>
      <c r="C285" s="24" t="n">
        <v>46307.92986111111</v>
      </c>
      <c r="D285" s="12" t="inlineStr">
        <is>
          <t>BR-03</t>
        </is>
      </c>
      <c r="E285" s="12" t="inlineStr">
        <is>
          <t>T-02</t>
        </is>
      </c>
      <c r="F285" s="12" t="inlineStr">
        <is>
          <t>C-112</t>
        </is>
      </c>
      <c r="G285" s="12" t="inlineStr">
        <is>
          <t>NONE</t>
        </is>
      </c>
      <c r="H285" s="11" t="inlineStr">
        <is>
          <t>No-Sale Drawer Opening</t>
        </is>
      </c>
      <c r="I285" s="12" t="inlineStr">
        <is>
          <t>N/A</t>
        </is>
      </c>
      <c r="J285" s="20" t="n">
        <v>0</v>
      </c>
      <c r="K285" s="25" t="n">
        <v>0</v>
      </c>
      <c r="L285" s="25" t="n">
        <v>0</v>
      </c>
      <c r="M285" s="24" t="n">
        <v>46307.92986111111</v>
      </c>
      <c r="N285" s="26">
        <f>IFERROR(IF(OR(ISBLANK(M285), M285="", ISBLANK(C285), C285=""), 0, MAX(0, ROUND((C285-M285)*86400, 0))), 0)</f>
        <v/>
      </c>
      <c r="O285" s="11">
        <f>IF(H285="Post-Bill Void", IF(AND(G285="M-904", I285="Cash"), "EXCEPTION: Concurrent Cash Void", IF(AND(I285="Cash", N285&gt;120), "CRITICAL: Delayed Cash Void", IF(N285&gt;120, "EXCEPTION: Delayed Void", "Standard Void"))), IF(H285="Line Item Void", IF(I285="Cash", "EXCEPTION: Cash Line Void", "Standard Line Void"), IF(H285="No-Sale Drawer Opening", "DRAWER OPENING", "Standard Sale")))</f>
        <v/>
      </c>
    </row>
    <row r="286" ht="18" customHeight="1">
      <c r="A286" s="15" t="inlineStr">
        <is>
          <t>EVT-10609</t>
        </is>
      </c>
      <c r="B286" s="15" t="inlineStr">
        <is>
          <t>N/A - NO SALE</t>
        </is>
      </c>
      <c r="C286" s="27" t="n">
        <v>46307.93333333333</v>
      </c>
      <c r="D286" s="15" t="inlineStr">
        <is>
          <t>BR-03</t>
        </is>
      </c>
      <c r="E286" s="15" t="inlineStr">
        <is>
          <t>T-02</t>
        </is>
      </c>
      <c r="F286" s="15" t="inlineStr">
        <is>
          <t>C-112</t>
        </is>
      </c>
      <c r="G286" s="15" t="inlineStr">
        <is>
          <t>NONE</t>
        </is>
      </c>
      <c r="H286" s="14" t="inlineStr">
        <is>
          <t>No-Sale Drawer Opening</t>
        </is>
      </c>
      <c r="I286" s="15" t="inlineStr">
        <is>
          <t>N/A</t>
        </is>
      </c>
      <c r="J286" s="17" t="n">
        <v>0</v>
      </c>
      <c r="K286" s="28" t="n">
        <v>0</v>
      </c>
      <c r="L286" s="28" t="n">
        <v>0</v>
      </c>
      <c r="M286" s="27" t="n">
        <v>46307.93333333333</v>
      </c>
      <c r="N286" s="29">
        <f>IFERROR(IF(OR(ISBLANK(M286), M286="", ISBLANK(C286), C286=""), 0, MAX(0, ROUND((C286-M286)*86400, 0))), 0)</f>
        <v/>
      </c>
      <c r="O286" s="14">
        <f>IF(H286="Post-Bill Void", IF(AND(G286="M-904", I286="Cash"), "EXCEPTION: Concurrent Cash Void", IF(AND(I286="Cash", N286&gt;120), "CRITICAL: Delayed Cash Void", IF(N286&gt;120, "EXCEPTION: Delayed Void", "Standard Void"))), IF(H286="Line Item Void", IF(I286="Cash", "EXCEPTION: Cash Line Void", "Standard Line Void"), IF(H286="No-Sale Drawer Opening", "DRAWER OPENING", "Standard Sale")))</f>
        <v/>
      </c>
    </row>
    <row r="287" ht="18" customHeight="1">
      <c r="A287" s="12" t="inlineStr">
        <is>
          <t>EVT-10611</t>
        </is>
      </c>
      <c r="B287" s="12" t="inlineStr">
        <is>
          <t>N/A - NO SALE</t>
        </is>
      </c>
      <c r="C287" s="24" t="n">
        <v>46307.94930555556</v>
      </c>
      <c r="D287" s="12" t="inlineStr">
        <is>
          <t>BR-03</t>
        </is>
      </c>
      <c r="E287" s="12" t="inlineStr">
        <is>
          <t>T-02</t>
        </is>
      </c>
      <c r="F287" s="12" t="inlineStr">
        <is>
          <t>C-112</t>
        </is>
      </c>
      <c r="G287" s="12" t="inlineStr">
        <is>
          <t>NONE</t>
        </is>
      </c>
      <c r="H287" s="11" t="inlineStr">
        <is>
          <t>No-Sale Drawer Opening</t>
        </is>
      </c>
      <c r="I287" s="12" t="inlineStr">
        <is>
          <t>N/A</t>
        </is>
      </c>
      <c r="J287" s="20" t="n">
        <v>0</v>
      </c>
      <c r="K287" s="25" t="n">
        <v>0</v>
      </c>
      <c r="L287" s="25" t="n">
        <v>0</v>
      </c>
      <c r="M287" s="24" t="n">
        <v>46307.94930555556</v>
      </c>
      <c r="N287" s="26">
        <f>IFERROR(IF(OR(ISBLANK(M287), M287="", ISBLANK(C287), C287=""), 0, MAX(0, ROUND((C287-M287)*86400, 0))), 0)</f>
        <v/>
      </c>
      <c r="O287" s="11">
        <f>IF(H287="Post-Bill Void", IF(AND(G287="M-904", I287="Cash"), "EXCEPTION: Concurrent Cash Void", IF(AND(I287="Cash", N287&gt;120), "CRITICAL: Delayed Cash Void", IF(N287&gt;120, "EXCEPTION: Delayed Void", "Standard Void"))), IF(H287="Line Item Void", IF(I287="Cash", "EXCEPTION: Cash Line Void", "Standard Line Void"), IF(H287="No-Sale Drawer Opening", "DRAWER OPENING", "Standard Sale")))</f>
        <v/>
      </c>
    </row>
    <row r="288" ht="18" customHeight="1">
      <c r="A288" s="15" t="inlineStr">
        <is>
          <t>EVT-10617</t>
        </is>
      </c>
      <c r="B288" s="15" t="inlineStr">
        <is>
          <t>N/A - NO SALE</t>
        </is>
      </c>
      <c r="C288" s="27" t="n">
        <v>46307.95277777778</v>
      </c>
      <c r="D288" s="15" t="inlineStr">
        <is>
          <t>BR-03</t>
        </is>
      </c>
      <c r="E288" s="15" t="inlineStr">
        <is>
          <t>T-02</t>
        </is>
      </c>
      <c r="F288" s="15" t="inlineStr">
        <is>
          <t>C-112</t>
        </is>
      </c>
      <c r="G288" s="15" t="inlineStr">
        <is>
          <t>NONE</t>
        </is>
      </c>
      <c r="H288" s="14" t="inlineStr">
        <is>
          <t>No-Sale Drawer Opening</t>
        </is>
      </c>
      <c r="I288" s="15" t="inlineStr">
        <is>
          <t>N/A</t>
        </is>
      </c>
      <c r="J288" s="17" t="n">
        <v>0</v>
      </c>
      <c r="K288" s="28" t="n">
        <v>0</v>
      </c>
      <c r="L288" s="28" t="n">
        <v>0</v>
      </c>
      <c r="M288" s="27" t="n">
        <v>46307.95277777778</v>
      </c>
      <c r="N288" s="29">
        <f>IFERROR(IF(OR(ISBLANK(M288), M288="", ISBLANK(C288), C288=""), 0, MAX(0, ROUND((C288-M288)*86400, 0))), 0)</f>
        <v/>
      </c>
      <c r="O288" s="14">
        <f>IF(H288="Post-Bill Void", IF(AND(G288="M-904", I288="Cash"), "EXCEPTION: Concurrent Cash Void", IF(AND(I288="Cash", N288&gt;120), "CRITICAL: Delayed Cash Void", IF(N288&gt;120, "EXCEPTION: Delayed Void", "Standard Void"))), IF(H288="Line Item Void", IF(I288="Cash", "EXCEPTION: Cash Line Void", "Standard Line Void"), IF(H288="No-Sale Drawer Opening", "DRAWER OPENING", "Standard Sale")))</f>
        <v/>
      </c>
    </row>
    <row r="289" ht="18" customHeight="1">
      <c r="A289" s="12" t="inlineStr">
        <is>
          <t>EVT-10549</t>
        </is>
      </c>
      <c r="B289" s="12" t="inlineStr">
        <is>
          <t>TX-80549</t>
        </is>
      </c>
      <c r="C289" s="24" t="n">
        <v>46308.00902777778</v>
      </c>
      <c r="D289" s="12" t="inlineStr">
        <is>
          <t>BR-01</t>
        </is>
      </c>
      <c r="E289" s="12" t="inlineStr">
        <is>
          <t>T-02</t>
        </is>
      </c>
      <c r="F289" s="12" t="inlineStr">
        <is>
          <t>C-104</t>
        </is>
      </c>
      <c r="G289" s="12" t="inlineStr">
        <is>
          <t>M-901</t>
        </is>
      </c>
      <c r="H289" s="11" t="inlineStr">
        <is>
          <t>Post-Bill Void</t>
        </is>
      </c>
      <c r="I289" s="12" t="inlineStr">
        <is>
          <t>Cash</t>
        </is>
      </c>
      <c r="J289" s="20" t="n">
        <v>4</v>
      </c>
      <c r="K289" s="25" t="n">
        <v>84.09</v>
      </c>
      <c r="L289" s="25" t="n">
        <v>0</v>
      </c>
      <c r="M289" s="24" t="n">
        <v>46308.0049537037</v>
      </c>
      <c r="N289" s="26">
        <f>IFERROR(IF(OR(ISBLANK(M289), M289="", ISBLANK(C289), C289=""), 0, MAX(0, ROUND((C289-M289)*86400, 0))), 0)</f>
        <v/>
      </c>
      <c r="O289" s="11">
        <f>IF(H289="Post-Bill Void", IF(AND(G289="M-904", I289="Cash"), "EXCEPTION: Concurrent Cash Void", IF(AND(I289="Cash", N289&gt;120), "CRITICAL: Delayed Cash Void", IF(N289&gt;120, "EXCEPTION: Delayed Void", "Standard Void"))), IF(H289="Line Item Void", IF(I289="Cash", "EXCEPTION: Cash Line Void", "Standard Line Void"), IF(H289="No-Sale Drawer Opening", "DRAWER OPENING", "Standard Sale")))</f>
        <v/>
      </c>
    </row>
    <row r="290" ht="18" customHeight="1">
      <c r="A290" s="15" t="inlineStr">
        <is>
          <t>EVT-10564</t>
        </is>
      </c>
      <c r="B290" s="15" t="inlineStr">
        <is>
          <t>TX-80564</t>
        </is>
      </c>
      <c r="C290" s="27" t="n">
        <v>46308.04652777778</v>
      </c>
      <c r="D290" s="15" t="inlineStr">
        <is>
          <t>BR-02</t>
        </is>
      </c>
      <c r="E290" s="15" t="inlineStr">
        <is>
          <t>T-01</t>
        </is>
      </c>
      <c r="F290" s="15" t="inlineStr">
        <is>
          <t>C-108</t>
        </is>
      </c>
      <c r="G290" s="15" t="inlineStr">
        <is>
          <t>M-902</t>
        </is>
      </c>
      <c r="H290" s="14" t="inlineStr">
        <is>
          <t>Line Item Void</t>
        </is>
      </c>
      <c r="I290" s="15" t="inlineStr">
        <is>
          <t>Cash</t>
        </is>
      </c>
      <c r="J290" s="17" t="n">
        <v>2</v>
      </c>
      <c r="K290" s="28" t="n">
        <v>36.82</v>
      </c>
      <c r="L290" s="28" t="n">
        <v>0</v>
      </c>
      <c r="M290" s="27" t="n">
        <v>46308.0456712963</v>
      </c>
      <c r="N290" s="29">
        <f>IFERROR(IF(OR(ISBLANK(M290), M290="", ISBLANK(C290), C290=""), 0, MAX(0, ROUND((C290-M290)*86400, 0))), 0)</f>
        <v/>
      </c>
      <c r="O290" s="14">
        <f>IF(H290="Post-Bill Void", IF(AND(G290="M-904", I290="Cash"), "EXCEPTION: Concurrent Cash Void", IF(AND(I290="Cash", N290&gt;120), "CRITICAL: Delayed Cash Void", IF(N290&gt;120, "EXCEPTION: Delayed Void", "Standard Void"))), IF(H290="Line Item Void", IF(I290="Cash", "EXCEPTION: Cash Line Void", "Standard Line Void"), IF(H290="No-Sale Drawer Opening", "DRAWER OPENING", "Standard Sale")))</f>
        <v/>
      </c>
    </row>
    <row r="291" ht="18" customHeight="1">
      <c r="A291" s="12" t="inlineStr">
        <is>
          <t>EVT-10667</t>
        </is>
      </c>
      <c r="B291" s="12" t="inlineStr">
        <is>
          <t>TX-80611</t>
        </is>
      </c>
      <c r="C291" s="24" t="n">
        <v>46308.1</v>
      </c>
      <c r="D291" s="12" t="inlineStr">
        <is>
          <t>BR-04</t>
        </is>
      </c>
      <c r="E291" s="12" t="inlineStr">
        <is>
          <t>T-02</t>
        </is>
      </c>
      <c r="F291" s="12" t="inlineStr">
        <is>
          <t>C-115</t>
        </is>
      </c>
      <c r="G291" s="12" t="inlineStr">
        <is>
          <t>M-904</t>
        </is>
      </c>
      <c r="H291" s="11" t="inlineStr">
        <is>
          <t>Post-Bill Void</t>
        </is>
      </c>
      <c r="I291" s="12" t="inlineStr">
        <is>
          <t>Cash</t>
        </is>
      </c>
      <c r="J291" s="20" t="n">
        <v>2</v>
      </c>
      <c r="K291" s="25" t="n">
        <v>35.55</v>
      </c>
      <c r="L291" s="25" t="n">
        <v>0</v>
      </c>
      <c r="M291" s="24" t="n">
        <v>46308.09936342593</v>
      </c>
      <c r="N291" s="26">
        <f>IFERROR(IF(OR(ISBLANK(M291), M291="", ISBLANK(C291), C291=""), 0, MAX(0, ROUND((C291-M291)*86400, 0))), 0)</f>
        <v/>
      </c>
      <c r="O291" s="11">
        <f>IF(H291="Post-Bill Void", IF(AND(G291="M-904", I291="Cash"), "EXCEPTION: Concurrent Cash Void", IF(AND(I291="Cash", N291&gt;120), "CRITICAL: Delayed Cash Void", IF(N291&gt;120, "EXCEPTION: Delayed Void", "Standard Void"))), IF(H291="Line Item Void", IF(I291="Cash", "EXCEPTION: Cash Line Void", "Standard Line Void"), IF(H291="No-Sale Drawer Opening", "DRAWER OPENING", "Standard Sale")))</f>
        <v/>
      </c>
    </row>
    <row r="292" ht="18" customHeight="1">
      <c r="A292" s="15" t="inlineStr">
        <is>
          <t>EVT-10561</t>
        </is>
      </c>
      <c r="B292" s="15" t="inlineStr">
        <is>
          <t>TX-80561</t>
        </is>
      </c>
      <c r="C292" s="27" t="n">
        <v>46308.11388888889</v>
      </c>
      <c r="D292" s="15" t="inlineStr">
        <is>
          <t>BR-01</t>
        </is>
      </c>
      <c r="E292" s="15" t="inlineStr">
        <is>
          <t>T-02</t>
        </is>
      </c>
      <c r="F292" s="15" t="inlineStr">
        <is>
          <t>C-104</t>
        </is>
      </c>
      <c r="G292" s="15" t="inlineStr">
        <is>
          <t>M-901</t>
        </is>
      </c>
      <c r="H292" s="14" t="inlineStr">
        <is>
          <t>Post-Bill Void</t>
        </is>
      </c>
      <c r="I292" s="15" t="inlineStr">
        <is>
          <t>Cash</t>
        </is>
      </c>
      <c r="J292" s="17" t="n">
        <v>3</v>
      </c>
      <c r="K292" s="28" t="n">
        <v>54.43</v>
      </c>
      <c r="L292" s="28" t="n">
        <v>0</v>
      </c>
      <c r="M292" s="27" t="n">
        <v>46308.11186342593</v>
      </c>
      <c r="N292" s="29">
        <f>IFERROR(IF(OR(ISBLANK(M292), M292="", ISBLANK(C292), C292=""), 0, MAX(0, ROUND((C292-M292)*86400, 0))), 0)</f>
        <v/>
      </c>
      <c r="O292" s="14">
        <f>IF(H292="Post-Bill Void", IF(AND(G292="M-904", I292="Cash"), "EXCEPTION: Concurrent Cash Void", IF(AND(I292="Cash", N292&gt;120), "CRITICAL: Delayed Cash Void", IF(N292&gt;120, "EXCEPTION: Delayed Void", "Standard Void"))), IF(H292="Line Item Void", IF(I292="Cash", "EXCEPTION: Cash Line Void", "Standard Line Void"), IF(H292="No-Sale Drawer Opening", "DRAWER OPENING", "Standard Sale")))</f>
        <v/>
      </c>
    </row>
    <row r="293" ht="18" customHeight="1">
      <c r="A293" s="12" t="inlineStr">
        <is>
          <t>EVT-10547</t>
        </is>
      </c>
      <c r="B293" s="12" t="inlineStr">
        <is>
          <t>TX-80547</t>
        </is>
      </c>
      <c r="C293" s="24" t="n">
        <v>46308.12291666667</v>
      </c>
      <c r="D293" s="12" t="inlineStr">
        <is>
          <t>BR-01</t>
        </is>
      </c>
      <c r="E293" s="12" t="inlineStr">
        <is>
          <t>T-02</t>
        </is>
      </c>
      <c r="F293" s="12" t="inlineStr">
        <is>
          <t>C-104</t>
        </is>
      </c>
      <c r="G293" s="12" t="inlineStr">
        <is>
          <t>M-901</t>
        </is>
      </c>
      <c r="H293" s="11" t="inlineStr">
        <is>
          <t>Post-Bill Void</t>
        </is>
      </c>
      <c r="I293" s="12" t="inlineStr">
        <is>
          <t>Cash</t>
        </is>
      </c>
      <c r="J293" s="20" t="n">
        <v>2</v>
      </c>
      <c r="K293" s="25" t="n">
        <v>33.01</v>
      </c>
      <c r="L293" s="25" t="n">
        <v>0</v>
      </c>
      <c r="M293" s="24" t="n">
        <v>46308.12050925926</v>
      </c>
      <c r="N293" s="26">
        <f>IFERROR(IF(OR(ISBLANK(M293), M293="", ISBLANK(C293), C293=""), 0, MAX(0, ROUND((C293-M293)*86400, 0))), 0)</f>
        <v/>
      </c>
      <c r="O293" s="11">
        <f>IF(H293="Post-Bill Void", IF(AND(G293="M-904", I293="Cash"), "EXCEPTION: Concurrent Cash Void", IF(AND(I293="Cash", N293&gt;120), "CRITICAL: Delayed Cash Void", IF(N293&gt;120, "EXCEPTION: Delayed Void", "Standard Void"))), IF(H293="Line Item Void", IF(I293="Cash", "EXCEPTION: Cash Line Void", "Standard Line Void"), IF(H293="No-Sale Drawer Opening", "DRAWER OPENING", "Standard Sale")))</f>
        <v/>
      </c>
    </row>
    <row r="294" ht="18" customHeight="1">
      <c r="A294" s="15" t="inlineStr">
        <is>
          <t>EVT-10665</t>
        </is>
      </c>
      <c r="B294" s="15" t="inlineStr">
        <is>
          <t>TX-80609</t>
        </is>
      </c>
      <c r="C294" s="27" t="n">
        <v>46308.13125</v>
      </c>
      <c r="D294" s="15" t="inlineStr">
        <is>
          <t>BR-04</t>
        </is>
      </c>
      <c r="E294" s="15" t="inlineStr">
        <is>
          <t>T-02</t>
        </is>
      </c>
      <c r="F294" s="15" t="inlineStr">
        <is>
          <t>C-115</t>
        </is>
      </c>
      <c r="G294" s="15" t="inlineStr">
        <is>
          <t>M-904</t>
        </is>
      </c>
      <c r="H294" s="14" t="inlineStr">
        <is>
          <t>Post-Bill Void</t>
        </is>
      </c>
      <c r="I294" s="15" t="inlineStr">
        <is>
          <t>Cash</t>
        </is>
      </c>
      <c r="J294" s="17" t="n">
        <v>2</v>
      </c>
      <c r="K294" s="28" t="n">
        <v>37.88</v>
      </c>
      <c r="L294" s="28" t="n">
        <v>0</v>
      </c>
      <c r="M294" s="27" t="n">
        <v>46308.13065972222</v>
      </c>
      <c r="N294" s="29">
        <f>IFERROR(IF(OR(ISBLANK(M294), M294="", ISBLANK(C294), C294=""), 0, MAX(0, ROUND((C294-M294)*86400, 0))), 0)</f>
        <v/>
      </c>
      <c r="O294" s="14">
        <f>IF(H294="Post-Bill Void", IF(AND(G294="M-904", I294="Cash"), "EXCEPTION: Concurrent Cash Void", IF(AND(I294="Cash", N294&gt;120), "CRITICAL: Delayed Cash Void", IF(N294&gt;120, "EXCEPTION: Delayed Void", "Standard Void"))), IF(H294="Line Item Void", IF(I294="Cash", "EXCEPTION: Cash Line Void", "Standard Line Void"), IF(H294="No-Sale Drawer Opening", "DRAWER OPENING", "Standard Sale")))</f>
        <v/>
      </c>
    </row>
    <row r="295" ht="18" customHeight="1">
      <c r="A295" s="12" t="inlineStr">
        <is>
          <t>EVT-10568</t>
        </is>
      </c>
      <c r="B295" s="12" t="inlineStr">
        <is>
          <t>TX-80568</t>
        </is>
      </c>
      <c r="C295" s="24" t="n">
        <v>46308.18055555555</v>
      </c>
      <c r="D295" s="12" t="inlineStr">
        <is>
          <t>BR-02</t>
        </is>
      </c>
      <c r="E295" s="12" t="inlineStr">
        <is>
          <t>T-01</t>
        </is>
      </c>
      <c r="F295" s="12" t="inlineStr">
        <is>
          <t>C-108</t>
        </is>
      </c>
      <c r="G295" s="12" t="inlineStr">
        <is>
          <t>M-902</t>
        </is>
      </c>
      <c r="H295" s="11" t="inlineStr">
        <is>
          <t>Line Item Void</t>
        </is>
      </c>
      <c r="I295" s="12" t="inlineStr">
        <is>
          <t>Cash</t>
        </is>
      </c>
      <c r="J295" s="20" t="n">
        <v>2</v>
      </c>
      <c r="K295" s="25" t="n">
        <v>45.07</v>
      </c>
      <c r="L295" s="25" t="n">
        <v>0</v>
      </c>
      <c r="M295" s="24" t="n">
        <v>46308.17974537037</v>
      </c>
      <c r="N295" s="26">
        <f>IFERROR(IF(OR(ISBLANK(M295), M295="", ISBLANK(C295), C295=""), 0, MAX(0, ROUND((C295-M295)*86400, 0))), 0)</f>
        <v/>
      </c>
      <c r="O295" s="11">
        <f>IF(H295="Post-Bill Void", IF(AND(G295="M-904", I295="Cash"), "EXCEPTION: Concurrent Cash Void", IF(AND(I295="Cash", N295&gt;120), "CRITICAL: Delayed Cash Void", IF(N295&gt;120, "EXCEPTION: Delayed Void", "Standard Void"))), IF(H295="Line Item Void", IF(I295="Cash", "EXCEPTION: Cash Line Void", "Standard Line Void"), IF(H295="No-Sale Drawer Opening", "DRAWER OPENING", "Standard Sale")))</f>
        <v/>
      </c>
    </row>
    <row r="296" ht="18" customHeight="1">
      <c r="A296" s="15" t="inlineStr">
        <is>
          <t>EVT-10235</t>
        </is>
      </c>
      <c r="B296" s="15" t="inlineStr">
        <is>
          <t>TX-80235</t>
        </is>
      </c>
      <c r="C296" s="27" t="n">
        <v>46308.37523148148</v>
      </c>
      <c r="D296" s="15" t="inlineStr">
        <is>
          <t>BR-02</t>
        </is>
      </c>
      <c r="E296" s="15" t="inlineStr">
        <is>
          <t>T-01</t>
        </is>
      </c>
      <c r="F296" s="15" t="inlineStr">
        <is>
          <t>C-108</t>
        </is>
      </c>
      <c r="G296" s="15" t="inlineStr">
        <is>
          <t>NONE</t>
        </is>
      </c>
      <c r="H296" s="14" t="inlineStr">
        <is>
          <t>Sale Tender</t>
        </is>
      </c>
      <c r="I296" s="15" t="inlineStr">
        <is>
          <t>Cash</t>
        </is>
      </c>
      <c r="J296" s="17" t="n">
        <v>1</v>
      </c>
      <c r="K296" s="28" t="n">
        <v>8.880000000000001</v>
      </c>
      <c r="L296" s="28" t="n">
        <v>8.880000000000001</v>
      </c>
      <c r="M296" s="27" t="n">
        <v>46308.37428240741</v>
      </c>
      <c r="N296" s="29">
        <f>IFERROR(IF(OR(ISBLANK(M296), M296="", ISBLANK(C296), C296=""), 0, MAX(0, ROUND((C296-M296)*86400, 0))), 0)</f>
        <v/>
      </c>
      <c r="O296" s="14">
        <f>IF(H296="Post-Bill Void", IF(AND(G296="M-904", I296="Cash"), "EXCEPTION: Concurrent Cash Void", IF(AND(I296="Cash", N296&gt;120), "CRITICAL: Delayed Cash Void", IF(N296&gt;120, "EXCEPTION: Delayed Void", "Standard Void"))), IF(H296="Line Item Void", IF(I296="Cash", "EXCEPTION: Cash Line Void", "Standard Line Void"), IF(H296="No-Sale Drawer Opening", "DRAWER OPENING", "Standard Sale")))</f>
        <v/>
      </c>
    </row>
    <row r="297" ht="18" customHeight="1">
      <c r="A297" s="12" t="inlineStr">
        <is>
          <t>EVT-10236</t>
        </is>
      </c>
      <c r="B297" s="12" t="inlineStr">
        <is>
          <t>TX-80236</t>
        </is>
      </c>
      <c r="C297" s="24" t="n">
        <v>46308.38222222222</v>
      </c>
      <c r="D297" s="12" t="inlineStr">
        <is>
          <t>BR-04</t>
        </is>
      </c>
      <c r="E297" s="12" t="inlineStr">
        <is>
          <t>T-02</t>
        </is>
      </c>
      <c r="F297" s="12" t="inlineStr">
        <is>
          <t>C-113</t>
        </is>
      </c>
      <c r="G297" s="12" t="inlineStr">
        <is>
          <t>NONE</t>
        </is>
      </c>
      <c r="H297" s="11" t="inlineStr">
        <is>
          <t>Sale Tender</t>
        </is>
      </c>
      <c r="I297" s="12" t="inlineStr">
        <is>
          <t>Card</t>
        </is>
      </c>
      <c r="J297" s="20" t="n">
        <v>5</v>
      </c>
      <c r="K297" s="25" t="n">
        <v>69.54000000000001</v>
      </c>
      <c r="L297" s="25" t="n">
        <v>69.54000000000001</v>
      </c>
      <c r="M297" s="24" t="n">
        <v>46308.38170138889</v>
      </c>
      <c r="N297" s="26">
        <f>IFERROR(IF(OR(ISBLANK(M297), M297="", ISBLANK(C297), C297=""), 0, MAX(0, ROUND((C297-M297)*86400, 0))), 0)</f>
        <v/>
      </c>
      <c r="O297" s="11">
        <f>IF(H297="Post-Bill Void", IF(AND(G297="M-904", I297="Cash"), "EXCEPTION: Concurrent Cash Void", IF(AND(I297="Cash", N297&gt;120), "CRITICAL: Delayed Cash Void", IF(N297&gt;120, "EXCEPTION: Delayed Void", "Standard Void"))), IF(H297="Line Item Void", IF(I297="Cash", "EXCEPTION: Cash Line Void", "Standard Line Void"), IF(H297="No-Sale Drawer Opening", "DRAWER OPENING", "Standard Sale")))</f>
        <v/>
      </c>
    </row>
    <row r="298" ht="18" customHeight="1">
      <c r="A298" s="15" t="inlineStr">
        <is>
          <t>EVT-10237</t>
        </is>
      </c>
      <c r="B298" s="15" t="inlineStr">
        <is>
          <t>TX-80237</t>
        </is>
      </c>
      <c r="C298" s="27" t="n">
        <v>46308.38902777778</v>
      </c>
      <c r="D298" s="15" t="inlineStr">
        <is>
          <t>BR-02</t>
        </is>
      </c>
      <c r="E298" s="15" t="inlineStr">
        <is>
          <t>T-02</t>
        </is>
      </c>
      <c r="F298" s="15" t="inlineStr">
        <is>
          <t>C-108</t>
        </is>
      </c>
      <c r="G298" s="15" t="inlineStr">
        <is>
          <t>NONE</t>
        </is>
      </c>
      <c r="H298" s="14" t="inlineStr">
        <is>
          <t>Sale Tender</t>
        </is>
      </c>
      <c r="I298" s="15" t="inlineStr">
        <is>
          <t>Card</t>
        </is>
      </c>
      <c r="J298" s="17" t="n">
        <v>3</v>
      </c>
      <c r="K298" s="28" t="n">
        <v>36.69</v>
      </c>
      <c r="L298" s="28" t="n">
        <v>36.69</v>
      </c>
      <c r="M298" s="27" t="n">
        <v>46308.38805555556</v>
      </c>
      <c r="N298" s="29">
        <f>IFERROR(IF(OR(ISBLANK(M298), M298="", ISBLANK(C298), C298=""), 0, MAX(0, ROUND((C298-M298)*86400, 0))), 0)</f>
        <v/>
      </c>
      <c r="O298" s="14">
        <f>IF(H298="Post-Bill Void", IF(AND(G298="M-904", I298="Cash"), "EXCEPTION: Concurrent Cash Void", IF(AND(I298="Cash", N298&gt;120), "CRITICAL: Delayed Cash Void", IF(N298&gt;120, "EXCEPTION: Delayed Void", "Standard Void"))), IF(H298="Line Item Void", IF(I298="Cash", "EXCEPTION: Cash Line Void", "Standard Line Void"), IF(H298="No-Sale Drawer Opening", "DRAWER OPENING", "Standard Sale")))</f>
        <v/>
      </c>
    </row>
    <row r="299" ht="18" customHeight="1">
      <c r="A299" s="12" t="inlineStr">
        <is>
          <t>EVT-10238</t>
        </is>
      </c>
      <c r="B299" s="12" t="inlineStr">
        <is>
          <t>TX-80238</t>
        </is>
      </c>
      <c r="C299" s="24" t="n">
        <v>46308.39589120371</v>
      </c>
      <c r="D299" s="12" t="inlineStr">
        <is>
          <t>BR-04</t>
        </is>
      </c>
      <c r="E299" s="12" t="inlineStr">
        <is>
          <t>T-01</t>
        </is>
      </c>
      <c r="F299" s="12" t="inlineStr">
        <is>
          <t>C-115</t>
        </is>
      </c>
      <c r="G299" s="12" t="inlineStr">
        <is>
          <t>NONE</t>
        </is>
      </c>
      <c r="H299" s="11" t="inlineStr">
        <is>
          <t>Sale Tender</t>
        </is>
      </c>
      <c r="I299" s="12" t="inlineStr">
        <is>
          <t>Cash</t>
        </is>
      </c>
      <c r="J299" s="20" t="n">
        <v>3</v>
      </c>
      <c r="K299" s="25" t="n">
        <v>26.59</v>
      </c>
      <c r="L299" s="25" t="n">
        <v>26.59</v>
      </c>
      <c r="M299" s="24" t="n">
        <v>46308.39525462963</v>
      </c>
      <c r="N299" s="26">
        <f>IFERROR(IF(OR(ISBLANK(M299), M299="", ISBLANK(C299), C299=""), 0, MAX(0, ROUND((C299-M299)*86400, 0))), 0)</f>
        <v/>
      </c>
      <c r="O299" s="11">
        <f>IF(H299="Post-Bill Void", IF(AND(G299="M-904", I299="Cash"), "EXCEPTION: Concurrent Cash Void", IF(AND(I299="Cash", N299&gt;120), "CRITICAL: Delayed Cash Void", IF(N299&gt;120, "EXCEPTION: Delayed Void", "Standard Void"))), IF(H299="Line Item Void", IF(I299="Cash", "EXCEPTION: Cash Line Void", "Standard Line Void"), IF(H299="No-Sale Drawer Opening", "DRAWER OPENING", "Standard Sale")))</f>
        <v/>
      </c>
    </row>
    <row r="300" ht="18" customHeight="1">
      <c r="A300" s="15" t="inlineStr">
        <is>
          <t>EVT-10239</t>
        </is>
      </c>
      <c r="B300" s="15" t="inlineStr">
        <is>
          <t>TX-80239</t>
        </is>
      </c>
      <c r="C300" s="27" t="n">
        <v>46308.40298611111</v>
      </c>
      <c r="D300" s="15" t="inlineStr">
        <is>
          <t>BR-04</t>
        </is>
      </c>
      <c r="E300" s="15" t="inlineStr">
        <is>
          <t>T-02</t>
        </is>
      </c>
      <c r="F300" s="15" t="inlineStr">
        <is>
          <t>C-115</t>
        </is>
      </c>
      <c r="G300" s="15" t="inlineStr">
        <is>
          <t>NONE</t>
        </is>
      </c>
      <c r="H300" s="14" t="inlineStr">
        <is>
          <t>Sale Tender</t>
        </is>
      </c>
      <c r="I300" s="15" t="inlineStr">
        <is>
          <t>Cash</t>
        </is>
      </c>
      <c r="J300" s="17" t="n">
        <v>1</v>
      </c>
      <c r="K300" s="28" t="n">
        <v>14.85</v>
      </c>
      <c r="L300" s="28" t="n">
        <v>14.85</v>
      </c>
      <c r="M300" s="27" t="n">
        <v>46308.40200231481</v>
      </c>
      <c r="N300" s="29">
        <f>IFERROR(IF(OR(ISBLANK(M300), M300="", ISBLANK(C300), C300=""), 0, MAX(0, ROUND((C300-M300)*86400, 0))), 0)</f>
        <v/>
      </c>
      <c r="O300" s="14">
        <f>IF(H300="Post-Bill Void", IF(AND(G300="M-904", I300="Cash"), "EXCEPTION: Concurrent Cash Void", IF(AND(I300="Cash", N300&gt;120), "CRITICAL: Delayed Cash Void", IF(N300&gt;120, "EXCEPTION: Delayed Void", "Standard Void"))), IF(H300="Line Item Void", IF(I300="Cash", "EXCEPTION: Cash Line Void", "Standard Line Void"), IF(H300="No-Sale Drawer Opening", "DRAWER OPENING", "Standard Sale")))</f>
        <v/>
      </c>
    </row>
    <row r="301" ht="18" customHeight="1">
      <c r="A301" s="12" t="inlineStr">
        <is>
          <t>EVT-10240</t>
        </is>
      </c>
      <c r="B301" s="12" t="inlineStr">
        <is>
          <t>TX-80240</t>
        </is>
      </c>
      <c r="C301" s="24" t="n">
        <v>46308.41003472222</v>
      </c>
      <c r="D301" s="12" t="inlineStr">
        <is>
          <t>BR-02</t>
        </is>
      </c>
      <c r="E301" s="12" t="inlineStr">
        <is>
          <t>T-02</t>
        </is>
      </c>
      <c r="F301" s="12" t="inlineStr">
        <is>
          <t>C-107</t>
        </is>
      </c>
      <c r="G301" s="12" t="inlineStr">
        <is>
          <t>NONE</t>
        </is>
      </c>
      <c r="H301" s="11" t="inlineStr">
        <is>
          <t>Sale Tender</t>
        </is>
      </c>
      <c r="I301" s="12" t="inlineStr">
        <is>
          <t>Card</t>
        </is>
      </c>
      <c r="J301" s="20" t="n">
        <v>4</v>
      </c>
      <c r="K301" s="25" t="n">
        <v>35.53</v>
      </c>
      <c r="L301" s="25" t="n">
        <v>35.53</v>
      </c>
      <c r="M301" s="24" t="n">
        <v>46308.4091550926</v>
      </c>
      <c r="N301" s="26">
        <f>IFERROR(IF(OR(ISBLANK(M301), M301="", ISBLANK(C301), C301=""), 0, MAX(0, ROUND((C301-M301)*86400, 0))), 0)</f>
        <v/>
      </c>
      <c r="O301" s="11">
        <f>IF(H301="Post-Bill Void", IF(AND(G301="M-904", I301="Cash"), "EXCEPTION: Concurrent Cash Void", IF(AND(I301="Cash", N301&gt;120), "CRITICAL: Delayed Cash Void", IF(N301&gt;120, "EXCEPTION: Delayed Void", "Standard Void"))), IF(H301="Line Item Void", IF(I301="Cash", "EXCEPTION: Cash Line Void", "Standard Line Void"), IF(H301="No-Sale Drawer Opening", "DRAWER OPENING", "Standard Sale")))</f>
        <v/>
      </c>
    </row>
    <row r="302" ht="18" customHeight="1">
      <c r="A302" s="15" t="inlineStr">
        <is>
          <t>EVT-10241</t>
        </is>
      </c>
      <c r="B302" s="15" t="inlineStr">
        <is>
          <t>TX-80241</t>
        </is>
      </c>
      <c r="C302" s="27" t="n">
        <v>46308.41707175926</v>
      </c>
      <c r="D302" s="15" t="inlineStr">
        <is>
          <t>BR-02</t>
        </is>
      </c>
      <c r="E302" s="15" t="inlineStr">
        <is>
          <t>T-01</t>
        </is>
      </c>
      <c r="F302" s="15" t="inlineStr">
        <is>
          <t>C-107</t>
        </is>
      </c>
      <c r="G302" s="15" t="inlineStr">
        <is>
          <t>NONE</t>
        </is>
      </c>
      <c r="H302" s="14" t="inlineStr">
        <is>
          <t>Sale Tender</t>
        </is>
      </c>
      <c r="I302" s="15" t="inlineStr">
        <is>
          <t>Card</t>
        </is>
      </c>
      <c r="J302" s="17" t="n">
        <v>4</v>
      </c>
      <c r="K302" s="28" t="n">
        <v>56.93</v>
      </c>
      <c r="L302" s="28" t="n">
        <v>56.93</v>
      </c>
      <c r="M302" s="27" t="n">
        <v>46308.41667824074</v>
      </c>
      <c r="N302" s="29">
        <f>IFERROR(IF(OR(ISBLANK(M302), M302="", ISBLANK(C302), C302=""), 0, MAX(0, ROUND((C302-M302)*86400, 0))), 0)</f>
        <v/>
      </c>
      <c r="O302" s="14">
        <f>IF(H302="Post-Bill Void", IF(AND(G302="M-904", I302="Cash"), "EXCEPTION: Concurrent Cash Void", IF(AND(I302="Cash", N302&gt;120), "CRITICAL: Delayed Cash Void", IF(N302&gt;120, "EXCEPTION: Delayed Void", "Standard Void"))), IF(H302="Line Item Void", IF(I302="Cash", "EXCEPTION: Cash Line Void", "Standard Line Void"), IF(H302="No-Sale Drawer Opening", "DRAWER OPENING", "Standard Sale")))</f>
        <v/>
      </c>
    </row>
    <row r="303" ht="18" customHeight="1">
      <c r="A303" s="12" t="inlineStr">
        <is>
          <t>EVT-10242</t>
        </is>
      </c>
      <c r="B303" s="12" t="inlineStr">
        <is>
          <t>TX-80242</t>
        </is>
      </c>
      <c r="C303" s="24" t="n">
        <v>46308.42380787037</v>
      </c>
      <c r="D303" s="12" t="inlineStr">
        <is>
          <t>BR-01</t>
        </is>
      </c>
      <c r="E303" s="12" t="inlineStr">
        <is>
          <t>T-02</t>
        </is>
      </c>
      <c r="F303" s="12" t="inlineStr">
        <is>
          <t>C-102</t>
        </is>
      </c>
      <c r="G303" s="12" t="inlineStr">
        <is>
          <t>NONE</t>
        </is>
      </c>
      <c r="H303" s="11" t="inlineStr">
        <is>
          <t>Sale Tender</t>
        </is>
      </c>
      <c r="I303" s="12" t="inlineStr">
        <is>
          <t>Card</t>
        </is>
      </c>
      <c r="J303" s="20" t="n">
        <v>3</v>
      </c>
      <c r="K303" s="25" t="n">
        <v>38.05</v>
      </c>
      <c r="L303" s="25" t="n">
        <v>38.05</v>
      </c>
      <c r="M303" s="24" t="n">
        <v>46308.42293981482</v>
      </c>
      <c r="N303" s="26">
        <f>IFERROR(IF(OR(ISBLANK(M303), M303="", ISBLANK(C303), C303=""), 0, MAX(0, ROUND((C303-M303)*86400, 0))), 0)</f>
        <v/>
      </c>
      <c r="O303" s="11">
        <f>IF(H303="Post-Bill Void", IF(AND(G303="M-904", I303="Cash"), "EXCEPTION: Concurrent Cash Void", IF(AND(I303="Cash", N303&gt;120), "CRITICAL: Delayed Cash Void", IF(N303&gt;120, "EXCEPTION: Delayed Void", "Standard Void"))), IF(H303="Line Item Void", IF(I303="Cash", "EXCEPTION: Cash Line Void", "Standard Line Void"), IF(H303="No-Sale Drawer Opening", "DRAWER OPENING", "Standard Sale")))</f>
        <v/>
      </c>
    </row>
    <row r="304" ht="18" customHeight="1">
      <c r="A304" s="15" t="inlineStr">
        <is>
          <t>EVT-10243</t>
        </is>
      </c>
      <c r="B304" s="15" t="inlineStr">
        <is>
          <t>TX-80243</t>
        </is>
      </c>
      <c r="C304" s="27" t="n">
        <v>46308.43082175926</v>
      </c>
      <c r="D304" s="15" t="inlineStr">
        <is>
          <t>BR-02</t>
        </is>
      </c>
      <c r="E304" s="15" t="inlineStr">
        <is>
          <t>T-02</t>
        </is>
      </c>
      <c r="F304" s="15" t="inlineStr">
        <is>
          <t>C-106</t>
        </is>
      </c>
      <c r="G304" s="15" t="inlineStr">
        <is>
          <t>NONE</t>
        </is>
      </c>
      <c r="H304" s="14" t="inlineStr">
        <is>
          <t>Sale Tender</t>
        </is>
      </c>
      <c r="I304" s="15" t="inlineStr">
        <is>
          <t>Card</t>
        </is>
      </c>
      <c r="J304" s="17" t="n">
        <v>1</v>
      </c>
      <c r="K304" s="28" t="n">
        <v>8.789999999999999</v>
      </c>
      <c r="L304" s="28" t="n">
        <v>8.789999999999999</v>
      </c>
      <c r="M304" s="27" t="n">
        <v>46308.42994212963</v>
      </c>
      <c r="N304" s="29">
        <f>IFERROR(IF(OR(ISBLANK(M304), M304="", ISBLANK(C304), C304=""), 0, MAX(0, ROUND((C304-M304)*86400, 0))), 0)</f>
        <v/>
      </c>
      <c r="O304" s="14">
        <f>IF(H304="Post-Bill Void", IF(AND(G304="M-904", I304="Cash"), "EXCEPTION: Concurrent Cash Void", IF(AND(I304="Cash", N304&gt;120), "CRITICAL: Delayed Cash Void", IF(N304&gt;120, "EXCEPTION: Delayed Void", "Standard Void"))), IF(H304="Line Item Void", IF(I304="Cash", "EXCEPTION: Cash Line Void", "Standard Line Void"), IF(H304="No-Sale Drawer Opening", "DRAWER OPENING", "Standard Sale")))</f>
        <v/>
      </c>
    </row>
    <row r="305" ht="18" customHeight="1">
      <c r="A305" s="12" t="inlineStr">
        <is>
          <t>EVT-10244</t>
        </is>
      </c>
      <c r="B305" s="12" t="inlineStr">
        <is>
          <t>TX-80244</t>
        </is>
      </c>
      <c r="C305" s="24" t="n">
        <v>46308.43802083333</v>
      </c>
      <c r="D305" s="12" t="inlineStr">
        <is>
          <t>BR-03</t>
        </is>
      </c>
      <c r="E305" s="12" t="inlineStr">
        <is>
          <t>T-01</t>
        </is>
      </c>
      <c r="F305" s="12" t="inlineStr">
        <is>
          <t>C-112</t>
        </is>
      </c>
      <c r="G305" s="12" t="inlineStr">
        <is>
          <t>NONE</t>
        </is>
      </c>
      <c r="H305" s="11" t="inlineStr">
        <is>
          <t>Sale Tender</t>
        </is>
      </c>
      <c r="I305" s="12" t="inlineStr">
        <is>
          <t>Card</t>
        </is>
      </c>
      <c r="J305" s="20" t="n">
        <v>5</v>
      </c>
      <c r="K305" s="25" t="n">
        <v>47.74</v>
      </c>
      <c r="L305" s="25" t="n">
        <v>47.74</v>
      </c>
      <c r="M305" s="24" t="n">
        <v>46308.43751157408</v>
      </c>
      <c r="N305" s="26">
        <f>IFERROR(IF(OR(ISBLANK(M305), M305="", ISBLANK(C305), C305=""), 0, MAX(0, ROUND((C305-M305)*86400, 0))), 0)</f>
        <v/>
      </c>
      <c r="O305" s="11">
        <f>IF(H305="Post-Bill Void", IF(AND(G305="M-904", I305="Cash"), "EXCEPTION: Concurrent Cash Void", IF(AND(I305="Cash", N305&gt;120), "CRITICAL: Delayed Cash Void", IF(N305&gt;120, "EXCEPTION: Delayed Void", "Standard Void"))), IF(H305="Line Item Void", IF(I305="Cash", "EXCEPTION: Cash Line Void", "Standard Line Void"), IF(H305="No-Sale Drawer Opening", "DRAWER OPENING", "Standard Sale")))</f>
        <v/>
      </c>
    </row>
    <row r="306" ht="18" customHeight="1">
      <c r="A306" s="15" t="inlineStr">
        <is>
          <t>EVT-10245</t>
        </is>
      </c>
      <c r="B306" s="15" t="inlineStr">
        <is>
          <t>TX-80245</t>
        </is>
      </c>
      <c r="C306" s="27" t="n">
        <v>46308.44512731482</v>
      </c>
      <c r="D306" s="15" t="inlineStr">
        <is>
          <t>BR-03</t>
        </is>
      </c>
      <c r="E306" s="15" t="inlineStr">
        <is>
          <t>T-01</t>
        </is>
      </c>
      <c r="F306" s="15" t="inlineStr">
        <is>
          <t>C-110</t>
        </is>
      </c>
      <c r="G306" s="15" t="inlineStr">
        <is>
          <t>NONE</t>
        </is>
      </c>
      <c r="H306" s="14" t="inlineStr">
        <is>
          <t>Sale Tender</t>
        </is>
      </c>
      <c r="I306" s="15" t="inlineStr">
        <is>
          <t>Card</t>
        </is>
      </c>
      <c r="J306" s="17" t="n">
        <v>5</v>
      </c>
      <c r="K306" s="28" t="n">
        <v>73.56</v>
      </c>
      <c r="L306" s="28" t="n">
        <v>73.56</v>
      </c>
      <c r="M306" s="27" t="n">
        <v>46308.44439814815</v>
      </c>
      <c r="N306" s="29">
        <f>IFERROR(IF(OR(ISBLANK(M306), M306="", ISBLANK(C306), C306=""), 0, MAX(0, ROUND((C306-M306)*86400, 0))), 0)</f>
        <v/>
      </c>
      <c r="O306" s="14">
        <f>IF(H306="Post-Bill Void", IF(AND(G306="M-904", I306="Cash"), "EXCEPTION: Concurrent Cash Void", IF(AND(I306="Cash", N306&gt;120), "CRITICAL: Delayed Cash Void", IF(N306&gt;120, "EXCEPTION: Delayed Void", "Standard Void"))), IF(H306="Line Item Void", IF(I306="Cash", "EXCEPTION: Cash Line Void", "Standard Line Void"), IF(H306="No-Sale Drawer Opening", "DRAWER OPENING", "Standard Sale")))</f>
        <v/>
      </c>
    </row>
    <row r="307" ht="18" customHeight="1">
      <c r="A307" s="12" t="inlineStr">
        <is>
          <t>EVT-10246</t>
        </is>
      </c>
      <c r="B307" s="12" t="inlineStr">
        <is>
          <t>TX-80246</t>
        </is>
      </c>
      <c r="C307" s="24" t="n">
        <v>46308.45178240741</v>
      </c>
      <c r="D307" s="12" t="inlineStr">
        <is>
          <t>BR-04</t>
        </is>
      </c>
      <c r="E307" s="12" t="inlineStr">
        <is>
          <t>T-01</t>
        </is>
      </c>
      <c r="F307" s="12" t="inlineStr">
        <is>
          <t>C-115</t>
        </is>
      </c>
      <c r="G307" s="12" t="inlineStr">
        <is>
          <t>NONE</t>
        </is>
      </c>
      <c r="H307" s="11" t="inlineStr">
        <is>
          <t>Sale Tender</t>
        </is>
      </c>
      <c r="I307" s="12" t="inlineStr">
        <is>
          <t>Card</t>
        </is>
      </c>
      <c r="J307" s="20" t="n">
        <v>3</v>
      </c>
      <c r="K307" s="25" t="n">
        <v>32.95</v>
      </c>
      <c r="L307" s="25" t="n">
        <v>32.95</v>
      </c>
      <c r="M307" s="24" t="n">
        <v>46308.45079861111</v>
      </c>
      <c r="N307" s="26">
        <f>IFERROR(IF(OR(ISBLANK(M307), M307="", ISBLANK(C307), C307=""), 0, MAX(0, ROUND((C307-M307)*86400, 0))), 0)</f>
        <v/>
      </c>
      <c r="O307" s="11">
        <f>IF(H307="Post-Bill Void", IF(AND(G307="M-904", I307="Cash"), "EXCEPTION: Concurrent Cash Void", IF(AND(I307="Cash", N307&gt;120), "CRITICAL: Delayed Cash Void", IF(N307&gt;120, "EXCEPTION: Delayed Void", "Standard Void"))), IF(H307="Line Item Void", IF(I307="Cash", "EXCEPTION: Cash Line Void", "Standard Line Void"), IF(H307="No-Sale Drawer Opening", "DRAWER OPENING", "Standard Sale")))</f>
        <v/>
      </c>
    </row>
    <row r="308" ht="18" customHeight="1">
      <c r="A308" s="15" t="inlineStr">
        <is>
          <t>EVT-10247</t>
        </is>
      </c>
      <c r="B308" s="15" t="inlineStr">
        <is>
          <t>TX-80247</t>
        </is>
      </c>
      <c r="C308" s="27" t="n">
        <v>46308.45841435185</v>
      </c>
      <c r="D308" s="15" t="inlineStr">
        <is>
          <t>BR-04</t>
        </is>
      </c>
      <c r="E308" s="15" t="inlineStr">
        <is>
          <t>T-01</t>
        </is>
      </c>
      <c r="F308" s="15" t="inlineStr">
        <is>
          <t>C-115</t>
        </is>
      </c>
      <c r="G308" s="15" t="inlineStr">
        <is>
          <t>NONE</t>
        </is>
      </c>
      <c r="H308" s="14" t="inlineStr">
        <is>
          <t>Sale Tender</t>
        </is>
      </c>
      <c r="I308" s="15" t="inlineStr">
        <is>
          <t>Card</t>
        </is>
      </c>
      <c r="J308" s="17" t="n">
        <v>3</v>
      </c>
      <c r="K308" s="28" t="n">
        <v>47.26</v>
      </c>
      <c r="L308" s="28" t="n">
        <v>47.26</v>
      </c>
      <c r="M308" s="27" t="n">
        <v>46308.45809027777</v>
      </c>
      <c r="N308" s="29">
        <f>IFERROR(IF(OR(ISBLANK(M308), M308="", ISBLANK(C308), C308=""), 0, MAX(0, ROUND((C308-M308)*86400, 0))), 0)</f>
        <v/>
      </c>
      <c r="O308" s="14">
        <f>IF(H308="Post-Bill Void", IF(AND(G308="M-904", I308="Cash"), "EXCEPTION: Concurrent Cash Void", IF(AND(I308="Cash", N308&gt;120), "CRITICAL: Delayed Cash Void", IF(N308&gt;120, "EXCEPTION: Delayed Void", "Standard Void"))), IF(H308="Line Item Void", IF(I308="Cash", "EXCEPTION: Cash Line Void", "Standard Line Void"), IF(H308="No-Sale Drawer Opening", "DRAWER OPENING", "Standard Sale")))</f>
        <v/>
      </c>
    </row>
    <row r="309" ht="18" customHeight="1">
      <c r="A309" s="12" t="inlineStr">
        <is>
          <t>EVT-10248</t>
        </is>
      </c>
      <c r="B309" s="12" t="inlineStr">
        <is>
          <t>TX-80248</t>
        </is>
      </c>
      <c r="C309" s="24" t="n">
        <v>46308.46585648148</v>
      </c>
      <c r="D309" s="12" t="inlineStr">
        <is>
          <t>BR-02</t>
        </is>
      </c>
      <c r="E309" s="12" t="inlineStr">
        <is>
          <t>T-01</t>
        </is>
      </c>
      <c r="F309" s="12" t="inlineStr">
        <is>
          <t>C-105</t>
        </is>
      </c>
      <c r="G309" s="12" t="inlineStr">
        <is>
          <t>NONE</t>
        </is>
      </c>
      <c r="H309" s="11" t="inlineStr">
        <is>
          <t>Sale Tender</t>
        </is>
      </c>
      <c r="I309" s="12" t="inlineStr">
        <is>
          <t>Card</t>
        </is>
      </c>
      <c r="J309" s="20" t="n">
        <v>6</v>
      </c>
      <c r="K309" s="25" t="n">
        <v>78.89</v>
      </c>
      <c r="L309" s="25" t="n">
        <v>78.89</v>
      </c>
      <c r="M309" s="24" t="n">
        <v>46308.46532407407</v>
      </c>
      <c r="N309" s="26">
        <f>IFERROR(IF(OR(ISBLANK(M309), M309="", ISBLANK(C309), C309=""), 0, MAX(0, ROUND((C309-M309)*86400, 0))), 0)</f>
        <v/>
      </c>
      <c r="O309" s="11">
        <f>IF(H309="Post-Bill Void", IF(AND(G309="M-904", I309="Cash"), "EXCEPTION: Concurrent Cash Void", IF(AND(I309="Cash", N309&gt;120), "CRITICAL: Delayed Cash Void", IF(N309&gt;120, "EXCEPTION: Delayed Void", "Standard Void"))), IF(H309="Line Item Void", IF(I309="Cash", "EXCEPTION: Cash Line Void", "Standard Line Void"), IF(H309="No-Sale Drawer Opening", "DRAWER OPENING", "Standard Sale")))</f>
        <v/>
      </c>
    </row>
    <row r="310" ht="18" customHeight="1">
      <c r="A310" s="15" t="inlineStr">
        <is>
          <t>EVT-10249</t>
        </is>
      </c>
      <c r="B310" s="15" t="inlineStr">
        <is>
          <t>TX-80249</t>
        </is>
      </c>
      <c r="C310" s="27" t="n">
        <v>46308.47283564815</v>
      </c>
      <c r="D310" s="15" t="inlineStr">
        <is>
          <t>BR-04</t>
        </is>
      </c>
      <c r="E310" s="15" t="inlineStr">
        <is>
          <t>T-02</t>
        </is>
      </c>
      <c r="F310" s="15" t="inlineStr">
        <is>
          <t>C-113</t>
        </is>
      </c>
      <c r="G310" s="15" t="inlineStr">
        <is>
          <t>NONE</t>
        </is>
      </c>
      <c r="H310" s="14" t="inlineStr">
        <is>
          <t>Sale Tender</t>
        </is>
      </c>
      <c r="I310" s="15" t="inlineStr">
        <is>
          <t>Cash</t>
        </is>
      </c>
      <c r="J310" s="17" t="n">
        <v>6</v>
      </c>
      <c r="K310" s="28" t="n">
        <v>55.95</v>
      </c>
      <c r="L310" s="28" t="n">
        <v>55.95</v>
      </c>
      <c r="M310" s="27" t="n">
        <v>46308.4721875</v>
      </c>
      <c r="N310" s="29">
        <f>IFERROR(IF(OR(ISBLANK(M310), M310="", ISBLANK(C310), C310=""), 0, MAX(0, ROUND((C310-M310)*86400, 0))), 0)</f>
        <v/>
      </c>
      <c r="O310" s="14">
        <f>IF(H310="Post-Bill Void", IF(AND(G310="M-904", I310="Cash"), "EXCEPTION: Concurrent Cash Void", IF(AND(I310="Cash", N310&gt;120), "CRITICAL: Delayed Cash Void", IF(N310&gt;120, "EXCEPTION: Delayed Void", "Standard Void"))), IF(H310="Line Item Void", IF(I310="Cash", "EXCEPTION: Cash Line Void", "Standard Line Void"), IF(H310="No-Sale Drawer Opening", "DRAWER OPENING", "Standard Sale")))</f>
        <v/>
      </c>
    </row>
    <row r="311" ht="18" customHeight="1">
      <c r="A311" s="12" t="inlineStr">
        <is>
          <t>EVT-10250</t>
        </is>
      </c>
      <c r="B311" s="12" t="inlineStr">
        <is>
          <t>TX-80250</t>
        </is>
      </c>
      <c r="C311" s="24" t="n">
        <v>46308.47917824074</v>
      </c>
      <c r="D311" s="12" t="inlineStr">
        <is>
          <t>BR-04</t>
        </is>
      </c>
      <c r="E311" s="12" t="inlineStr">
        <is>
          <t>T-01</t>
        </is>
      </c>
      <c r="F311" s="12" t="inlineStr">
        <is>
          <t>C-114</t>
        </is>
      </c>
      <c r="G311" s="12" t="inlineStr">
        <is>
          <t>NONE</t>
        </is>
      </c>
      <c r="H311" s="11" t="inlineStr">
        <is>
          <t>Sale Tender</t>
        </is>
      </c>
      <c r="I311" s="12" t="inlineStr">
        <is>
          <t>Card</t>
        </is>
      </c>
      <c r="J311" s="20" t="n">
        <v>4</v>
      </c>
      <c r="K311" s="25" t="n">
        <v>49.05</v>
      </c>
      <c r="L311" s="25" t="n">
        <v>49.05</v>
      </c>
      <c r="M311" s="24" t="n">
        <v>46308.47828703704</v>
      </c>
      <c r="N311" s="26">
        <f>IFERROR(IF(OR(ISBLANK(M311), M311="", ISBLANK(C311), C311=""), 0, MAX(0, ROUND((C311-M311)*86400, 0))), 0)</f>
        <v/>
      </c>
      <c r="O311" s="11">
        <f>IF(H311="Post-Bill Void", IF(AND(G311="M-904", I311="Cash"), "EXCEPTION: Concurrent Cash Void", IF(AND(I311="Cash", N311&gt;120), "CRITICAL: Delayed Cash Void", IF(N311&gt;120, "EXCEPTION: Delayed Void", "Standard Void"))), IF(H311="Line Item Void", IF(I311="Cash", "EXCEPTION: Cash Line Void", "Standard Line Void"), IF(H311="No-Sale Drawer Opening", "DRAWER OPENING", "Standard Sale")))</f>
        <v/>
      </c>
    </row>
    <row r="312" ht="18" customHeight="1">
      <c r="A312" s="15" t="inlineStr">
        <is>
          <t>EVT-10251</t>
        </is>
      </c>
      <c r="B312" s="15" t="inlineStr">
        <is>
          <t>TX-80251</t>
        </is>
      </c>
      <c r="C312" s="27" t="n">
        <v>46308.4865625</v>
      </c>
      <c r="D312" s="15" t="inlineStr">
        <is>
          <t>BR-04</t>
        </is>
      </c>
      <c r="E312" s="15" t="inlineStr">
        <is>
          <t>T-02</t>
        </is>
      </c>
      <c r="F312" s="15" t="inlineStr">
        <is>
          <t>C-115</t>
        </is>
      </c>
      <c r="G312" s="15" t="inlineStr">
        <is>
          <t>NONE</t>
        </is>
      </c>
      <c r="H312" s="14" t="inlineStr">
        <is>
          <t>Sale Tender</t>
        </is>
      </c>
      <c r="I312" s="15" t="inlineStr">
        <is>
          <t>Card</t>
        </is>
      </c>
      <c r="J312" s="17" t="n">
        <v>5</v>
      </c>
      <c r="K312" s="28" t="n">
        <v>54.69</v>
      </c>
      <c r="L312" s="28" t="n">
        <v>54.69</v>
      </c>
      <c r="M312" s="27" t="n">
        <v>46308.48607638889</v>
      </c>
      <c r="N312" s="29">
        <f>IFERROR(IF(OR(ISBLANK(M312), M312="", ISBLANK(C312), C312=""), 0, MAX(0, ROUND((C312-M312)*86400, 0))), 0)</f>
        <v/>
      </c>
      <c r="O312" s="14">
        <f>IF(H312="Post-Bill Void", IF(AND(G312="M-904", I312="Cash"), "EXCEPTION: Concurrent Cash Void", IF(AND(I312="Cash", N312&gt;120), "CRITICAL: Delayed Cash Void", IF(N312&gt;120, "EXCEPTION: Delayed Void", "Standard Void"))), IF(H312="Line Item Void", IF(I312="Cash", "EXCEPTION: Cash Line Void", "Standard Line Void"), IF(H312="No-Sale Drawer Opening", "DRAWER OPENING", "Standard Sale")))</f>
        <v/>
      </c>
    </row>
    <row r="313" ht="18" customHeight="1">
      <c r="A313" s="12" t="inlineStr">
        <is>
          <t>EVT-10252</t>
        </is>
      </c>
      <c r="B313" s="12" t="inlineStr">
        <is>
          <t>TX-80252</t>
        </is>
      </c>
      <c r="C313" s="24" t="n">
        <v>46308.49354166666</v>
      </c>
      <c r="D313" s="12" t="inlineStr">
        <is>
          <t>BR-04</t>
        </is>
      </c>
      <c r="E313" s="12" t="inlineStr">
        <is>
          <t>T-01</t>
        </is>
      </c>
      <c r="F313" s="12" t="inlineStr">
        <is>
          <t>C-115</t>
        </is>
      </c>
      <c r="G313" s="12" t="inlineStr">
        <is>
          <t>NONE</t>
        </is>
      </c>
      <c r="H313" s="11" t="inlineStr">
        <is>
          <t>Sale Tender</t>
        </is>
      </c>
      <c r="I313" s="12" t="inlineStr">
        <is>
          <t>Card</t>
        </is>
      </c>
      <c r="J313" s="20" t="n">
        <v>5</v>
      </c>
      <c r="K313" s="25" t="n">
        <v>55.34</v>
      </c>
      <c r="L313" s="25" t="n">
        <v>55.34</v>
      </c>
      <c r="M313" s="24" t="n">
        <v>46308.49299768519</v>
      </c>
      <c r="N313" s="26">
        <f>IFERROR(IF(OR(ISBLANK(M313), M313="", ISBLANK(C313), C313=""), 0, MAX(0, ROUND((C313-M313)*86400, 0))), 0)</f>
        <v/>
      </c>
      <c r="O313" s="11">
        <f>IF(H313="Post-Bill Void", IF(AND(G313="M-904", I313="Cash"), "EXCEPTION: Concurrent Cash Void", IF(AND(I313="Cash", N313&gt;120), "CRITICAL: Delayed Cash Void", IF(N313&gt;120, "EXCEPTION: Delayed Void", "Standard Void"))), IF(H313="Line Item Void", IF(I313="Cash", "EXCEPTION: Cash Line Void", "Standard Line Void"), IF(H313="No-Sale Drawer Opening", "DRAWER OPENING", "Standard Sale")))</f>
        <v/>
      </c>
    </row>
    <row r="314" ht="18" customHeight="1">
      <c r="A314" s="15" t="inlineStr">
        <is>
          <t>EVT-10253</t>
        </is>
      </c>
      <c r="B314" s="15" t="inlineStr">
        <is>
          <t>TX-80253</t>
        </is>
      </c>
      <c r="C314" s="27" t="n">
        <v>46308.50025462963</v>
      </c>
      <c r="D314" s="15" t="inlineStr">
        <is>
          <t>BR-03</t>
        </is>
      </c>
      <c r="E314" s="15" t="inlineStr">
        <is>
          <t>T-01</t>
        </is>
      </c>
      <c r="F314" s="15" t="inlineStr">
        <is>
          <t>C-112</t>
        </is>
      </c>
      <c r="G314" s="15" t="inlineStr">
        <is>
          <t>NONE</t>
        </is>
      </c>
      <c r="H314" s="14" t="inlineStr">
        <is>
          <t>Sale Tender</t>
        </is>
      </c>
      <c r="I314" s="15" t="inlineStr">
        <is>
          <t>Cash</t>
        </is>
      </c>
      <c r="J314" s="17" t="n">
        <v>3</v>
      </c>
      <c r="K314" s="28" t="n">
        <v>30.56</v>
      </c>
      <c r="L314" s="28" t="n">
        <v>30.56</v>
      </c>
      <c r="M314" s="27" t="n">
        <v>46308.49960648148</v>
      </c>
      <c r="N314" s="29">
        <f>IFERROR(IF(OR(ISBLANK(M314), M314="", ISBLANK(C314), C314=""), 0, MAX(0, ROUND((C314-M314)*86400, 0))), 0)</f>
        <v/>
      </c>
      <c r="O314" s="14">
        <f>IF(H314="Post-Bill Void", IF(AND(G314="M-904", I314="Cash"), "EXCEPTION: Concurrent Cash Void", IF(AND(I314="Cash", N314&gt;120), "CRITICAL: Delayed Cash Void", IF(N314&gt;120, "EXCEPTION: Delayed Void", "Standard Void"))), IF(H314="Line Item Void", IF(I314="Cash", "EXCEPTION: Cash Line Void", "Standard Line Void"), IF(H314="No-Sale Drawer Opening", "DRAWER OPENING", "Standard Sale")))</f>
        <v/>
      </c>
    </row>
    <row r="315" ht="18" customHeight="1">
      <c r="A315" s="12" t="inlineStr">
        <is>
          <t>EVT-10254</t>
        </is>
      </c>
      <c r="B315" s="12" t="inlineStr">
        <is>
          <t>TX-80254</t>
        </is>
      </c>
      <c r="C315" s="24" t="n">
        <v>46308.50716435185</v>
      </c>
      <c r="D315" s="12" t="inlineStr">
        <is>
          <t>BR-03</t>
        </is>
      </c>
      <c r="E315" s="12" t="inlineStr">
        <is>
          <t>T-02</t>
        </is>
      </c>
      <c r="F315" s="12" t="inlineStr">
        <is>
          <t>C-110</t>
        </is>
      </c>
      <c r="G315" s="12" t="inlineStr">
        <is>
          <t>NONE</t>
        </is>
      </c>
      <c r="H315" s="11" t="inlineStr">
        <is>
          <t>Sale Tender</t>
        </is>
      </c>
      <c r="I315" s="12" t="inlineStr">
        <is>
          <t>Cash</t>
        </is>
      </c>
      <c r="J315" s="20" t="n">
        <v>3</v>
      </c>
      <c r="K315" s="25" t="n">
        <v>38.11</v>
      </c>
      <c r="L315" s="25" t="n">
        <v>38.11</v>
      </c>
      <c r="M315" s="24" t="n">
        <v>46308.50615740741</v>
      </c>
      <c r="N315" s="26">
        <f>IFERROR(IF(OR(ISBLANK(M315), M315="", ISBLANK(C315), C315=""), 0, MAX(0, ROUND((C315-M315)*86400, 0))), 0)</f>
        <v/>
      </c>
      <c r="O315" s="11">
        <f>IF(H315="Post-Bill Void", IF(AND(G315="M-904", I315="Cash"), "EXCEPTION: Concurrent Cash Void", IF(AND(I315="Cash", N315&gt;120), "CRITICAL: Delayed Cash Void", IF(N315&gt;120, "EXCEPTION: Delayed Void", "Standard Void"))), IF(H315="Line Item Void", IF(I315="Cash", "EXCEPTION: Cash Line Void", "Standard Line Void"), IF(H315="No-Sale Drawer Opening", "DRAWER OPENING", "Standard Sale")))</f>
        <v/>
      </c>
    </row>
    <row r="316" ht="18" customHeight="1">
      <c r="A316" s="15" t="inlineStr">
        <is>
          <t>EVT-10255</t>
        </is>
      </c>
      <c r="B316" s="15" t="inlineStr">
        <is>
          <t>TX-80255</t>
        </is>
      </c>
      <c r="C316" s="27" t="n">
        <v>46308.51457175926</v>
      </c>
      <c r="D316" s="15" t="inlineStr">
        <is>
          <t>BR-03</t>
        </is>
      </c>
      <c r="E316" s="15" t="inlineStr">
        <is>
          <t>T-01</t>
        </is>
      </c>
      <c r="F316" s="15" t="inlineStr">
        <is>
          <t>C-111</t>
        </is>
      </c>
      <c r="G316" s="15" t="inlineStr">
        <is>
          <t>NONE</t>
        </is>
      </c>
      <c r="H316" s="14" t="inlineStr">
        <is>
          <t>Sale Tender</t>
        </is>
      </c>
      <c r="I316" s="15" t="inlineStr">
        <is>
          <t>Card</t>
        </is>
      </c>
      <c r="J316" s="17" t="n">
        <v>4</v>
      </c>
      <c r="K316" s="28" t="n">
        <v>58.55</v>
      </c>
      <c r="L316" s="28" t="n">
        <v>58.55</v>
      </c>
      <c r="M316" s="27" t="n">
        <v>46308.5134837963</v>
      </c>
      <c r="N316" s="29">
        <f>IFERROR(IF(OR(ISBLANK(M316), M316="", ISBLANK(C316), C316=""), 0, MAX(0, ROUND((C316-M316)*86400, 0))), 0)</f>
        <v/>
      </c>
      <c r="O316" s="14">
        <f>IF(H316="Post-Bill Void", IF(AND(G316="M-904", I316="Cash"), "EXCEPTION: Concurrent Cash Void", IF(AND(I316="Cash", N316&gt;120), "CRITICAL: Delayed Cash Void", IF(N316&gt;120, "EXCEPTION: Delayed Void", "Standard Void"))), IF(H316="Line Item Void", IF(I316="Cash", "EXCEPTION: Cash Line Void", "Standard Line Void"), IF(H316="No-Sale Drawer Opening", "DRAWER OPENING", "Standard Sale")))</f>
        <v/>
      </c>
    </row>
    <row r="317" ht="18" customHeight="1">
      <c r="A317" s="12" t="inlineStr">
        <is>
          <t>EVT-10256</t>
        </is>
      </c>
      <c r="B317" s="12" t="inlineStr">
        <is>
          <t>TX-80256</t>
        </is>
      </c>
      <c r="C317" s="24" t="n">
        <v>46308.52140046296</v>
      </c>
      <c r="D317" s="12" t="inlineStr">
        <is>
          <t>BR-02</t>
        </is>
      </c>
      <c r="E317" s="12" t="inlineStr">
        <is>
          <t>T-01</t>
        </is>
      </c>
      <c r="F317" s="12" t="inlineStr">
        <is>
          <t>C-107</t>
        </is>
      </c>
      <c r="G317" s="12" t="inlineStr">
        <is>
          <t>NONE</t>
        </is>
      </c>
      <c r="H317" s="11" t="inlineStr">
        <is>
          <t>Sale Tender</t>
        </is>
      </c>
      <c r="I317" s="12" t="inlineStr">
        <is>
          <t>Cash</t>
        </is>
      </c>
      <c r="J317" s="20" t="n">
        <v>4</v>
      </c>
      <c r="K317" s="25" t="n">
        <v>53.68</v>
      </c>
      <c r="L317" s="25" t="n">
        <v>53.68</v>
      </c>
      <c r="M317" s="24" t="n">
        <v>46308.52099537037</v>
      </c>
      <c r="N317" s="26">
        <f>IFERROR(IF(OR(ISBLANK(M317), M317="", ISBLANK(C317), C317=""), 0, MAX(0, ROUND((C317-M317)*86400, 0))), 0)</f>
        <v/>
      </c>
      <c r="O317" s="11">
        <f>IF(H317="Post-Bill Void", IF(AND(G317="M-904", I317="Cash"), "EXCEPTION: Concurrent Cash Void", IF(AND(I317="Cash", N317&gt;120), "CRITICAL: Delayed Cash Void", IF(N317&gt;120, "EXCEPTION: Delayed Void", "Standard Void"))), IF(H317="Line Item Void", IF(I317="Cash", "EXCEPTION: Cash Line Void", "Standard Line Void"), IF(H317="No-Sale Drawer Opening", "DRAWER OPENING", "Standard Sale")))</f>
        <v/>
      </c>
    </row>
    <row r="318" ht="18" customHeight="1">
      <c r="A318" s="15" t="inlineStr">
        <is>
          <t>EVT-10257</t>
        </is>
      </c>
      <c r="B318" s="15" t="inlineStr">
        <is>
          <t>TX-80257</t>
        </is>
      </c>
      <c r="C318" s="27" t="n">
        <v>46308.52832175926</v>
      </c>
      <c r="D318" s="15" t="inlineStr">
        <is>
          <t>BR-04</t>
        </is>
      </c>
      <c r="E318" s="15" t="inlineStr">
        <is>
          <t>T-01</t>
        </is>
      </c>
      <c r="F318" s="15" t="inlineStr">
        <is>
          <t>C-113</t>
        </is>
      </c>
      <c r="G318" s="15" t="inlineStr">
        <is>
          <t>NONE</t>
        </is>
      </c>
      <c r="H318" s="14" t="inlineStr">
        <is>
          <t>Sale Tender</t>
        </is>
      </c>
      <c r="I318" s="15" t="inlineStr">
        <is>
          <t>Cash</t>
        </is>
      </c>
      <c r="J318" s="17" t="n">
        <v>5</v>
      </c>
      <c r="K318" s="28" t="n">
        <v>68.61</v>
      </c>
      <c r="L318" s="28" t="n">
        <v>68.61</v>
      </c>
      <c r="M318" s="27" t="n">
        <v>46308.52724537037</v>
      </c>
      <c r="N318" s="29">
        <f>IFERROR(IF(OR(ISBLANK(M318), M318="", ISBLANK(C318), C318=""), 0, MAX(0, ROUND((C318-M318)*86400, 0))), 0)</f>
        <v/>
      </c>
      <c r="O318" s="14">
        <f>IF(H318="Post-Bill Void", IF(AND(G318="M-904", I318="Cash"), "EXCEPTION: Concurrent Cash Void", IF(AND(I318="Cash", N318&gt;120), "CRITICAL: Delayed Cash Void", IF(N318&gt;120, "EXCEPTION: Delayed Void", "Standard Void"))), IF(H318="Line Item Void", IF(I318="Cash", "EXCEPTION: Cash Line Void", "Standard Line Void"), IF(H318="No-Sale Drawer Opening", "DRAWER OPENING", "Standard Sale")))</f>
        <v/>
      </c>
    </row>
    <row r="319" ht="18" customHeight="1">
      <c r="A319" s="12" t="inlineStr">
        <is>
          <t>EVT-10258</t>
        </is>
      </c>
      <c r="B319" s="12" t="inlineStr">
        <is>
          <t>TX-80258</t>
        </is>
      </c>
      <c r="C319" s="24" t="n">
        <v>46308.53481481481</v>
      </c>
      <c r="D319" s="12" t="inlineStr">
        <is>
          <t>BR-01</t>
        </is>
      </c>
      <c r="E319" s="12" t="inlineStr">
        <is>
          <t>T-01</t>
        </is>
      </c>
      <c r="F319" s="12" t="inlineStr">
        <is>
          <t>C-102</t>
        </is>
      </c>
      <c r="G319" s="12" t="inlineStr">
        <is>
          <t>NONE</t>
        </is>
      </c>
      <c r="H319" s="11" t="inlineStr">
        <is>
          <t>Sale Tender</t>
        </is>
      </c>
      <c r="I319" s="12" t="inlineStr">
        <is>
          <t>Cash</t>
        </is>
      </c>
      <c r="J319" s="20" t="n">
        <v>2</v>
      </c>
      <c r="K319" s="25" t="n">
        <v>17.79</v>
      </c>
      <c r="L319" s="25" t="n">
        <v>17.79</v>
      </c>
      <c r="M319" s="24" t="n">
        <v>46308.53375</v>
      </c>
      <c r="N319" s="26">
        <f>IFERROR(IF(OR(ISBLANK(M319), M319="", ISBLANK(C319), C319=""), 0, MAX(0, ROUND((C319-M319)*86400, 0))), 0)</f>
        <v/>
      </c>
      <c r="O319" s="11">
        <f>IF(H319="Post-Bill Void", IF(AND(G319="M-904", I319="Cash"), "EXCEPTION: Concurrent Cash Void", IF(AND(I319="Cash", N319&gt;120), "CRITICAL: Delayed Cash Void", IF(N319&gt;120, "EXCEPTION: Delayed Void", "Standard Void"))), IF(H319="Line Item Void", IF(I319="Cash", "EXCEPTION: Cash Line Void", "Standard Line Void"), IF(H319="No-Sale Drawer Opening", "DRAWER OPENING", "Standard Sale")))</f>
        <v/>
      </c>
    </row>
    <row r="320" ht="18" customHeight="1">
      <c r="A320" s="15" t="inlineStr">
        <is>
          <t>EVT-10259</t>
        </is>
      </c>
      <c r="B320" s="15" t="inlineStr">
        <is>
          <t>TX-80259</t>
        </is>
      </c>
      <c r="C320" s="27" t="n">
        <v>46308.5419675926</v>
      </c>
      <c r="D320" s="15" t="inlineStr">
        <is>
          <t>BR-03</t>
        </is>
      </c>
      <c r="E320" s="15" t="inlineStr">
        <is>
          <t>T-01</t>
        </is>
      </c>
      <c r="F320" s="15" t="inlineStr">
        <is>
          <t>C-112</t>
        </is>
      </c>
      <c r="G320" s="15" t="inlineStr">
        <is>
          <t>NONE</t>
        </is>
      </c>
      <c r="H320" s="14" t="inlineStr">
        <is>
          <t>Sale Tender</t>
        </is>
      </c>
      <c r="I320" s="15" t="inlineStr">
        <is>
          <t>Cash</t>
        </is>
      </c>
      <c r="J320" s="17" t="n">
        <v>5</v>
      </c>
      <c r="K320" s="28" t="n">
        <v>79.17</v>
      </c>
      <c r="L320" s="28" t="n">
        <v>79.17</v>
      </c>
      <c r="M320" s="27" t="n">
        <v>46308.54148148148</v>
      </c>
      <c r="N320" s="29">
        <f>IFERROR(IF(OR(ISBLANK(M320), M320="", ISBLANK(C320), C320=""), 0, MAX(0, ROUND((C320-M320)*86400, 0))), 0)</f>
        <v/>
      </c>
      <c r="O320" s="14">
        <f>IF(H320="Post-Bill Void", IF(AND(G320="M-904", I320="Cash"), "EXCEPTION: Concurrent Cash Void", IF(AND(I320="Cash", N320&gt;120), "CRITICAL: Delayed Cash Void", IF(N320&gt;120, "EXCEPTION: Delayed Void", "Standard Void"))), IF(H320="Line Item Void", IF(I320="Cash", "EXCEPTION: Cash Line Void", "Standard Line Void"), IF(H320="No-Sale Drawer Opening", "DRAWER OPENING", "Standard Sale")))</f>
        <v/>
      </c>
    </row>
    <row r="321" ht="18" customHeight="1">
      <c r="A321" s="12" t="inlineStr">
        <is>
          <t>EVT-10260</t>
        </is>
      </c>
      <c r="B321" s="12" t="inlineStr">
        <is>
          <t>TX-80260</t>
        </is>
      </c>
      <c r="C321" s="24" t="n">
        <v>46308.54872685186</v>
      </c>
      <c r="D321" s="12" t="inlineStr">
        <is>
          <t>BR-04</t>
        </is>
      </c>
      <c r="E321" s="12" t="inlineStr">
        <is>
          <t>T-02</t>
        </is>
      </c>
      <c r="F321" s="12" t="inlineStr">
        <is>
          <t>C-115</t>
        </is>
      </c>
      <c r="G321" s="12" t="inlineStr">
        <is>
          <t>NONE</t>
        </is>
      </c>
      <c r="H321" s="11" t="inlineStr">
        <is>
          <t>Sale Tender</t>
        </is>
      </c>
      <c r="I321" s="12" t="inlineStr">
        <is>
          <t>Card</t>
        </is>
      </c>
      <c r="J321" s="20" t="n">
        <v>2</v>
      </c>
      <c r="K321" s="25" t="n">
        <v>28.34</v>
      </c>
      <c r="L321" s="25" t="n">
        <v>28.34</v>
      </c>
      <c r="M321" s="24" t="n">
        <v>46308.54774305555</v>
      </c>
      <c r="N321" s="26">
        <f>IFERROR(IF(OR(ISBLANK(M321), M321="", ISBLANK(C321), C321=""), 0, MAX(0, ROUND((C321-M321)*86400, 0))), 0)</f>
        <v/>
      </c>
      <c r="O321" s="11">
        <f>IF(H321="Post-Bill Void", IF(AND(G321="M-904", I321="Cash"), "EXCEPTION: Concurrent Cash Void", IF(AND(I321="Cash", N321&gt;120), "CRITICAL: Delayed Cash Void", IF(N321&gt;120, "EXCEPTION: Delayed Void", "Standard Void"))), IF(H321="Line Item Void", IF(I321="Cash", "EXCEPTION: Cash Line Void", "Standard Line Void"), IF(H321="No-Sale Drawer Opening", "DRAWER OPENING", "Standard Sale")))</f>
        <v/>
      </c>
    </row>
    <row r="322" ht="18" customHeight="1">
      <c r="A322" s="15" t="inlineStr">
        <is>
          <t>EVT-10261</t>
        </is>
      </c>
      <c r="B322" s="15" t="inlineStr">
        <is>
          <t>TX-80261</t>
        </is>
      </c>
      <c r="C322" s="27" t="n">
        <v>46308.55576388889</v>
      </c>
      <c r="D322" s="15" t="inlineStr">
        <is>
          <t>BR-03</t>
        </is>
      </c>
      <c r="E322" s="15" t="inlineStr">
        <is>
          <t>T-02</t>
        </is>
      </c>
      <c r="F322" s="15" t="inlineStr">
        <is>
          <t>C-111</t>
        </is>
      </c>
      <c r="G322" s="15" t="inlineStr">
        <is>
          <t>NONE</t>
        </is>
      </c>
      <c r="H322" s="14" t="inlineStr">
        <is>
          <t>Sale Tender</t>
        </is>
      </c>
      <c r="I322" s="15" t="inlineStr">
        <is>
          <t>Card</t>
        </is>
      </c>
      <c r="J322" s="17" t="n">
        <v>2</v>
      </c>
      <c r="K322" s="28" t="n">
        <v>25.03</v>
      </c>
      <c r="L322" s="28" t="n">
        <v>25.03</v>
      </c>
      <c r="M322" s="27" t="n">
        <v>46308.55534722222</v>
      </c>
      <c r="N322" s="29">
        <f>IFERROR(IF(OR(ISBLANK(M322), M322="", ISBLANK(C322), C322=""), 0, MAX(0, ROUND((C322-M322)*86400, 0))), 0)</f>
        <v/>
      </c>
      <c r="O322" s="14">
        <f>IF(H322="Post-Bill Void", IF(AND(G322="M-904", I322="Cash"), "EXCEPTION: Concurrent Cash Void", IF(AND(I322="Cash", N322&gt;120), "CRITICAL: Delayed Cash Void", IF(N322&gt;120, "EXCEPTION: Delayed Void", "Standard Void"))), IF(H322="Line Item Void", IF(I322="Cash", "EXCEPTION: Cash Line Void", "Standard Line Void"), IF(H322="No-Sale Drawer Opening", "DRAWER OPENING", "Standard Sale")))</f>
        <v/>
      </c>
    </row>
    <row r="323" ht="18" customHeight="1">
      <c r="A323" s="12" t="inlineStr">
        <is>
          <t>EVT-10262</t>
        </is>
      </c>
      <c r="B323" s="12" t="inlineStr">
        <is>
          <t>TX-80262</t>
        </is>
      </c>
      <c r="C323" s="24" t="n">
        <v>46308.56303240741</v>
      </c>
      <c r="D323" s="12" t="inlineStr">
        <is>
          <t>BR-01</t>
        </is>
      </c>
      <c r="E323" s="12" t="inlineStr">
        <is>
          <t>T-01</t>
        </is>
      </c>
      <c r="F323" s="12" t="inlineStr">
        <is>
          <t>C-102</t>
        </is>
      </c>
      <c r="G323" s="12" t="inlineStr">
        <is>
          <t>NONE</t>
        </is>
      </c>
      <c r="H323" s="11" t="inlineStr">
        <is>
          <t>Sale Tender</t>
        </is>
      </c>
      <c r="I323" s="12" t="inlineStr">
        <is>
          <t>Delivery Aggregator</t>
        </is>
      </c>
      <c r="J323" s="20" t="n">
        <v>1</v>
      </c>
      <c r="K323" s="25" t="n">
        <v>15.98</v>
      </c>
      <c r="L323" s="25" t="n">
        <v>15.98</v>
      </c>
      <c r="M323" s="24" t="n">
        <v>46308.56248842592</v>
      </c>
      <c r="N323" s="26">
        <f>IFERROR(IF(OR(ISBLANK(M323), M323="", ISBLANK(C323), C323=""), 0, MAX(0, ROUND((C323-M323)*86400, 0))), 0)</f>
        <v/>
      </c>
      <c r="O323" s="11">
        <f>IF(H323="Post-Bill Void", IF(AND(G323="M-904", I323="Cash"), "EXCEPTION: Concurrent Cash Void", IF(AND(I323="Cash", N323&gt;120), "CRITICAL: Delayed Cash Void", IF(N323&gt;120, "EXCEPTION: Delayed Void", "Standard Void"))), IF(H323="Line Item Void", IF(I323="Cash", "EXCEPTION: Cash Line Void", "Standard Line Void"), IF(H323="No-Sale Drawer Opening", "DRAWER OPENING", "Standard Sale")))</f>
        <v/>
      </c>
    </row>
    <row r="324" ht="18" customHeight="1">
      <c r="A324" s="15" t="inlineStr">
        <is>
          <t>EVT-10263</t>
        </is>
      </c>
      <c r="B324" s="15" t="inlineStr">
        <is>
          <t>TX-80263</t>
        </is>
      </c>
      <c r="C324" s="27" t="n">
        <v>46308.5697337963</v>
      </c>
      <c r="D324" s="15" t="inlineStr">
        <is>
          <t>BR-04</t>
        </is>
      </c>
      <c r="E324" s="15" t="inlineStr">
        <is>
          <t>T-02</t>
        </is>
      </c>
      <c r="F324" s="15" t="inlineStr">
        <is>
          <t>C-113</t>
        </is>
      </c>
      <c r="G324" s="15" t="inlineStr">
        <is>
          <t>NONE</t>
        </is>
      </c>
      <c r="H324" s="14" t="inlineStr">
        <is>
          <t>Sale Tender</t>
        </is>
      </c>
      <c r="I324" s="15" t="inlineStr">
        <is>
          <t>Delivery Aggregator</t>
        </is>
      </c>
      <c r="J324" s="17" t="n">
        <v>1</v>
      </c>
      <c r="K324" s="28" t="n">
        <v>10.74</v>
      </c>
      <c r="L324" s="28" t="n">
        <v>10.74</v>
      </c>
      <c r="M324" s="27" t="n">
        <v>46308.56901620371</v>
      </c>
      <c r="N324" s="29">
        <f>IFERROR(IF(OR(ISBLANK(M324), M324="", ISBLANK(C324), C324=""), 0, MAX(0, ROUND((C324-M324)*86400, 0))), 0)</f>
        <v/>
      </c>
      <c r="O324" s="14">
        <f>IF(H324="Post-Bill Void", IF(AND(G324="M-904", I324="Cash"), "EXCEPTION: Concurrent Cash Void", IF(AND(I324="Cash", N324&gt;120), "CRITICAL: Delayed Cash Void", IF(N324&gt;120, "EXCEPTION: Delayed Void", "Standard Void"))), IF(H324="Line Item Void", IF(I324="Cash", "EXCEPTION: Cash Line Void", "Standard Line Void"), IF(H324="No-Sale Drawer Opening", "DRAWER OPENING", "Standard Sale")))</f>
        <v/>
      </c>
    </row>
    <row r="325" ht="18" customHeight="1">
      <c r="A325" s="12" t="inlineStr">
        <is>
          <t>EVT-10264</t>
        </is>
      </c>
      <c r="B325" s="12" t="inlineStr">
        <is>
          <t>TX-80264</t>
        </is>
      </c>
      <c r="C325" s="24" t="n">
        <v>46308.57682870371</v>
      </c>
      <c r="D325" s="12" t="inlineStr">
        <is>
          <t>BR-01</t>
        </is>
      </c>
      <c r="E325" s="12" t="inlineStr">
        <is>
          <t>T-01</t>
        </is>
      </c>
      <c r="F325" s="12" t="inlineStr">
        <is>
          <t>C-103</t>
        </is>
      </c>
      <c r="G325" s="12" t="inlineStr">
        <is>
          <t>NONE</t>
        </is>
      </c>
      <c r="H325" s="11" t="inlineStr">
        <is>
          <t>Sale Tender</t>
        </is>
      </c>
      <c r="I325" s="12" t="inlineStr">
        <is>
          <t>Card</t>
        </is>
      </c>
      <c r="J325" s="20" t="n">
        <v>2</v>
      </c>
      <c r="K325" s="25" t="n">
        <v>29.77</v>
      </c>
      <c r="L325" s="25" t="n">
        <v>29.77</v>
      </c>
      <c r="M325" s="24" t="n">
        <v>46308.57574074074</v>
      </c>
      <c r="N325" s="26">
        <f>IFERROR(IF(OR(ISBLANK(M325), M325="", ISBLANK(C325), C325=""), 0, MAX(0, ROUND((C325-M325)*86400, 0))), 0)</f>
        <v/>
      </c>
      <c r="O325" s="11">
        <f>IF(H325="Post-Bill Void", IF(AND(G325="M-904", I325="Cash"), "EXCEPTION: Concurrent Cash Void", IF(AND(I325="Cash", N325&gt;120), "CRITICAL: Delayed Cash Void", IF(N325&gt;120, "EXCEPTION: Delayed Void", "Standard Void"))), IF(H325="Line Item Void", IF(I325="Cash", "EXCEPTION: Cash Line Void", "Standard Line Void"), IF(H325="No-Sale Drawer Opening", "DRAWER OPENING", "Standard Sale")))</f>
        <v/>
      </c>
    </row>
    <row r="326" ht="18" customHeight="1">
      <c r="A326" s="15" t="inlineStr">
        <is>
          <t>EVT-10265</t>
        </is>
      </c>
      <c r="B326" s="15" t="inlineStr">
        <is>
          <t>TX-80265</t>
        </is>
      </c>
      <c r="C326" s="27" t="n">
        <v>46308.58366898148</v>
      </c>
      <c r="D326" s="15" t="inlineStr">
        <is>
          <t>BR-03</t>
        </is>
      </c>
      <c r="E326" s="15" t="inlineStr">
        <is>
          <t>T-02</t>
        </is>
      </c>
      <c r="F326" s="15" t="inlineStr">
        <is>
          <t>C-110</t>
        </is>
      </c>
      <c r="G326" s="15" t="inlineStr">
        <is>
          <t>NONE</t>
        </is>
      </c>
      <c r="H326" s="14" t="inlineStr">
        <is>
          <t>Sale Tender</t>
        </is>
      </c>
      <c r="I326" s="15" t="inlineStr">
        <is>
          <t>Cash</t>
        </is>
      </c>
      <c r="J326" s="17" t="n">
        <v>4</v>
      </c>
      <c r="K326" s="28" t="n">
        <v>53.45</v>
      </c>
      <c r="L326" s="28" t="n">
        <v>53.45</v>
      </c>
      <c r="M326" s="27" t="n">
        <v>46308.58289351852</v>
      </c>
      <c r="N326" s="29">
        <f>IFERROR(IF(OR(ISBLANK(M326), M326="", ISBLANK(C326), C326=""), 0, MAX(0, ROUND((C326-M326)*86400, 0))), 0)</f>
        <v/>
      </c>
      <c r="O326" s="14">
        <f>IF(H326="Post-Bill Void", IF(AND(G326="M-904", I326="Cash"), "EXCEPTION: Concurrent Cash Void", IF(AND(I326="Cash", N326&gt;120), "CRITICAL: Delayed Cash Void", IF(N326&gt;120, "EXCEPTION: Delayed Void", "Standard Void"))), IF(H326="Line Item Void", IF(I326="Cash", "EXCEPTION: Cash Line Void", "Standard Line Void"), IF(H326="No-Sale Drawer Opening", "DRAWER OPENING", "Standard Sale")))</f>
        <v/>
      </c>
    </row>
    <row r="327" ht="18" customHeight="1">
      <c r="A327" s="12" t="inlineStr">
        <is>
          <t>EVT-10266</t>
        </is>
      </c>
      <c r="B327" s="12" t="inlineStr">
        <is>
          <t>TX-80266</t>
        </is>
      </c>
      <c r="C327" s="24" t="n">
        <v>46308.59079861111</v>
      </c>
      <c r="D327" s="12" t="inlineStr">
        <is>
          <t>BR-02</t>
        </is>
      </c>
      <c r="E327" s="12" t="inlineStr">
        <is>
          <t>T-02</t>
        </is>
      </c>
      <c r="F327" s="12" t="inlineStr">
        <is>
          <t>C-105</t>
        </is>
      </c>
      <c r="G327" s="12" t="inlineStr">
        <is>
          <t>NONE</t>
        </is>
      </c>
      <c r="H327" s="11" t="inlineStr">
        <is>
          <t>Sale Tender</t>
        </is>
      </c>
      <c r="I327" s="12" t="inlineStr">
        <is>
          <t>Card</t>
        </is>
      </c>
      <c r="J327" s="20" t="n">
        <v>2</v>
      </c>
      <c r="K327" s="25" t="n">
        <v>19.63</v>
      </c>
      <c r="L327" s="25" t="n">
        <v>19.63</v>
      </c>
      <c r="M327" s="24" t="n">
        <v>46308.59008101852</v>
      </c>
      <c r="N327" s="26">
        <f>IFERROR(IF(OR(ISBLANK(M327), M327="", ISBLANK(C327), C327=""), 0, MAX(0, ROUND((C327-M327)*86400, 0))), 0)</f>
        <v/>
      </c>
      <c r="O327" s="11">
        <f>IF(H327="Post-Bill Void", IF(AND(G327="M-904", I327="Cash"), "EXCEPTION: Concurrent Cash Void", IF(AND(I327="Cash", N327&gt;120), "CRITICAL: Delayed Cash Void", IF(N327&gt;120, "EXCEPTION: Delayed Void", "Standard Void"))), IF(H327="Line Item Void", IF(I327="Cash", "EXCEPTION: Cash Line Void", "Standard Line Void"), IF(H327="No-Sale Drawer Opening", "DRAWER OPENING", "Standard Sale")))</f>
        <v/>
      </c>
    </row>
    <row r="328" ht="18" customHeight="1">
      <c r="A328" s="15" t="inlineStr">
        <is>
          <t>EVT-10267</t>
        </is>
      </c>
      <c r="B328" s="15" t="inlineStr">
        <is>
          <t>TX-80267</t>
        </is>
      </c>
      <c r="C328" s="27" t="n">
        <v>46308.59784722222</v>
      </c>
      <c r="D328" s="15" t="inlineStr">
        <is>
          <t>BR-04</t>
        </is>
      </c>
      <c r="E328" s="15" t="inlineStr">
        <is>
          <t>T-01</t>
        </is>
      </c>
      <c r="F328" s="15" t="inlineStr">
        <is>
          <t>C-114</t>
        </is>
      </c>
      <c r="G328" s="15" t="inlineStr">
        <is>
          <t>NONE</t>
        </is>
      </c>
      <c r="H328" s="14" t="inlineStr">
        <is>
          <t>Sale Tender</t>
        </is>
      </c>
      <c r="I328" s="15" t="inlineStr">
        <is>
          <t>Card</t>
        </is>
      </c>
      <c r="J328" s="17" t="n">
        <v>1</v>
      </c>
      <c r="K328" s="28" t="n">
        <v>9.890000000000001</v>
      </c>
      <c r="L328" s="28" t="n">
        <v>9.890000000000001</v>
      </c>
      <c r="M328" s="27" t="n">
        <v>46308.59743055556</v>
      </c>
      <c r="N328" s="29">
        <f>IFERROR(IF(OR(ISBLANK(M328), M328="", ISBLANK(C328), C328=""), 0, MAX(0, ROUND((C328-M328)*86400, 0))), 0)</f>
        <v/>
      </c>
      <c r="O328" s="14">
        <f>IF(H328="Post-Bill Void", IF(AND(G328="M-904", I328="Cash"), "EXCEPTION: Concurrent Cash Void", IF(AND(I328="Cash", N328&gt;120), "CRITICAL: Delayed Cash Void", IF(N328&gt;120, "EXCEPTION: Delayed Void", "Standard Void"))), IF(H328="Line Item Void", IF(I328="Cash", "EXCEPTION: Cash Line Void", "Standard Line Void"), IF(H328="No-Sale Drawer Opening", "DRAWER OPENING", "Standard Sale")))</f>
        <v/>
      </c>
    </row>
    <row r="329" ht="18" customHeight="1">
      <c r="A329" s="12" t="inlineStr">
        <is>
          <t>EVT-10268</t>
        </is>
      </c>
      <c r="B329" s="12" t="inlineStr">
        <is>
          <t>TX-80268</t>
        </is>
      </c>
      <c r="C329" s="24" t="n">
        <v>46308.60425925926</v>
      </c>
      <c r="D329" s="12" t="inlineStr">
        <is>
          <t>BR-04</t>
        </is>
      </c>
      <c r="E329" s="12" t="inlineStr">
        <is>
          <t>T-02</t>
        </is>
      </c>
      <c r="F329" s="12" t="inlineStr">
        <is>
          <t>C-114</t>
        </is>
      </c>
      <c r="G329" s="12" t="inlineStr">
        <is>
          <t>NONE</t>
        </is>
      </c>
      <c r="H329" s="11" t="inlineStr">
        <is>
          <t>Sale Tender</t>
        </is>
      </c>
      <c r="I329" s="12" t="inlineStr">
        <is>
          <t>Cash</t>
        </is>
      </c>
      <c r="J329" s="20" t="n">
        <v>2</v>
      </c>
      <c r="K329" s="25" t="n">
        <v>23.7</v>
      </c>
      <c r="L329" s="25" t="n">
        <v>23.7</v>
      </c>
      <c r="M329" s="24" t="n">
        <v>46308.60396990741</v>
      </c>
      <c r="N329" s="26">
        <f>IFERROR(IF(OR(ISBLANK(M329), M329="", ISBLANK(C329), C329=""), 0, MAX(0, ROUND((C329-M329)*86400, 0))), 0)</f>
        <v/>
      </c>
      <c r="O329" s="11">
        <f>IF(H329="Post-Bill Void", IF(AND(G329="M-904", I329="Cash"), "EXCEPTION: Concurrent Cash Void", IF(AND(I329="Cash", N329&gt;120), "CRITICAL: Delayed Cash Void", IF(N329&gt;120, "EXCEPTION: Delayed Void", "Standard Void"))), IF(H329="Line Item Void", IF(I329="Cash", "EXCEPTION: Cash Line Void", "Standard Line Void"), IF(H329="No-Sale Drawer Opening", "DRAWER OPENING", "Standard Sale")))</f>
        <v/>
      </c>
    </row>
    <row r="330" ht="18" customHeight="1">
      <c r="A330" s="15" t="inlineStr">
        <is>
          <t>EVT-10269</t>
        </is>
      </c>
      <c r="B330" s="15" t="inlineStr">
        <is>
          <t>TX-80269</t>
        </is>
      </c>
      <c r="C330" s="27" t="n">
        <v>46308.61130787037</v>
      </c>
      <c r="D330" s="15" t="inlineStr">
        <is>
          <t>BR-03</t>
        </is>
      </c>
      <c r="E330" s="15" t="inlineStr">
        <is>
          <t>T-01</t>
        </is>
      </c>
      <c r="F330" s="15" t="inlineStr">
        <is>
          <t>C-111</t>
        </is>
      </c>
      <c r="G330" s="15" t="inlineStr">
        <is>
          <t>NONE</t>
        </is>
      </c>
      <c r="H330" s="14" t="inlineStr">
        <is>
          <t>Sale Tender</t>
        </is>
      </c>
      <c r="I330" s="15" t="inlineStr">
        <is>
          <t>Cash</t>
        </is>
      </c>
      <c r="J330" s="17" t="n">
        <v>3</v>
      </c>
      <c r="K330" s="28" t="n">
        <v>41.09</v>
      </c>
      <c r="L330" s="28" t="n">
        <v>41.09</v>
      </c>
      <c r="M330" s="27" t="n">
        <v>46308.61100694445</v>
      </c>
      <c r="N330" s="29">
        <f>IFERROR(IF(OR(ISBLANK(M330), M330="", ISBLANK(C330), C330=""), 0, MAX(0, ROUND((C330-M330)*86400, 0))), 0)</f>
        <v/>
      </c>
      <c r="O330" s="14">
        <f>IF(H330="Post-Bill Void", IF(AND(G330="M-904", I330="Cash"), "EXCEPTION: Concurrent Cash Void", IF(AND(I330="Cash", N330&gt;120), "CRITICAL: Delayed Cash Void", IF(N330&gt;120, "EXCEPTION: Delayed Void", "Standard Void"))), IF(H330="Line Item Void", IF(I330="Cash", "EXCEPTION: Cash Line Void", "Standard Line Void"), IF(H330="No-Sale Drawer Opening", "DRAWER OPENING", "Standard Sale")))</f>
        <v/>
      </c>
    </row>
    <row r="331" ht="18" customHeight="1">
      <c r="A331" s="12" t="inlineStr">
        <is>
          <t>EVT-10270</t>
        </is>
      </c>
      <c r="B331" s="12" t="inlineStr">
        <is>
          <t>TX-80270</t>
        </is>
      </c>
      <c r="C331" s="24" t="n">
        <v>46308.61809027778</v>
      </c>
      <c r="D331" s="12" t="inlineStr">
        <is>
          <t>BR-01</t>
        </is>
      </c>
      <c r="E331" s="12" t="inlineStr">
        <is>
          <t>T-01</t>
        </is>
      </c>
      <c r="F331" s="12" t="inlineStr">
        <is>
          <t>C-104</t>
        </is>
      </c>
      <c r="G331" s="12" t="inlineStr">
        <is>
          <t>NONE</t>
        </is>
      </c>
      <c r="H331" s="11" t="inlineStr">
        <is>
          <t>Sale Tender</t>
        </is>
      </c>
      <c r="I331" s="12" t="inlineStr">
        <is>
          <t>Card</t>
        </is>
      </c>
      <c r="J331" s="20" t="n">
        <v>6</v>
      </c>
      <c r="K331" s="25" t="n">
        <v>85.64</v>
      </c>
      <c r="L331" s="25" t="n">
        <v>85.64</v>
      </c>
      <c r="M331" s="24" t="n">
        <v>46308.61721064815</v>
      </c>
      <c r="N331" s="26">
        <f>IFERROR(IF(OR(ISBLANK(M331), M331="", ISBLANK(C331), C331=""), 0, MAX(0, ROUND((C331-M331)*86400, 0))), 0)</f>
        <v/>
      </c>
      <c r="O331" s="11">
        <f>IF(H331="Post-Bill Void", IF(AND(G331="M-904", I331="Cash"), "EXCEPTION: Concurrent Cash Void", IF(AND(I331="Cash", N331&gt;120), "CRITICAL: Delayed Cash Void", IF(N331&gt;120, "EXCEPTION: Delayed Void", "Standard Void"))), IF(H331="Line Item Void", IF(I331="Cash", "EXCEPTION: Cash Line Void", "Standard Line Void"), IF(H331="No-Sale Drawer Opening", "DRAWER OPENING", "Standard Sale")))</f>
        <v/>
      </c>
    </row>
    <row r="332" ht="18" customHeight="1">
      <c r="A332" s="15" t="inlineStr">
        <is>
          <t>EVT-10271</t>
        </is>
      </c>
      <c r="B332" s="15" t="inlineStr">
        <is>
          <t>TX-80271</t>
        </is>
      </c>
      <c r="C332" s="27" t="n">
        <v>46308.62550925926</v>
      </c>
      <c r="D332" s="15" t="inlineStr">
        <is>
          <t>BR-01</t>
        </is>
      </c>
      <c r="E332" s="15" t="inlineStr">
        <is>
          <t>T-01</t>
        </is>
      </c>
      <c r="F332" s="15" t="inlineStr">
        <is>
          <t>C-103</t>
        </is>
      </c>
      <c r="G332" s="15" t="inlineStr">
        <is>
          <t>NONE</t>
        </is>
      </c>
      <c r="H332" s="14" t="inlineStr">
        <is>
          <t>Sale Tender</t>
        </is>
      </c>
      <c r="I332" s="15" t="inlineStr">
        <is>
          <t>Cash</t>
        </is>
      </c>
      <c r="J332" s="17" t="n">
        <v>2</v>
      </c>
      <c r="K332" s="28" t="n">
        <v>24.17</v>
      </c>
      <c r="L332" s="28" t="n">
        <v>24.17</v>
      </c>
      <c r="M332" s="27" t="n">
        <v>46308.62489583333</v>
      </c>
      <c r="N332" s="29">
        <f>IFERROR(IF(OR(ISBLANK(M332), M332="", ISBLANK(C332), C332=""), 0, MAX(0, ROUND((C332-M332)*86400, 0))), 0)</f>
        <v/>
      </c>
      <c r="O332" s="14">
        <f>IF(H332="Post-Bill Void", IF(AND(G332="M-904", I332="Cash"), "EXCEPTION: Concurrent Cash Void", IF(AND(I332="Cash", N332&gt;120), "CRITICAL: Delayed Cash Void", IF(N332&gt;120, "EXCEPTION: Delayed Void", "Standard Void"))), IF(H332="Line Item Void", IF(I332="Cash", "EXCEPTION: Cash Line Void", "Standard Line Void"), IF(H332="No-Sale Drawer Opening", "DRAWER OPENING", "Standard Sale")))</f>
        <v/>
      </c>
    </row>
    <row r="333" ht="18" customHeight="1">
      <c r="A333" s="12" t="inlineStr">
        <is>
          <t>EVT-10272</t>
        </is>
      </c>
      <c r="B333" s="12" t="inlineStr">
        <is>
          <t>TX-80272</t>
        </is>
      </c>
      <c r="C333" s="24" t="n">
        <v>46308.63228009259</v>
      </c>
      <c r="D333" s="12" t="inlineStr">
        <is>
          <t>BR-03</t>
        </is>
      </c>
      <c r="E333" s="12" t="inlineStr">
        <is>
          <t>T-02</t>
        </is>
      </c>
      <c r="F333" s="12" t="inlineStr">
        <is>
          <t>C-112</t>
        </is>
      </c>
      <c r="G333" s="12" t="inlineStr">
        <is>
          <t>NONE</t>
        </is>
      </c>
      <c r="H333" s="11" t="inlineStr">
        <is>
          <t>Sale Tender</t>
        </is>
      </c>
      <c r="I333" s="12" t="inlineStr">
        <is>
          <t>Card</t>
        </is>
      </c>
      <c r="J333" s="20" t="n">
        <v>6</v>
      </c>
      <c r="K333" s="25" t="n">
        <v>88.15000000000001</v>
      </c>
      <c r="L333" s="25" t="n">
        <v>88.15000000000001</v>
      </c>
      <c r="M333" s="24" t="n">
        <v>46308.6312962963</v>
      </c>
      <c r="N333" s="26">
        <f>IFERROR(IF(OR(ISBLANK(M333), M333="", ISBLANK(C333), C333=""), 0, MAX(0, ROUND((C333-M333)*86400, 0))), 0)</f>
        <v/>
      </c>
      <c r="O333" s="11">
        <f>IF(H333="Post-Bill Void", IF(AND(G333="M-904", I333="Cash"), "EXCEPTION: Concurrent Cash Void", IF(AND(I333="Cash", N333&gt;120), "CRITICAL: Delayed Cash Void", IF(N333&gt;120, "EXCEPTION: Delayed Void", "Standard Void"))), IF(H333="Line Item Void", IF(I333="Cash", "EXCEPTION: Cash Line Void", "Standard Line Void"), IF(H333="No-Sale Drawer Opening", "DRAWER OPENING", "Standard Sale")))</f>
        <v/>
      </c>
    </row>
    <row r="334" ht="18" customHeight="1">
      <c r="A334" s="15" t="inlineStr">
        <is>
          <t>EVT-10273</t>
        </is>
      </c>
      <c r="B334" s="15" t="inlineStr">
        <is>
          <t>TX-80273</t>
        </is>
      </c>
      <c r="C334" s="27" t="n">
        <v>46308.63944444444</v>
      </c>
      <c r="D334" s="15" t="inlineStr">
        <is>
          <t>BR-02</t>
        </is>
      </c>
      <c r="E334" s="15" t="inlineStr">
        <is>
          <t>T-01</t>
        </is>
      </c>
      <c r="F334" s="15" t="inlineStr">
        <is>
          <t>C-105</t>
        </is>
      </c>
      <c r="G334" s="15" t="inlineStr">
        <is>
          <t>NONE</t>
        </is>
      </c>
      <c r="H334" s="14" t="inlineStr">
        <is>
          <t>Sale Tender</t>
        </is>
      </c>
      <c r="I334" s="15" t="inlineStr">
        <is>
          <t>Card</t>
        </is>
      </c>
      <c r="J334" s="17" t="n">
        <v>1</v>
      </c>
      <c r="K334" s="28" t="n">
        <v>15.38</v>
      </c>
      <c r="L334" s="28" t="n">
        <v>15.38</v>
      </c>
      <c r="M334" s="27" t="n">
        <v>46308.63837962963</v>
      </c>
      <c r="N334" s="29">
        <f>IFERROR(IF(OR(ISBLANK(M334), M334="", ISBLANK(C334), C334=""), 0, MAX(0, ROUND((C334-M334)*86400, 0))), 0)</f>
        <v/>
      </c>
      <c r="O334" s="14">
        <f>IF(H334="Post-Bill Void", IF(AND(G334="M-904", I334="Cash"), "EXCEPTION: Concurrent Cash Void", IF(AND(I334="Cash", N334&gt;120), "CRITICAL: Delayed Cash Void", IF(N334&gt;120, "EXCEPTION: Delayed Void", "Standard Void"))), IF(H334="Line Item Void", IF(I334="Cash", "EXCEPTION: Cash Line Void", "Standard Line Void"), IF(H334="No-Sale Drawer Opening", "DRAWER OPENING", "Standard Sale")))</f>
        <v/>
      </c>
    </row>
    <row r="335" ht="18" customHeight="1">
      <c r="A335" s="12" t="inlineStr">
        <is>
          <t>EVT-10274</t>
        </is>
      </c>
      <c r="B335" s="12" t="inlineStr">
        <is>
          <t>TX-80274</t>
        </is>
      </c>
      <c r="C335" s="24" t="n">
        <v>46308.64591435185</v>
      </c>
      <c r="D335" s="12" t="inlineStr">
        <is>
          <t>BR-01</t>
        </is>
      </c>
      <c r="E335" s="12" t="inlineStr">
        <is>
          <t>T-01</t>
        </is>
      </c>
      <c r="F335" s="12" t="inlineStr">
        <is>
          <t>C-102</t>
        </is>
      </c>
      <c r="G335" s="12" t="inlineStr">
        <is>
          <t>NONE</t>
        </is>
      </c>
      <c r="H335" s="11" t="inlineStr">
        <is>
          <t>Sale Tender</t>
        </is>
      </c>
      <c r="I335" s="12" t="inlineStr">
        <is>
          <t>Cash</t>
        </is>
      </c>
      <c r="J335" s="20" t="n">
        <v>5</v>
      </c>
      <c r="K335" s="25" t="n">
        <v>59.07</v>
      </c>
      <c r="L335" s="25" t="n">
        <v>59.07</v>
      </c>
      <c r="M335" s="24" t="n">
        <v>46308.64540509259</v>
      </c>
      <c r="N335" s="26">
        <f>IFERROR(IF(OR(ISBLANK(M335), M335="", ISBLANK(C335), C335=""), 0, MAX(0, ROUND((C335-M335)*86400, 0))), 0)</f>
        <v/>
      </c>
      <c r="O335" s="11">
        <f>IF(H335="Post-Bill Void", IF(AND(G335="M-904", I335="Cash"), "EXCEPTION: Concurrent Cash Void", IF(AND(I335="Cash", N335&gt;120), "CRITICAL: Delayed Cash Void", IF(N335&gt;120, "EXCEPTION: Delayed Void", "Standard Void"))), IF(H335="Line Item Void", IF(I335="Cash", "EXCEPTION: Cash Line Void", "Standard Line Void"), IF(H335="No-Sale Drawer Opening", "DRAWER OPENING", "Standard Sale")))</f>
        <v/>
      </c>
    </row>
    <row r="336" ht="18" customHeight="1">
      <c r="A336" s="15" t="inlineStr">
        <is>
          <t>EVT-10275</t>
        </is>
      </c>
      <c r="B336" s="15" t="inlineStr">
        <is>
          <t>TX-80275</t>
        </is>
      </c>
      <c r="C336" s="27" t="n">
        <v>46308.65327546297</v>
      </c>
      <c r="D336" s="15" t="inlineStr">
        <is>
          <t>BR-02</t>
        </is>
      </c>
      <c r="E336" s="15" t="inlineStr">
        <is>
          <t>T-01</t>
        </is>
      </c>
      <c r="F336" s="15" t="inlineStr">
        <is>
          <t>C-108</t>
        </is>
      </c>
      <c r="G336" s="15" t="inlineStr">
        <is>
          <t>NONE</t>
        </is>
      </c>
      <c r="H336" s="14" t="inlineStr">
        <is>
          <t>Sale Tender</t>
        </is>
      </c>
      <c r="I336" s="15" t="inlineStr">
        <is>
          <t>Card</t>
        </is>
      </c>
      <c r="J336" s="17" t="n">
        <v>1</v>
      </c>
      <c r="K336" s="28" t="n">
        <v>11.9</v>
      </c>
      <c r="L336" s="28" t="n">
        <v>11.9</v>
      </c>
      <c r="M336" s="27" t="n">
        <v>46308.6522337963</v>
      </c>
      <c r="N336" s="29">
        <f>IFERROR(IF(OR(ISBLANK(M336), M336="", ISBLANK(C336), C336=""), 0, MAX(0, ROUND((C336-M336)*86400, 0))), 0)</f>
        <v/>
      </c>
      <c r="O336" s="14">
        <f>IF(H336="Post-Bill Void", IF(AND(G336="M-904", I336="Cash"), "EXCEPTION: Concurrent Cash Void", IF(AND(I336="Cash", N336&gt;120), "CRITICAL: Delayed Cash Void", IF(N336&gt;120, "EXCEPTION: Delayed Void", "Standard Void"))), IF(H336="Line Item Void", IF(I336="Cash", "EXCEPTION: Cash Line Void", "Standard Line Void"), IF(H336="No-Sale Drawer Opening", "DRAWER OPENING", "Standard Sale")))</f>
        <v/>
      </c>
    </row>
    <row r="337" ht="18" customHeight="1">
      <c r="A337" s="12" t="inlineStr">
        <is>
          <t>EVT-10276</t>
        </is>
      </c>
      <c r="B337" s="12" t="inlineStr">
        <is>
          <t>TX-80276</t>
        </is>
      </c>
      <c r="C337" s="24" t="n">
        <v>46308.6600925926</v>
      </c>
      <c r="D337" s="12" t="inlineStr">
        <is>
          <t>BR-04</t>
        </is>
      </c>
      <c r="E337" s="12" t="inlineStr">
        <is>
          <t>T-01</t>
        </is>
      </c>
      <c r="F337" s="12" t="inlineStr">
        <is>
          <t>C-114</t>
        </is>
      </c>
      <c r="G337" s="12" t="inlineStr">
        <is>
          <t>NONE</t>
        </is>
      </c>
      <c r="H337" s="11" t="inlineStr">
        <is>
          <t>Sale Tender</t>
        </is>
      </c>
      <c r="I337" s="12" t="inlineStr">
        <is>
          <t>Card</t>
        </is>
      </c>
      <c r="J337" s="20" t="n">
        <v>3</v>
      </c>
      <c r="K337" s="25" t="n">
        <v>41.77</v>
      </c>
      <c r="L337" s="25" t="n">
        <v>41.77</v>
      </c>
      <c r="M337" s="24" t="n">
        <v>46308.65912037037</v>
      </c>
      <c r="N337" s="26">
        <f>IFERROR(IF(OR(ISBLANK(M337), M337="", ISBLANK(C337), C337=""), 0, MAX(0, ROUND((C337-M337)*86400, 0))), 0)</f>
        <v/>
      </c>
      <c r="O337" s="11">
        <f>IF(H337="Post-Bill Void", IF(AND(G337="M-904", I337="Cash"), "EXCEPTION: Concurrent Cash Void", IF(AND(I337="Cash", N337&gt;120), "CRITICAL: Delayed Cash Void", IF(N337&gt;120, "EXCEPTION: Delayed Void", "Standard Void"))), IF(H337="Line Item Void", IF(I337="Cash", "EXCEPTION: Cash Line Void", "Standard Line Void"), IF(H337="No-Sale Drawer Opening", "DRAWER OPENING", "Standard Sale")))</f>
        <v/>
      </c>
    </row>
    <row r="338" ht="18" customHeight="1">
      <c r="A338" s="15" t="inlineStr">
        <is>
          <t>EVT-10277</t>
        </is>
      </c>
      <c r="B338" s="15" t="inlineStr">
        <is>
          <t>TX-80277</t>
        </is>
      </c>
      <c r="C338" s="27" t="n">
        <v>46308.66695601852</v>
      </c>
      <c r="D338" s="15" t="inlineStr">
        <is>
          <t>BR-03</t>
        </is>
      </c>
      <c r="E338" s="15" t="inlineStr">
        <is>
          <t>T-02</t>
        </is>
      </c>
      <c r="F338" s="15" t="inlineStr">
        <is>
          <t>C-109</t>
        </is>
      </c>
      <c r="G338" s="15" t="inlineStr">
        <is>
          <t>NONE</t>
        </is>
      </c>
      <c r="H338" s="14" t="inlineStr">
        <is>
          <t>Sale Tender</t>
        </is>
      </c>
      <c r="I338" s="15" t="inlineStr">
        <is>
          <t>Cash</t>
        </is>
      </c>
      <c r="J338" s="17" t="n">
        <v>3</v>
      </c>
      <c r="K338" s="28" t="n">
        <v>41.26</v>
      </c>
      <c r="L338" s="28" t="n">
        <v>41.26</v>
      </c>
      <c r="M338" s="27" t="n">
        <v>46308.6665625</v>
      </c>
      <c r="N338" s="29">
        <f>IFERROR(IF(OR(ISBLANK(M338), M338="", ISBLANK(C338), C338=""), 0, MAX(0, ROUND((C338-M338)*86400, 0))), 0)</f>
        <v/>
      </c>
      <c r="O338" s="14">
        <f>IF(H338="Post-Bill Void", IF(AND(G338="M-904", I338="Cash"), "EXCEPTION: Concurrent Cash Void", IF(AND(I338="Cash", N338&gt;120), "CRITICAL: Delayed Cash Void", IF(N338&gt;120, "EXCEPTION: Delayed Void", "Standard Void"))), IF(H338="Line Item Void", IF(I338="Cash", "EXCEPTION: Cash Line Void", "Standard Line Void"), IF(H338="No-Sale Drawer Opening", "DRAWER OPENING", "Standard Sale")))</f>
        <v/>
      </c>
    </row>
    <row r="339" ht="18" customHeight="1">
      <c r="A339" s="12" t="inlineStr">
        <is>
          <t>EVT-10278</t>
        </is>
      </c>
      <c r="B339" s="12" t="inlineStr">
        <is>
          <t>TX-80278</t>
        </is>
      </c>
      <c r="C339" s="24" t="n">
        <v>46308.67400462963</v>
      </c>
      <c r="D339" s="12" t="inlineStr">
        <is>
          <t>BR-01</t>
        </is>
      </c>
      <c r="E339" s="12" t="inlineStr">
        <is>
          <t>T-02</t>
        </is>
      </c>
      <c r="F339" s="12" t="inlineStr">
        <is>
          <t>C-101</t>
        </is>
      </c>
      <c r="G339" s="12" t="inlineStr">
        <is>
          <t>NONE</t>
        </is>
      </c>
      <c r="H339" s="11" t="inlineStr">
        <is>
          <t>Sale Tender</t>
        </is>
      </c>
      <c r="I339" s="12" t="inlineStr">
        <is>
          <t>Cash</t>
        </is>
      </c>
      <c r="J339" s="20" t="n">
        <v>4</v>
      </c>
      <c r="K339" s="25" t="n">
        <v>39.4</v>
      </c>
      <c r="L339" s="25" t="n">
        <v>39.4</v>
      </c>
      <c r="M339" s="24" t="n">
        <v>46308.67302083333</v>
      </c>
      <c r="N339" s="26">
        <f>IFERROR(IF(OR(ISBLANK(M339), M339="", ISBLANK(C339), C339=""), 0, MAX(0, ROUND((C339-M339)*86400, 0))), 0)</f>
        <v/>
      </c>
      <c r="O339" s="11">
        <f>IF(H339="Post-Bill Void", IF(AND(G339="M-904", I339="Cash"), "EXCEPTION: Concurrent Cash Void", IF(AND(I339="Cash", N339&gt;120), "CRITICAL: Delayed Cash Void", IF(N339&gt;120, "EXCEPTION: Delayed Void", "Standard Void"))), IF(H339="Line Item Void", IF(I339="Cash", "EXCEPTION: Cash Line Void", "Standard Line Void"), IF(H339="No-Sale Drawer Opening", "DRAWER OPENING", "Standard Sale")))</f>
        <v/>
      </c>
    </row>
    <row r="340" ht="18" customHeight="1">
      <c r="A340" s="15" t="inlineStr">
        <is>
          <t>EVT-10279</t>
        </is>
      </c>
      <c r="B340" s="15" t="inlineStr">
        <is>
          <t>TX-80279</t>
        </is>
      </c>
      <c r="C340" s="27" t="n">
        <v>46308.68064814815</v>
      </c>
      <c r="D340" s="15" t="inlineStr">
        <is>
          <t>BR-04</t>
        </is>
      </c>
      <c r="E340" s="15" t="inlineStr">
        <is>
          <t>T-02</t>
        </is>
      </c>
      <c r="F340" s="15" t="inlineStr">
        <is>
          <t>C-114</t>
        </is>
      </c>
      <c r="G340" s="15" t="inlineStr">
        <is>
          <t>NONE</t>
        </is>
      </c>
      <c r="H340" s="14" t="inlineStr">
        <is>
          <t>Sale Tender</t>
        </is>
      </c>
      <c r="I340" s="15" t="inlineStr">
        <is>
          <t>Card</t>
        </is>
      </c>
      <c r="J340" s="17" t="n">
        <v>4</v>
      </c>
      <c r="K340" s="28" t="n">
        <v>45.27</v>
      </c>
      <c r="L340" s="28" t="n">
        <v>45.27</v>
      </c>
      <c r="M340" s="27" t="n">
        <v>46308.67980324074</v>
      </c>
      <c r="N340" s="29">
        <f>IFERROR(IF(OR(ISBLANK(M340), M340="", ISBLANK(C340), C340=""), 0, MAX(0, ROUND((C340-M340)*86400, 0))), 0)</f>
        <v/>
      </c>
      <c r="O340" s="14">
        <f>IF(H340="Post-Bill Void", IF(AND(G340="M-904", I340="Cash"), "EXCEPTION: Concurrent Cash Void", IF(AND(I340="Cash", N340&gt;120), "CRITICAL: Delayed Cash Void", IF(N340&gt;120, "EXCEPTION: Delayed Void", "Standard Void"))), IF(H340="Line Item Void", IF(I340="Cash", "EXCEPTION: Cash Line Void", "Standard Line Void"), IF(H340="No-Sale Drawer Opening", "DRAWER OPENING", "Standard Sale")))</f>
        <v/>
      </c>
    </row>
    <row r="341" ht="18" customHeight="1">
      <c r="A341" s="12" t="inlineStr">
        <is>
          <t>EVT-10280</t>
        </is>
      </c>
      <c r="B341" s="12" t="inlineStr">
        <is>
          <t>TX-80280</t>
        </is>
      </c>
      <c r="C341" s="24" t="n">
        <v>46308.68799768519</v>
      </c>
      <c r="D341" s="12" t="inlineStr">
        <is>
          <t>BR-02</t>
        </is>
      </c>
      <c r="E341" s="12" t="inlineStr">
        <is>
          <t>T-01</t>
        </is>
      </c>
      <c r="F341" s="12" t="inlineStr">
        <is>
          <t>C-107</t>
        </is>
      </c>
      <c r="G341" s="12" t="inlineStr">
        <is>
          <t>NONE</t>
        </is>
      </c>
      <c r="H341" s="11" t="inlineStr">
        <is>
          <t>Sale Tender</t>
        </is>
      </c>
      <c r="I341" s="12" t="inlineStr">
        <is>
          <t>Card</t>
        </is>
      </c>
      <c r="J341" s="20" t="n">
        <v>2</v>
      </c>
      <c r="K341" s="25" t="n">
        <v>27.92</v>
      </c>
      <c r="L341" s="25" t="n">
        <v>27.92</v>
      </c>
      <c r="M341" s="24" t="n">
        <v>46308.6869212963</v>
      </c>
      <c r="N341" s="26">
        <f>IFERROR(IF(OR(ISBLANK(M341), M341="", ISBLANK(C341), C341=""), 0, MAX(0, ROUND((C341-M341)*86400, 0))), 0)</f>
        <v/>
      </c>
      <c r="O341" s="11">
        <f>IF(H341="Post-Bill Void", IF(AND(G341="M-904", I341="Cash"), "EXCEPTION: Concurrent Cash Void", IF(AND(I341="Cash", N341&gt;120), "CRITICAL: Delayed Cash Void", IF(N341&gt;120, "EXCEPTION: Delayed Void", "Standard Void"))), IF(H341="Line Item Void", IF(I341="Cash", "EXCEPTION: Cash Line Void", "Standard Line Void"), IF(H341="No-Sale Drawer Opening", "DRAWER OPENING", "Standard Sale")))</f>
        <v/>
      </c>
    </row>
    <row r="342" ht="18" customHeight="1">
      <c r="A342" s="15" t="inlineStr">
        <is>
          <t>EVT-10281</t>
        </is>
      </c>
      <c r="B342" s="15" t="inlineStr">
        <is>
          <t>TX-80281</t>
        </is>
      </c>
      <c r="C342" s="27" t="n">
        <v>46308.69460648148</v>
      </c>
      <c r="D342" s="15" t="inlineStr">
        <is>
          <t>BR-01</t>
        </is>
      </c>
      <c r="E342" s="15" t="inlineStr">
        <is>
          <t>T-02</t>
        </is>
      </c>
      <c r="F342" s="15" t="inlineStr">
        <is>
          <t>C-101</t>
        </is>
      </c>
      <c r="G342" s="15" t="inlineStr">
        <is>
          <t>NONE</t>
        </is>
      </c>
      <c r="H342" s="14" t="inlineStr">
        <is>
          <t>Sale Tender</t>
        </is>
      </c>
      <c r="I342" s="15" t="inlineStr">
        <is>
          <t>Card</t>
        </is>
      </c>
      <c r="J342" s="17" t="n">
        <v>5</v>
      </c>
      <c r="K342" s="28" t="n">
        <v>58.4</v>
      </c>
      <c r="L342" s="28" t="n">
        <v>58.4</v>
      </c>
      <c r="M342" s="27" t="n">
        <v>46308.69363425926</v>
      </c>
      <c r="N342" s="29">
        <f>IFERROR(IF(OR(ISBLANK(M342), M342="", ISBLANK(C342), C342=""), 0, MAX(0, ROUND((C342-M342)*86400, 0))), 0)</f>
        <v/>
      </c>
      <c r="O342" s="14">
        <f>IF(H342="Post-Bill Void", IF(AND(G342="M-904", I342="Cash"), "EXCEPTION: Concurrent Cash Void", IF(AND(I342="Cash", N342&gt;120), "CRITICAL: Delayed Cash Void", IF(N342&gt;120, "EXCEPTION: Delayed Void", "Standard Void"))), IF(H342="Line Item Void", IF(I342="Cash", "EXCEPTION: Cash Line Void", "Standard Line Void"), IF(H342="No-Sale Drawer Opening", "DRAWER OPENING", "Standard Sale")))</f>
        <v/>
      </c>
    </row>
    <row r="343" ht="18" customHeight="1">
      <c r="A343" s="12" t="inlineStr">
        <is>
          <t>EVT-10282</t>
        </is>
      </c>
      <c r="B343" s="12" t="inlineStr">
        <is>
          <t>TX-80282</t>
        </is>
      </c>
      <c r="C343" s="24" t="n">
        <v>46308.70166666667</v>
      </c>
      <c r="D343" s="12" t="inlineStr">
        <is>
          <t>BR-02</t>
        </is>
      </c>
      <c r="E343" s="12" t="inlineStr">
        <is>
          <t>T-01</t>
        </is>
      </c>
      <c r="F343" s="12" t="inlineStr">
        <is>
          <t>C-106</t>
        </is>
      </c>
      <c r="G343" s="12" t="inlineStr">
        <is>
          <t>NONE</t>
        </is>
      </c>
      <c r="H343" s="11" t="inlineStr">
        <is>
          <t>Sale Tender</t>
        </is>
      </c>
      <c r="I343" s="12" t="inlineStr">
        <is>
          <t>Cash</t>
        </is>
      </c>
      <c r="J343" s="20" t="n">
        <v>6</v>
      </c>
      <c r="K343" s="25" t="n">
        <v>85.45</v>
      </c>
      <c r="L343" s="25" t="n">
        <v>85.45</v>
      </c>
      <c r="M343" s="24" t="n">
        <v>46308.70115740741</v>
      </c>
      <c r="N343" s="26">
        <f>IFERROR(IF(OR(ISBLANK(M343), M343="", ISBLANK(C343), C343=""), 0, MAX(0, ROUND((C343-M343)*86400, 0))), 0)</f>
        <v/>
      </c>
      <c r="O343" s="11">
        <f>IF(H343="Post-Bill Void", IF(AND(G343="M-904", I343="Cash"), "EXCEPTION: Concurrent Cash Void", IF(AND(I343="Cash", N343&gt;120), "CRITICAL: Delayed Cash Void", IF(N343&gt;120, "EXCEPTION: Delayed Void", "Standard Void"))), IF(H343="Line Item Void", IF(I343="Cash", "EXCEPTION: Cash Line Void", "Standard Line Void"), IF(H343="No-Sale Drawer Opening", "DRAWER OPENING", "Standard Sale")))</f>
        <v/>
      </c>
    </row>
    <row r="344" ht="18" customHeight="1">
      <c r="A344" s="15" t="inlineStr">
        <is>
          <t>EVT-10283</t>
        </is>
      </c>
      <c r="B344" s="15" t="inlineStr">
        <is>
          <t>TX-80283</t>
        </is>
      </c>
      <c r="C344" s="27" t="n">
        <v>46308.70835648148</v>
      </c>
      <c r="D344" s="15" t="inlineStr">
        <is>
          <t>BR-04</t>
        </is>
      </c>
      <c r="E344" s="15" t="inlineStr">
        <is>
          <t>T-02</t>
        </is>
      </c>
      <c r="F344" s="15" t="inlineStr">
        <is>
          <t>C-115</t>
        </is>
      </c>
      <c r="G344" s="15" t="inlineStr">
        <is>
          <t>NONE</t>
        </is>
      </c>
      <c r="H344" s="14" t="inlineStr">
        <is>
          <t>Sale Tender</t>
        </is>
      </c>
      <c r="I344" s="15" t="inlineStr">
        <is>
          <t>Cash</t>
        </is>
      </c>
      <c r="J344" s="17" t="n">
        <v>1</v>
      </c>
      <c r="K344" s="28" t="n">
        <v>9.26</v>
      </c>
      <c r="L344" s="28" t="n">
        <v>9.26</v>
      </c>
      <c r="M344" s="27" t="n">
        <v>46308.70804398148</v>
      </c>
      <c r="N344" s="29">
        <f>IFERROR(IF(OR(ISBLANK(M344), M344="", ISBLANK(C344), C344=""), 0, MAX(0, ROUND((C344-M344)*86400, 0))), 0)</f>
        <v/>
      </c>
      <c r="O344" s="14">
        <f>IF(H344="Post-Bill Void", IF(AND(G344="M-904", I344="Cash"), "EXCEPTION: Concurrent Cash Void", IF(AND(I344="Cash", N344&gt;120), "CRITICAL: Delayed Cash Void", IF(N344&gt;120, "EXCEPTION: Delayed Void", "Standard Void"))), IF(H344="Line Item Void", IF(I344="Cash", "EXCEPTION: Cash Line Void", "Standard Line Void"), IF(H344="No-Sale Drawer Opening", "DRAWER OPENING", "Standard Sale")))</f>
        <v/>
      </c>
    </row>
    <row r="345" ht="18" customHeight="1">
      <c r="A345" s="12" t="inlineStr">
        <is>
          <t>EVT-10284</t>
        </is>
      </c>
      <c r="B345" s="12" t="inlineStr">
        <is>
          <t>TX-80284</t>
        </is>
      </c>
      <c r="C345" s="24" t="n">
        <v>46308.71530092593</v>
      </c>
      <c r="D345" s="12" t="inlineStr">
        <is>
          <t>BR-04</t>
        </is>
      </c>
      <c r="E345" s="12" t="inlineStr">
        <is>
          <t>T-02</t>
        </is>
      </c>
      <c r="F345" s="12" t="inlineStr">
        <is>
          <t>C-115</t>
        </is>
      </c>
      <c r="G345" s="12" t="inlineStr">
        <is>
          <t>NONE</t>
        </is>
      </c>
      <c r="H345" s="11" t="inlineStr">
        <is>
          <t>Sale Tender</t>
        </is>
      </c>
      <c r="I345" s="12" t="inlineStr">
        <is>
          <t>Cash</t>
        </is>
      </c>
      <c r="J345" s="20" t="n">
        <v>1</v>
      </c>
      <c r="K345" s="25" t="n">
        <v>11.52</v>
      </c>
      <c r="L345" s="25" t="n">
        <v>11.52</v>
      </c>
      <c r="M345" s="24" t="n">
        <v>46308.71494212963</v>
      </c>
      <c r="N345" s="26">
        <f>IFERROR(IF(OR(ISBLANK(M345), M345="", ISBLANK(C345), C345=""), 0, MAX(0, ROUND((C345-M345)*86400, 0))), 0)</f>
        <v/>
      </c>
      <c r="O345" s="11">
        <f>IF(H345="Post-Bill Void", IF(AND(G345="M-904", I345="Cash"), "EXCEPTION: Concurrent Cash Void", IF(AND(I345="Cash", N345&gt;120), "CRITICAL: Delayed Cash Void", IF(N345&gt;120, "EXCEPTION: Delayed Void", "Standard Void"))), IF(H345="Line Item Void", IF(I345="Cash", "EXCEPTION: Cash Line Void", "Standard Line Void"), IF(H345="No-Sale Drawer Opening", "DRAWER OPENING", "Standard Sale")))</f>
        <v/>
      </c>
    </row>
    <row r="346" ht="18" customHeight="1">
      <c r="A346" s="15" t="inlineStr">
        <is>
          <t>EVT-10285</t>
        </is>
      </c>
      <c r="B346" s="15" t="inlineStr">
        <is>
          <t>TX-80285</t>
        </is>
      </c>
      <c r="C346" s="27" t="n">
        <v>46308.72238425926</v>
      </c>
      <c r="D346" s="15" t="inlineStr">
        <is>
          <t>BR-02</t>
        </is>
      </c>
      <c r="E346" s="15" t="inlineStr">
        <is>
          <t>T-01</t>
        </is>
      </c>
      <c r="F346" s="15" t="inlineStr">
        <is>
          <t>C-105</t>
        </is>
      </c>
      <c r="G346" s="15" t="inlineStr">
        <is>
          <t>NONE</t>
        </is>
      </c>
      <c r="H346" s="14" t="inlineStr">
        <is>
          <t>Sale Tender</t>
        </is>
      </c>
      <c r="I346" s="15" t="inlineStr">
        <is>
          <t>Cash</t>
        </is>
      </c>
      <c r="J346" s="17" t="n">
        <v>6</v>
      </c>
      <c r="K346" s="28" t="n">
        <v>76.92</v>
      </c>
      <c r="L346" s="28" t="n">
        <v>76.92</v>
      </c>
      <c r="M346" s="27" t="n">
        <v>46308.72166666666</v>
      </c>
      <c r="N346" s="29">
        <f>IFERROR(IF(OR(ISBLANK(M346), M346="", ISBLANK(C346), C346=""), 0, MAX(0, ROUND((C346-M346)*86400, 0))), 0)</f>
        <v/>
      </c>
      <c r="O346" s="14">
        <f>IF(H346="Post-Bill Void", IF(AND(G346="M-904", I346="Cash"), "EXCEPTION: Concurrent Cash Void", IF(AND(I346="Cash", N346&gt;120), "CRITICAL: Delayed Cash Void", IF(N346&gt;120, "EXCEPTION: Delayed Void", "Standard Void"))), IF(H346="Line Item Void", IF(I346="Cash", "EXCEPTION: Cash Line Void", "Standard Line Void"), IF(H346="No-Sale Drawer Opening", "DRAWER OPENING", "Standard Sale")))</f>
        <v/>
      </c>
    </row>
    <row r="347" ht="18" customHeight="1">
      <c r="A347" s="12" t="inlineStr">
        <is>
          <t>EVT-10286</t>
        </is>
      </c>
      <c r="B347" s="12" t="inlineStr">
        <is>
          <t>TX-80286</t>
        </is>
      </c>
      <c r="C347" s="24" t="n">
        <v>46308.72958333333</v>
      </c>
      <c r="D347" s="12" t="inlineStr">
        <is>
          <t>BR-03</t>
        </is>
      </c>
      <c r="E347" s="12" t="inlineStr">
        <is>
          <t>T-01</t>
        </is>
      </c>
      <c r="F347" s="12" t="inlineStr">
        <is>
          <t>C-110</t>
        </is>
      </c>
      <c r="G347" s="12" t="inlineStr">
        <is>
          <t>NONE</t>
        </is>
      </c>
      <c r="H347" s="11" t="inlineStr">
        <is>
          <t>Sale Tender</t>
        </is>
      </c>
      <c r="I347" s="12" t="inlineStr">
        <is>
          <t>Delivery Aggregator</t>
        </is>
      </c>
      <c r="J347" s="20" t="n">
        <v>5</v>
      </c>
      <c r="K347" s="25" t="n">
        <v>50.79</v>
      </c>
      <c r="L347" s="25" t="n">
        <v>50.79</v>
      </c>
      <c r="M347" s="24" t="n">
        <v>46308.72908564815</v>
      </c>
      <c r="N347" s="26">
        <f>IFERROR(IF(OR(ISBLANK(M347), M347="", ISBLANK(C347), C347=""), 0, MAX(0, ROUND((C347-M347)*86400, 0))), 0)</f>
        <v/>
      </c>
      <c r="O347" s="11">
        <f>IF(H347="Post-Bill Void", IF(AND(G347="M-904", I347="Cash"), "EXCEPTION: Concurrent Cash Void", IF(AND(I347="Cash", N347&gt;120), "CRITICAL: Delayed Cash Void", IF(N347&gt;120, "EXCEPTION: Delayed Void", "Standard Void"))), IF(H347="Line Item Void", IF(I347="Cash", "EXCEPTION: Cash Line Void", "Standard Line Void"), IF(H347="No-Sale Drawer Opening", "DRAWER OPENING", "Standard Sale")))</f>
        <v/>
      </c>
    </row>
    <row r="348" ht="18" customHeight="1">
      <c r="A348" s="15" t="inlineStr">
        <is>
          <t>EVT-10287</t>
        </is>
      </c>
      <c r="B348" s="15" t="inlineStr">
        <is>
          <t>TX-80287</t>
        </is>
      </c>
      <c r="C348" s="27" t="n">
        <v>46308.73633101852</v>
      </c>
      <c r="D348" s="15" t="inlineStr">
        <is>
          <t>BR-03</t>
        </is>
      </c>
      <c r="E348" s="15" t="inlineStr">
        <is>
          <t>T-01</t>
        </is>
      </c>
      <c r="F348" s="15" t="inlineStr">
        <is>
          <t>C-109</t>
        </is>
      </c>
      <c r="G348" s="15" t="inlineStr">
        <is>
          <t>NONE</t>
        </is>
      </c>
      <c r="H348" s="14" t="inlineStr">
        <is>
          <t>Sale Tender</t>
        </is>
      </c>
      <c r="I348" s="15" t="inlineStr">
        <is>
          <t>Card</t>
        </is>
      </c>
      <c r="J348" s="17" t="n">
        <v>4</v>
      </c>
      <c r="K348" s="28" t="n">
        <v>50.68</v>
      </c>
      <c r="L348" s="28" t="n">
        <v>50.68</v>
      </c>
      <c r="M348" s="27" t="n">
        <v>46308.73578703704</v>
      </c>
      <c r="N348" s="29">
        <f>IFERROR(IF(OR(ISBLANK(M348), M348="", ISBLANK(C348), C348=""), 0, MAX(0, ROUND((C348-M348)*86400, 0))), 0)</f>
        <v/>
      </c>
      <c r="O348" s="14">
        <f>IF(H348="Post-Bill Void", IF(AND(G348="M-904", I348="Cash"), "EXCEPTION: Concurrent Cash Void", IF(AND(I348="Cash", N348&gt;120), "CRITICAL: Delayed Cash Void", IF(N348&gt;120, "EXCEPTION: Delayed Void", "Standard Void"))), IF(H348="Line Item Void", IF(I348="Cash", "EXCEPTION: Cash Line Void", "Standard Line Void"), IF(H348="No-Sale Drawer Opening", "DRAWER OPENING", "Standard Sale")))</f>
        <v/>
      </c>
    </row>
    <row r="349" ht="18" customHeight="1">
      <c r="A349" s="12" t="inlineStr">
        <is>
          <t>EVT-10288</t>
        </is>
      </c>
      <c r="B349" s="12" t="inlineStr">
        <is>
          <t>TX-80288</t>
        </is>
      </c>
      <c r="C349" s="24" t="n">
        <v>46308.74309027778</v>
      </c>
      <c r="D349" s="12" t="inlineStr">
        <is>
          <t>BR-03</t>
        </is>
      </c>
      <c r="E349" s="12" t="inlineStr">
        <is>
          <t>T-02</t>
        </is>
      </c>
      <c r="F349" s="12" t="inlineStr">
        <is>
          <t>C-112</t>
        </is>
      </c>
      <c r="G349" s="12" t="inlineStr">
        <is>
          <t>NONE</t>
        </is>
      </c>
      <c r="H349" s="11" t="inlineStr">
        <is>
          <t>Sale Tender</t>
        </is>
      </c>
      <c r="I349" s="12" t="inlineStr">
        <is>
          <t>Card</t>
        </is>
      </c>
      <c r="J349" s="20" t="n">
        <v>4</v>
      </c>
      <c r="K349" s="25" t="n">
        <v>38.48</v>
      </c>
      <c r="L349" s="25" t="n">
        <v>38.48</v>
      </c>
      <c r="M349" s="24" t="n">
        <v>46308.74233796296</v>
      </c>
      <c r="N349" s="26">
        <f>IFERROR(IF(OR(ISBLANK(M349), M349="", ISBLANK(C349), C349=""), 0, MAX(0, ROUND((C349-M349)*86400, 0))), 0)</f>
        <v/>
      </c>
      <c r="O349" s="11">
        <f>IF(H349="Post-Bill Void", IF(AND(G349="M-904", I349="Cash"), "EXCEPTION: Concurrent Cash Void", IF(AND(I349="Cash", N349&gt;120), "CRITICAL: Delayed Cash Void", IF(N349&gt;120, "EXCEPTION: Delayed Void", "Standard Void"))), IF(H349="Line Item Void", IF(I349="Cash", "EXCEPTION: Cash Line Void", "Standard Line Void"), IF(H349="No-Sale Drawer Opening", "DRAWER OPENING", "Standard Sale")))</f>
        <v/>
      </c>
    </row>
    <row r="350" ht="18" customHeight="1">
      <c r="A350" s="15" t="inlineStr">
        <is>
          <t>EVT-10289</t>
        </is>
      </c>
      <c r="B350" s="15" t="inlineStr">
        <is>
          <t>TX-80289</t>
        </is>
      </c>
      <c r="C350" s="27" t="n">
        <v>46308.75027777778</v>
      </c>
      <c r="D350" s="15" t="inlineStr">
        <is>
          <t>BR-02</t>
        </is>
      </c>
      <c r="E350" s="15" t="inlineStr">
        <is>
          <t>T-01</t>
        </is>
      </c>
      <c r="F350" s="15" t="inlineStr">
        <is>
          <t>C-108</t>
        </is>
      </c>
      <c r="G350" s="15" t="inlineStr">
        <is>
          <t>NONE</t>
        </is>
      </c>
      <c r="H350" s="14" t="inlineStr">
        <is>
          <t>Sale Tender</t>
        </is>
      </c>
      <c r="I350" s="15" t="inlineStr">
        <is>
          <t>Cash</t>
        </is>
      </c>
      <c r="J350" s="17" t="n">
        <v>6</v>
      </c>
      <c r="K350" s="28" t="n">
        <v>57.5</v>
      </c>
      <c r="L350" s="28" t="n">
        <v>57.5</v>
      </c>
      <c r="M350" s="27" t="n">
        <v>46308.74966435185</v>
      </c>
      <c r="N350" s="29">
        <f>IFERROR(IF(OR(ISBLANK(M350), M350="", ISBLANK(C350), C350=""), 0, MAX(0, ROUND((C350-M350)*86400, 0))), 0)</f>
        <v/>
      </c>
      <c r="O350" s="14">
        <f>IF(H350="Post-Bill Void", IF(AND(G350="M-904", I350="Cash"), "EXCEPTION: Concurrent Cash Void", IF(AND(I350="Cash", N350&gt;120), "CRITICAL: Delayed Cash Void", IF(N350&gt;120, "EXCEPTION: Delayed Void", "Standard Void"))), IF(H350="Line Item Void", IF(I350="Cash", "EXCEPTION: Cash Line Void", "Standard Line Void"), IF(H350="No-Sale Drawer Opening", "DRAWER OPENING", "Standard Sale")))</f>
        <v/>
      </c>
    </row>
    <row r="351" ht="18" customHeight="1">
      <c r="A351" s="12" t="inlineStr">
        <is>
          <t>EVT-10290</t>
        </is>
      </c>
      <c r="B351" s="12" t="inlineStr">
        <is>
          <t>TX-80290</t>
        </is>
      </c>
      <c r="C351" s="24" t="n">
        <v>46308.75728009259</v>
      </c>
      <c r="D351" s="12" t="inlineStr">
        <is>
          <t>BR-01</t>
        </is>
      </c>
      <c r="E351" s="12" t="inlineStr">
        <is>
          <t>T-02</t>
        </is>
      </c>
      <c r="F351" s="12" t="inlineStr">
        <is>
          <t>C-104</t>
        </is>
      </c>
      <c r="G351" s="12" t="inlineStr">
        <is>
          <t>NONE</t>
        </is>
      </c>
      <c r="H351" s="11" t="inlineStr">
        <is>
          <t>Sale Tender</t>
        </is>
      </c>
      <c r="I351" s="12" t="inlineStr">
        <is>
          <t>Cash</t>
        </is>
      </c>
      <c r="J351" s="20" t="n">
        <v>2</v>
      </c>
      <c r="K351" s="25" t="n">
        <v>20.82</v>
      </c>
      <c r="L351" s="25" t="n">
        <v>20.82</v>
      </c>
      <c r="M351" s="24" t="n">
        <v>46308.75621527778</v>
      </c>
      <c r="N351" s="26">
        <f>IFERROR(IF(OR(ISBLANK(M351), M351="", ISBLANK(C351), C351=""), 0, MAX(0, ROUND((C351-M351)*86400, 0))), 0)</f>
        <v/>
      </c>
      <c r="O351" s="11">
        <f>IF(H351="Post-Bill Void", IF(AND(G351="M-904", I351="Cash"), "EXCEPTION: Concurrent Cash Void", IF(AND(I351="Cash", N351&gt;120), "CRITICAL: Delayed Cash Void", IF(N351&gt;120, "EXCEPTION: Delayed Void", "Standard Void"))), IF(H351="Line Item Void", IF(I351="Cash", "EXCEPTION: Cash Line Void", "Standard Line Void"), IF(H351="No-Sale Drawer Opening", "DRAWER OPENING", "Standard Sale")))</f>
        <v/>
      </c>
    </row>
    <row r="352" ht="18" customHeight="1">
      <c r="A352" s="15" t="inlineStr">
        <is>
          <t>EVT-10291</t>
        </is>
      </c>
      <c r="B352" s="15" t="inlineStr">
        <is>
          <t>TX-80291</t>
        </is>
      </c>
      <c r="C352" s="27" t="n">
        <v>46308.76413194444</v>
      </c>
      <c r="D352" s="15" t="inlineStr">
        <is>
          <t>BR-01</t>
        </is>
      </c>
      <c r="E352" s="15" t="inlineStr">
        <is>
          <t>T-02</t>
        </is>
      </c>
      <c r="F352" s="15" t="inlineStr">
        <is>
          <t>C-104</t>
        </is>
      </c>
      <c r="G352" s="15" t="inlineStr">
        <is>
          <t>NONE</t>
        </is>
      </c>
      <c r="H352" s="14" t="inlineStr">
        <is>
          <t>Sale Tender</t>
        </is>
      </c>
      <c r="I352" s="15" t="inlineStr">
        <is>
          <t>Card</t>
        </is>
      </c>
      <c r="J352" s="17" t="n">
        <v>2</v>
      </c>
      <c r="K352" s="28" t="n">
        <v>17.77</v>
      </c>
      <c r="L352" s="28" t="n">
        <v>17.77</v>
      </c>
      <c r="M352" s="27" t="n">
        <v>46308.76371527778</v>
      </c>
      <c r="N352" s="29">
        <f>IFERROR(IF(OR(ISBLANK(M352), M352="", ISBLANK(C352), C352=""), 0, MAX(0, ROUND((C352-M352)*86400, 0))), 0)</f>
        <v/>
      </c>
      <c r="O352" s="14">
        <f>IF(H352="Post-Bill Void", IF(AND(G352="M-904", I352="Cash"), "EXCEPTION: Concurrent Cash Void", IF(AND(I352="Cash", N352&gt;120), "CRITICAL: Delayed Cash Void", IF(N352&gt;120, "EXCEPTION: Delayed Void", "Standard Void"))), IF(H352="Line Item Void", IF(I352="Cash", "EXCEPTION: Cash Line Void", "Standard Line Void"), IF(H352="No-Sale Drawer Opening", "DRAWER OPENING", "Standard Sale")))</f>
        <v/>
      </c>
    </row>
    <row r="353" ht="18" customHeight="1">
      <c r="A353" s="12" t="inlineStr">
        <is>
          <t>EVT-10292</t>
        </is>
      </c>
      <c r="B353" s="12" t="inlineStr">
        <is>
          <t>TX-80292</t>
        </is>
      </c>
      <c r="C353" s="24" t="n">
        <v>46308.77111111111</v>
      </c>
      <c r="D353" s="12" t="inlineStr">
        <is>
          <t>BR-01</t>
        </is>
      </c>
      <c r="E353" s="12" t="inlineStr">
        <is>
          <t>T-01</t>
        </is>
      </c>
      <c r="F353" s="12" t="inlineStr">
        <is>
          <t>C-101</t>
        </is>
      </c>
      <c r="G353" s="12" t="inlineStr">
        <is>
          <t>NONE</t>
        </is>
      </c>
      <c r="H353" s="11" t="inlineStr">
        <is>
          <t>Sale Tender</t>
        </is>
      </c>
      <c r="I353" s="12" t="inlineStr">
        <is>
          <t>Card</t>
        </is>
      </c>
      <c r="J353" s="20" t="n">
        <v>3</v>
      </c>
      <c r="K353" s="25" t="n">
        <v>32.32</v>
      </c>
      <c r="L353" s="25" t="n">
        <v>32.32</v>
      </c>
      <c r="M353" s="24" t="n">
        <v>46308.77050925926</v>
      </c>
      <c r="N353" s="26">
        <f>IFERROR(IF(OR(ISBLANK(M353), M353="", ISBLANK(C353), C353=""), 0, MAX(0, ROUND((C353-M353)*86400, 0))), 0)</f>
        <v/>
      </c>
      <c r="O353" s="11">
        <f>IF(H353="Post-Bill Void", IF(AND(G353="M-904", I353="Cash"), "EXCEPTION: Concurrent Cash Void", IF(AND(I353="Cash", N353&gt;120), "CRITICAL: Delayed Cash Void", IF(N353&gt;120, "EXCEPTION: Delayed Void", "Standard Void"))), IF(H353="Line Item Void", IF(I353="Cash", "EXCEPTION: Cash Line Void", "Standard Line Void"), IF(H353="No-Sale Drawer Opening", "DRAWER OPENING", "Standard Sale")))</f>
        <v/>
      </c>
    </row>
    <row r="354" ht="18" customHeight="1">
      <c r="A354" s="15" t="inlineStr">
        <is>
          <t>EVT-10293</t>
        </is>
      </c>
      <c r="B354" s="15" t="inlineStr">
        <is>
          <t>TX-80293</t>
        </is>
      </c>
      <c r="C354" s="27" t="n">
        <v>46308.77844907407</v>
      </c>
      <c r="D354" s="15" t="inlineStr">
        <is>
          <t>BR-01</t>
        </is>
      </c>
      <c r="E354" s="15" t="inlineStr">
        <is>
          <t>T-02</t>
        </is>
      </c>
      <c r="F354" s="15" t="inlineStr">
        <is>
          <t>C-102</t>
        </is>
      </c>
      <c r="G354" s="15" t="inlineStr">
        <is>
          <t>NONE</t>
        </is>
      </c>
      <c r="H354" s="14" t="inlineStr">
        <is>
          <t>Sale Tender</t>
        </is>
      </c>
      <c r="I354" s="15" t="inlineStr">
        <is>
          <t>Card</t>
        </is>
      </c>
      <c r="J354" s="17" t="n">
        <v>4</v>
      </c>
      <c r="K354" s="28" t="n">
        <v>61.43</v>
      </c>
      <c r="L354" s="28" t="n">
        <v>61.43</v>
      </c>
      <c r="M354" s="27" t="n">
        <v>46308.77798611111</v>
      </c>
      <c r="N354" s="29">
        <f>IFERROR(IF(OR(ISBLANK(M354), M354="", ISBLANK(C354), C354=""), 0, MAX(0, ROUND((C354-M354)*86400, 0))), 0)</f>
        <v/>
      </c>
      <c r="O354" s="14">
        <f>IF(H354="Post-Bill Void", IF(AND(G354="M-904", I354="Cash"), "EXCEPTION: Concurrent Cash Void", IF(AND(I354="Cash", N354&gt;120), "CRITICAL: Delayed Cash Void", IF(N354&gt;120, "EXCEPTION: Delayed Void", "Standard Void"))), IF(H354="Line Item Void", IF(I354="Cash", "EXCEPTION: Cash Line Void", "Standard Line Void"), IF(H354="No-Sale Drawer Opening", "DRAWER OPENING", "Standard Sale")))</f>
        <v/>
      </c>
    </row>
    <row r="355" ht="18" customHeight="1">
      <c r="A355" s="12" t="inlineStr">
        <is>
          <t>EVT-10632</t>
        </is>
      </c>
      <c r="B355" s="12" t="inlineStr">
        <is>
          <t>TX-80591</t>
        </is>
      </c>
      <c r="C355" s="24" t="n">
        <v>46308.77916666667</v>
      </c>
      <c r="D355" s="12" t="inlineStr">
        <is>
          <t>BR-01</t>
        </is>
      </c>
      <c r="E355" s="12" t="inlineStr">
        <is>
          <t>T-01</t>
        </is>
      </c>
      <c r="F355" s="12" t="inlineStr">
        <is>
          <t>C-103</t>
        </is>
      </c>
      <c r="G355" s="12" t="inlineStr">
        <is>
          <t>M-901</t>
        </is>
      </c>
      <c r="H355" s="11" t="inlineStr">
        <is>
          <t>Post-Bill Void</t>
        </is>
      </c>
      <c r="I355" s="12" t="inlineStr">
        <is>
          <t>Cash</t>
        </is>
      </c>
      <c r="J355" s="20" t="n">
        <v>1</v>
      </c>
      <c r="K355" s="25" t="n">
        <v>14.53</v>
      </c>
      <c r="L355" s="25" t="n">
        <v>0</v>
      </c>
      <c r="M355" s="24" t="n">
        <v>46308.77866898148</v>
      </c>
      <c r="N355" s="26">
        <f>IFERROR(IF(OR(ISBLANK(M355), M355="", ISBLANK(C355), C355=""), 0, MAX(0, ROUND((C355-M355)*86400, 0))), 0)</f>
        <v/>
      </c>
      <c r="O355" s="11">
        <f>IF(H355="Post-Bill Void", IF(AND(G355="M-904", I355="Cash"), "EXCEPTION: Concurrent Cash Void", IF(AND(I355="Cash", N355&gt;120), "CRITICAL: Delayed Cash Void", IF(N355&gt;120, "EXCEPTION: Delayed Void", "Standard Void"))), IF(H355="Line Item Void", IF(I355="Cash", "EXCEPTION: Cash Line Void", "Standard Line Void"), IF(H355="No-Sale Drawer Opening", "DRAWER OPENING", "Standard Sale")))</f>
        <v/>
      </c>
    </row>
    <row r="356" ht="18" customHeight="1">
      <c r="A356" s="15" t="inlineStr">
        <is>
          <t>EVT-10294</t>
        </is>
      </c>
      <c r="B356" s="15" t="inlineStr">
        <is>
          <t>TX-80294</t>
        </is>
      </c>
      <c r="C356" s="27" t="n">
        <v>46308.78523148148</v>
      </c>
      <c r="D356" s="15" t="inlineStr">
        <is>
          <t>BR-02</t>
        </is>
      </c>
      <c r="E356" s="15" t="inlineStr">
        <is>
          <t>T-02</t>
        </is>
      </c>
      <c r="F356" s="15" t="inlineStr">
        <is>
          <t>C-108</t>
        </is>
      </c>
      <c r="G356" s="15" t="inlineStr">
        <is>
          <t>NONE</t>
        </is>
      </c>
      <c r="H356" s="14" t="inlineStr">
        <is>
          <t>Sale Tender</t>
        </is>
      </c>
      <c r="I356" s="15" t="inlineStr">
        <is>
          <t>Cash</t>
        </is>
      </c>
      <c r="J356" s="17" t="n">
        <v>3</v>
      </c>
      <c r="K356" s="28" t="n">
        <v>34.06</v>
      </c>
      <c r="L356" s="28" t="n">
        <v>34.06</v>
      </c>
      <c r="M356" s="27" t="n">
        <v>46308.78413194444</v>
      </c>
      <c r="N356" s="29">
        <f>IFERROR(IF(OR(ISBLANK(M356), M356="", ISBLANK(C356), C356=""), 0, MAX(0, ROUND((C356-M356)*86400, 0))), 0)</f>
        <v/>
      </c>
      <c r="O356" s="14">
        <f>IF(H356="Post-Bill Void", IF(AND(G356="M-904", I356="Cash"), "EXCEPTION: Concurrent Cash Void", IF(AND(I356="Cash", N356&gt;120), "CRITICAL: Delayed Cash Void", IF(N356&gt;120, "EXCEPTION: Delayed Void", "Standard Void"))), IF(H356="Line Item Void", IF(I356="Cash", "EXCEPTION: Cash Line Void", "Standard Line Void"), IF(H356="No-Sale Drawer Opening", "DRAWER OPENING", "Standard Sale")))</f>
        <v/>
      </c>
    </row>
    <row r="357" ht="18" customHeight="1">
      <c r="A357" s="12" t="inlineStr">
        <is>
          <t>EVT-10295</t>
        </is>
      </c>
      <c r="B357" s="12" t="inlineStr">
        <is>
          <t>TX-80295</t>
        </is>
      </c>
      <c r="C357" s="24" t="n">
        <v>46308.79206018519</v>
      </c>
      <c r="D357" s="12" t="inlineStr">
        <is>
          <t>BR-03</t>
        </is>
      </c>
      <c r="E357" s="12" t="inlineStr">
        <is>
          <t>T-01</t>
        </is>
      </c>
      <c r="F357" s="12" t="inlineStr">
        <is>
          <t>C-111</t>
        </is>
      </c>
      <c r="G357" s="12" t="inlineStr">
        <is>
          <t>NONE</t>
        </is>
      </c>
      <c r="H357" s="11" t="inlineStr">
        <is>
          <t>Sale Tender</t>
        </is>
      </c>
      <c r="I357" s="12" t="inlineStr">
        <is>
          <t>Delivery Aggregator</t>
        </is>
      </c>
      <c r="J357" s="20" t="n">
        <v>4</v>
      </c>
      <c r="K357" s="25" t="n">
        <v>36.96</v>
      </c>
      <c r="L357" s="25" t="n">
        <v>36.96</v>
      </c>
      <c r="M357" s="24" t="n">
        <v>46308.79101851852</v>
      </c>
      <c r="N357" s="26">
        <f>IFERROR(IF(OR(ISBLANK(M357), M357="", ISBLANK(C357), C357=""), 0, MAX(0, ROUND((C357-M357)*86400, 0))), 0)</f>
        <v/>
      </c>
      <c r="O357" s="11">
        <f>IF(H357="Post-Bill Void", IF(AND(G357="M-904", I357="Cash"), "EXCEPTION: Concurrent Cash Void", IF(AND(I357="Cash", N357&gt;120), "CRITICAL: Delayed Cash Void", IF(N357&gt;120, "EXCEPTION: Delayed Void", "Standard Void"))), IF(H357="Line Item Void", IF(I357="Cash", "EXCEPTION: Cash Line Void", "Standard Line Void"), IF(H357="No-Sale Drawer Opening", "DRAWER OPENING", "Standard Sale")))</f>
        <v/>
      </c>
    </row>
    <row r="358" ht="18" customHeight="1">
      <c r="A358" s="15" t="inlineStr">
        <is>
          <t>EVT-10296</t>
        </is>
      </c>
      <c r="B358" s="15" t="inlineStr">
        <is>
          <t>TX-80296</t>
        </is>
      </c>
      <c r="C358" s="27" t="n">
        <v>46308.79914351852</v>
      </c>
      <c r="D358" s="15" t="inlineStr">
        <is>
          <t>BR-04</t>
        </is>
      </c>
      <c r="E358" s="15" t="inlineStr">
        <is>
          <t>T-02</t>
        </is>
      </c>
      <c r="F358" s="15" t="inlineStr">
        <is>
          <t>C-114</t>
        </is>
      </c>
      <c r="G358" s="15" t="inlineStr">
        <is>
          <t>NONE</t>
        </is>
      </c>
      <c r="H358" s="14" t="inlineStr">
        <is>
          <t>Sale Tender</t>
        </is>
      </c>
      <c r="I358" s="15" t="inlineStr">
        <is>
          <t>Cash</t>
        </is>
      </c>
      <c r="J358" s="17" t="n">
        <v>1</v>
      </c>
      <c r="K358" s="28" t="n">
        <v>12.72</v>
      </c>
      <c r="L358" s="28" t="n">
        <v>12.72</v>
      </c>
      <c r="M358" s="27" t="n">
        <v>46308.79831018519</v>
      </c>
      <c r="N358" s="29">
        <f>IFERROR(IF(OR(ISBLANK(M358), M358="", ISBLANK(C358), C358=""), 0, MAX(0, ROUND((C358-M358)*86400, 0))), 0)</f>
        <v/>
      </c>
      <c r="O358" s="14">
        <f>IF(H358="Post-Bill Void", IF(AND(G358="M-904", I358="Cash"), "EXCEPTION: Concurrent Cash Void", IF(AND(I358="Cash", N358&gt;120), "CRITICAL: Delayed Cash Void", IF(N358&gt;120, "EXCEPTION: Delayed Void", "Standard Void"))), IF(H358="Line Item Void", IF(I358="Cash", "EXCEPTION: Cash Line Void", "Standard Line Void"), IF(H358="No-Sale Drawer Opening", "DRAWER OPENING", "Standard Sale")))</f>
        <v/>
      </c>
    </row>
    <row r="359" ht="18" customHeight="1">
      <c r="A359" s="12" t="inlineStr">
        <is>
          <t>EVT-10297</t>
        </is>
      </c>
      <c r="B359" s="12" t="inlineStr">
        <is>
          <t>TX-80297</t>
        </is>
      </c>
      <c r="C359" s="24" t="n">
        <v>46308.80571759259</v>
      </c>
      <c r="D359" s="12" t="inlineStr">
        <is>
          <t>BR-02</t>
        </is>
      </c>
      <c r="E359" s="12" t="inlineStr">
        <is>
          <t>T-01</t>
        </is>
      </c>
      <c r="F359" s="12" t="inlineStr">
        <is>
          <t>C-105</t>
        </is>
      </c>
      <c r="G359" s="12" t="inlineStr">
        <is>
          <t>NONE</t>
        </is>
      </c>
      <c r="H359" s="11" t="inlineStr">
        <is>
          <t>Sale Tender</t>
        </is>
      </c>
      <c r="I359" s="12" t="inlineStr">
        <is>
          <t>Cash</t>
        </is>
      </c>
      <c r="J359" s="20" t="n">
        <v>2</v>
      </c>
      <c r="K359" s="25" t="n">
        <v>21.95</v>
      </c>
      <c r="L359" s="25" t="n">
        <v>21.95</v>
      </c>
      <c r="M359" s="24" t="n">
        <v>46308.80481481482</v>
      </c>
      <c r="N359" s="26">
        <f>IFERROR(IF(OR(ISBLANK(M359), M359="", ISBLANK(C359), C359=""), 0, MAX(0, ROUND((C359-M359)*86400, 0))), 0)</f>
        <v/>
      </c>
      <c r="O359" s="11">
        <f>IF(H359="Post-Bill Void", IF(AND(G359="M-904", I359="Cash"), "EXCEPTION: Concurrent Cash Void", IF(AND(I359="Cash", N359&gt;120), "CRITICAL: Delayed Cash Void", IF(N359&gt;120, "EXCEPTION: Delayed Void", "Standard Void"))), IF(H359="Line Item Void", IF(I359="Cash", "EXCEPTION: Cash Line Void", "Standard Line Void"), IF(H359="No-Sale Drawer Opening", "DRAWER OPENING", "Standard Sale")))</f>
        <v/>
      </c>
    </row>
    <row r="360" ht="18" customHeight="1">
      <c r="A360" s="15" t="inlineStr">
        <is>
          <t>EVT-10298</t>
        </is>
      </c>
      <c r="B360" s="15" t="inlineStr">
        <is>
          <t>TX-80298</t>
        </is>
      </c>
      <c r="C360" s="27" t="n">
        <v>46308.81277777778</v>
      </c>
      <c r="D360" s="15" t="inlineStr">
        <is>
          <t>BR-02</t>
        </is>
      </c>
      <c r="E360" s="15" t="inlineStr">
        <is>
          <t>T-01</t>
        </is>
      </c>
      <c r="F360" s="15" t="inlineStr">
        <is>
          <t>C-108</t>
        </is>
      </c>
      <c r="G360" s="15" t="inlineStr">
        <is>
          <t>NONE</t>
        </is>
      </c>
      <c r="H360" s="14" t="inlineStr">
        <is>
          <t>Sale Tender</t>
        </is>
      </c>
      <c r="I360" s="15" t="inlineStr">
        <is>
          <t>Cash</t>
        </is>
      </c>
      <c r="J360" s="17" t="n">
        <v>4</v>
      </c>
      <c r="K360" s="28" t="n">
        <v>63</v>
      </c>
      <c r="L360" s="28" t="n">
        <v>63</v>
      </c>
      <c r="M360" s="27" t="n">
        <v>46308.81199074074</v>
      </c>
      <c r="N360" s="29">
        <f>IFERROR(IF(OR(ISBLANK(M360), M360="", ISBLANK(C360), C360=""), 0, MAX(0, ROUND((C360-M360)*86400, 0))), 0)</f>
        <v/>
      </c>
      <c r="O360" s="14">
        <f>IF(H360="Post-Bill Void", IF(AND(G360="M-904", I360="Cash"), "EXCEPTION: Concurrent Cash Void", IF(AND(I360="Cash", N360&gt;120), "CRITICAL: Delayed Cash Void", IF(N360&gt;120, "EXCEPTION: Delayed Void", "Standard Void"))), IF(H360="Line Item Void", IF(I360="Cash", "EXCEPTION: Cash Line Void", "Standard Line Void"), IF(H360="No-Sale Drawer Opening", "DRAWER OPENING", "Standard Sale")))</f>
        <v/>
      </c>
    </row>
    <row r="361" ht="18" customHeight="1">
      <c r="A361" s="12" t="inlineStr">
        <is>
          <t>EVT-10299</t>
        </is>
      </c>
      <c r="B361" s="12" t="inlineStr">
        <is>
          <t>TX-80299</t>
        </is>
      </c>
      <c r="C361" s="24" t="n">
        <v>46308.81991898148</v>
      </c>
      <c r="D361" s="12" t="inlineStr">
        <is>
          <t>BR-04</t>
        </is>
      </c>
      <c r="E361" s="12" t="inlineStr">
        <is>
          <t>T-01</t>
        </is>
      </c>
      <c r="F361" s="12" t="inlineStr">
        <is>
          <t>C-114</t>
        </is>
      </c>
      <c r="G361" s="12" t="inlineStr">
        <is>
          <t>NONE</t>
        </is>
      </c>
      <c r="H361" s="11" t="inlineStr">
        <is>
          <t>Sale Tender</t>
        </is>
      </c>
      <c r="I361" s="12" t="inlineStr">
        <is>
          <t>Cash</t>
        </is>
      </c>
      <c r="J361" s="20" t="n">
        <v>6</v>
      </c>
      <c r="K361" s="25" t="n">
        <v>75.59</v>
      </c>
      <c r="L361" s="25" t="n">
        <v>75.59</v>
      </c>
      <c r="M361" s="24" t="n">
        <v>46308.8191087963</v>
      </c>
      <c r="N361" s="26">
        <f>IFERROR(IF(OR(ISBLANK(M361), M361="", ISBLANK(C361), C361=""), 0, MAX(0, ROUND((C361-M361)*86400, 0))), 0)</f>
        <v/>
      </c>
      <c r="O361" s="11">
        <f>IF(H361="Post-Bill Void", IF(AND(G361="M-904", I361="Cash"), "EXCEPTION: Concurrent Cash Void", IF(AND(I361="Cash", N361&gt;120), "CRITICAL: Delayed Cash Void", IF(N361&gt;120, "EXCEPTION: Delayed Void", "Standard Void"))), IF(H361="Line Item Void", IF(I361="Cash", "EXCEPTION: Cash Line Void", "Standard Line Void"), IF(H361="No-Sale Drawer Opening", "DRAWER OPENING", "Standard Sale")))</f>
        <v/>
      </c>
    </row>
    <row r="362" ht="18" customHeight="1">
      <c r="A362" s="15" t="inlineStr">
        <is>
          <t>EVT-10300</t>
        </is>
      </c>
      <c r="B362" s="15" t="inlineStr">
        <is>
          <t>TX-80300</t>
        </is>
      </c>
      <c r="C362" s="27" t="n">
        <v>46308.82651620371</v>
      </c>
      <c r="D362" s="15" t="inlineStr">
        <is>
          <t>BR-01</t>
        </is>
      </c>
      <c r="E362" s="15" t="inlineStr">
        <is>
          <t>T-02</t>
        </is>
      </c>
      <c r="F362" s="15" t="inlineStr">
        <is>
          <t>C-101</t>
        </is>
      </c>
      <c r="G362" s="15" t="inlineStr">
        <is>
          <t>NONE</t>
        </is>
      </c>
      <c r="H362" s="14" t="inlineStr">
        <is>
          <t>Sale Tender</t>
        </is>
      </c>
      <c r="I362" s="15" t="inlineStr">
        <is>
          <t>Delivery Aggregator</t>
        </is>
      </c>
      <c r="J362" s="17" t="n">
        <v>6</v>
      </c>
      <c r="K362" s="28" t="n">
        <v>53.18</v>
      </c>
      <c r="L362" s="28" t="n">
        <v>53.18</v>
      </c>
      <c r="M362" s="27" t="n">
        <v>46308.82612268518</v>
      </c>
      <c r="N362" s="29">
        <f>IFERROR(IF(OR(ISBLANK(M362), M362="", ISBLANK(C362), C362=""), 0, MAX(0, ROUND((C362-M362)*86400, 0))), 0)</f>
        <v/>
      </c>
      <c r="O362" s="14">
        <f>IF(H362="Post-Bill Void", IF(AND(G362="M-904", I362="Cash"), "EXCEPTION: Concurrent Cash Void", IF(AND(I362="Cash", N362&gt;120), "CRITICAL: Delayed Cash Void", IF(N362&gt;120, "EXCEPTION: Delayed Void", "Standard Void"))), IF(H362="Line Item Void", IF(I362="Cash", "EXCEPTION: Cash Line Void", "Standard Line Void"), IF(H362="No-Sale Drawer Opening", "DRAWER OPENING", "Standard Sale")))</f>
        <v/>
      </c>
    </row>
    <row r="363" ht="18" customHeight="1">
      <c r="A363" s="12" t="inlineStr">
        <is>
          <t>EVT-10301</t>
        </is>
      </c>
      <c r="B363" s="12" t="inlineStr">
        <is>
          <t>TX-80301</t>
        </is>
      </c>
      <c r="C363" s="24" t="n">
        <v>46308.83333333334</v>
      </c>
      <c r="D363" s="12" t="inlineStr">
        <is>
          <t>BR-04</t>
        </is>
      </c>
      <c r="E363" s="12" t="inlineStr">
        <is>
          <t>T-02</t>
        </is>
      </c>
      <c r="F363" s="12" t="inlineStr">
        <is>
          <t>C-113</t>
        </is>
      </c>
      <c r="G363" s="12" t="inlineStr">
        <is>
          <t>NONE</t>
        </is>
      </c>
      <c r="H363" s="11" t="inlineStr">
        <is>
          <t>Sale Tender</t>
        </is>
      </c>
      <c r="I363" s="12" t="inlineStr">
        <is>
          <t>Cash</t>
        </is>
      </c>
      <c r="J363" s="20" t="n">
        <v>2</v>
      </c>
      <c r="K363" s="25" t="n">
        <v>17.14</v>
      </c>
      <c r="L363" s="25" t="n">
        <v>17.14</v>
      </c>
      <c r="M363" s="24" t="n">
        <v>46308.83270833334</v>
      </c>
      <c r="N363" s="26">
        <f>IFERROR(IF(OR(ISBLANK(M363), M363="", ISBLANK(C363), C363=""), 0, MAX(0, ROUND((C363-M363)*86400, 0))), 0)</f>
        <v/>
      </c>
      <c r="O363" s="11">
        <f>IF(H363="Post-Bill Void", IF(AND(G363="M-904", I363="Cash"), "EXCEPTION: Concurrent Cash Void", IF(AND(I363="Cash", N363&gt;120), "CRITICAL: Delayed Cash Void", IF(N363&gt;120, "EXCEPTION: Delayed Void", "Standard Void"))), IF(H363="Line Item Void", IF(I363="Cash", "EXCEPTION: Cash Line Void", "Standard Line Void"), IF(H363="No-Sale Drawer Opening", "DRAWER OPENING", "Standard Sale")))</f>
        <v/>
      </c>
    </row>
    <row r="364" ht="18" customHeight="1">
      <c r="A364" s="15" t="inlineStr">
        <is>
          <t>EVT-10302</t>
        </is>
      </c>
      <c r="B364" s="15" t="inlineStr">
        <is>
          <t>TX-80302</t>
        </is>
      </c>
      <c r="C364" s="27" t="n">
        <v>46308.84064814815</v>
      </c>
      <c r="D364" s="15" t="inlineStr">
        <is>
          <t>BR-04</t>
        </is>
      </c>
      <c r="E364" s="15" t="inlineStr">
        <is>
          <t>T-01</t>
        </is>
      </c>
      <c r="F364" s="15" t="inlineStr">
        <is>
          <t>C-114</t>
        </is>
      </c>
      <c r="G364" s="15" t="inlineStr">
        <is>
          <t>NONE</t>
        </is>
      </c>
      <c r="H364" s="14" t="inlineStr">
        <is>
          <t>Sale Tender</t>
        </is>
      </c>
      <c r="I364" s="15" t="inlineStr">
        <is>
          <t>Card</t>
        </is>
      </c>
      <c r="J364" s="17" t="n">
        <v>1</v>
      </c>
      <c r="K364" s="28" t="n">
        <v>8.550000000000001</v>
      </c>
      <c r="L364" s="28" t="n">
        <v>8.550000000000001</v>
      </c>
      <c r="M364" s="27" t="n">
        <v>46308.83965277778</v>
      </c>
      <c r="N364" s="29">
        <f>IFERROR(IF(OR(ISBLANK(M364), M364="", ISBLANK(C364), C364=""), 0, MAX(0, ROUND((C364-M364)*86400, 0))), 0)</f>
        <v/>
      </c>
      <c r="O364" s="14">
        <f>IF(H364="Post-Bill Void", IF(AND(G364="M-904", I364="Cash"), "EXCEPTION: Concurrent Cash Void", IF(AND(I364="Cash", N364&gt;120), "CRITICAL: Delayed Cash Void", IF(N364&gt;120, "EXCEPTION: Delayed Void", "Standard Void"))), IF(H364="Line Item Void", IF(I364="Cash", "EXCEPTION: Cash Line Void", "Standard Line Void"), IF(H364="No-Sale Drawer Opening", "DRAWER OPENING", "Standard Sale")))</f>
        <v/>
      </c>
    </row>
    <row r="365" ht="18" customHeight="1">
      <c r="A365" s="12" t="inlineStr">
        <is>
          <t>EVT-10303</t>
        </is>
      </c>
      <c r="B365" s="12" t="inlineStr">
        <is>
          <t>TX-80303</t>
        </is>
      </c>
      <c r="C365" s="24" t="n">
        <v>46308.84762731481</v>
      </c>
      <c r="D365" s="12" t="inlineStr">
        <is>
          <t>BR-04</t>
        </is>
      </c>
      <c r="E365" s="12" t="inlineStr">
        <is>
          <t>T-01</t>
        </is>
      </c>
      <c r="F365" s="12" t="inlineStr">
        <is>
          <t>C-113</t>
        </is>
      </c>
      <c r="G365" s="12" t="inlineStr">
        <is>
          <t>NONE</t>
        </is>
      </c>
      <c r="H365" s="11" t="inlineStr">
        <is>
          <t>Sale Tender</t>
        </is>
      </c>
      <c r="I365" s="12" t="inlineStr">
        <is>
          <t>Card</t>
        </is>
      </c>
      <c r="J365" s="20" t="n">
        <v>3</v>
      </c>
      <c r="K365" s="25" t="n">
        <v>25.89</v>
      </c>
      <c r="L365" s="25" t="n">
        <v>25.89</v>
      </c>
      <c r="M365" s="24" t="n">
        <v>46308.84693287037</v>
      </c>
      <c r="N365" s="26">
        <f>IFERROR(IF(OR(ISBLANK(M365), M365="", ISBLANK(C365), C365=""), 0, MAX(0, ROUND((C365-M365)*86400, 0))), 0)</f>
        <v/>
      </c>
      <c r="O365" s="11">
        <f>IF(H365="Post-Bill Void", IF(AND(G365="M-904", I365="Cash"), "EXCEPTION: Concurrent Cash Void", IF(AND(I365="Cash", N365&gt;120), "CRITICAL: Delayed Cash Void", IF(N365&gt;120, "EXCEPTION: Delayed Void", "Standard Void"))), IF(H365="Line Item Void", IF(I365="Cash", "EXCEPTION: Cash Line Void", "Standard Line Void"), IF(H365="No-Sale Drawer Opening", "DRAWER OPENING", "Standard Sale")))</f>
        <v/>
      </c>
    </row>
    <row r="366" ht="18" customHeight="1">
      <c r="A366" s="15" t="inlineStr">
        <is>
          <t>EVT-10304</t>
        </is>
      </c>
      <c r="B366" s="15" t="inlineStr">
        <is>
          <t>TX-80304</t>
        </is>
      </c>
      <c r="C366" s="27" t="n">
        <v>46308.85476851852</v>
      </c>
      <c r="D366" s="15" t="inlineStr">
        <is>
          <t>BR-04</t>
        </is>
      </c>
      <c r="E366" s="15" t="inlineStr">
        <is>
          <t>T-01</t>
        </is>
      </c>
      <c r="F366" s="15" t="inlineStr">
        <is>
          <t>C-113</t>
        </is>
      </c>
      <c r="G366" s="15" t="inlineStr">
        <is>
          <t>NONE</t>
        </is>
      </c>
      <c r="H366" s="14" t="inlineStr">
        <is>
          <t>Sale Tender</t>
        </is>
      </c>
      <c r="I366" s="15" t="inlineStr">
        <is>
          <t>Card</t>
        </is>
      </c>
      <c r="J366" s="17" t="n">
        <v>2</v>
      </c>
      <c r="K366" s="28" t="n">
        <v>19.88</v>
      </c>
      <c r="L366" s="28" t="n">
        <v>19.88</v>
      </c>
      <c r="M366" s="27" t="n">
        <v>46308.85434027778</v>
      </c>
      <c r="N366" s="29">
        <f>IFERROR(IF(OR(ISBLANK(M366), M366="", ISBLANK(C366), C366=""), 0, MAX(0, ROUND((C366-M366)*86400, 0))), 0)</f>
        <v/>
      </c>
      <c r="O366" s="14">
        <f>IF(H366="Post-Bill Void", IF(AND(G366="M-904", I366="Cash"), "EXCEPTION: Concurrent Cash Void", IF(AND(I366="Cash", N366&gt;120), "CRITICAL: Delayed Cash Void", IF(N366&gt;120, "EXCEPTION: Delayed Void", "Standard Void"))), IF(H366="Line Item Void", IF(I366="Cash", "EXCEPTION: Cash Line Void", "Standard Line Void"), IF(H366="No-Sale Drawer Opening", "DRAWER OPENING", "Standard Sale")))</f>
        <v/>
      </c>
    </row>
    <row r="367" ht="18" customHeight="1">
      <c r="A367" s="12" t="inlineStr">
        <is>
          <t>EVT-10305</t>
        </is>
      </c>
      <c r="B367" s="12" t="inlineStr">
        <is>
          <t>TX-80305</t>
        </is>
      </c>
      <c r="C367" s="24" t="n">
        <v>46308.86149305556</v>
      </c>
      <c r="D367" s="12" t="inlineStr">
        <is>
          <t>BR-03</t>
        </is>
      </c>
      <c r="E367" s="12" t="inlineStr">
        <is>
          <t>T-01</t>
        </is>
      </c>
      <c r="F367" s="12" t="inlineStr">
        <is>
          <t>C-111</t>
        </is>
      </c>
      <c r="G367" s="12" t="inlineStr">
        <is>
          <t>NONE</t>
        </is>
      </c>
      <c r="H367" s="11" t="inlineStr">
        <is>
          <t>Sale Tender</t>
        </is>
      </c>
      <c r="I367" s="12" t="inlineStr">
        <is>
          <t>Cash</t>
        </is>
      </c>
      <c r="J367" s="20" t="n">
        <v>4</v>
      </c>
      <c r="K367" s="25" t="n">
        <v>47.77</v>
      </c>
      <c r="L367" s="25" t="n">
        <v>47.77</v>
      </c>
      <c r="M367" s="24" t="n">
        <v>46308.860625</v>
      </c>
      <c r="N367" s="26">
        <f>IFERROR(IF(OR(ISBLANK(M367), M367="", ISBLANK(C367), C367=""), 0, MAX(0, ROUND((C367-M367)*86400, 0))), 0)</f>
        <v/>
      </c>
      <c r="O367" s="11">
        <f>IF(H367="Post-Bill Void", IF(AND(G367="M-904", I367="Cash"), "EXCEPTION: Concurrent Cash Void", IF(AND(I367="Cash", N367&gt;120), "CRITICAL: Delayed Cash Void", IF(N367&gt;120, "EXCEPTION: Delayed Void", "Standard Void"))), IF(H367="Line Item Void", IF(I367="Cash", "EXCEPTION: Cash Line Void", "Standard Line Void"), IF(H367="No-Sale Drawer Opening", "DRAWER OPENING", "Standard Sale")))</f>
        <v/>
      </c>
    </row>
    <row r="368" ht="18" customHeight="1">
      <c r="A368" s="15" t="inlineStr">
        <is>
          <t>EVT-10306</t>
        </is>
      </c>
      <c r="B368" s="15" t="inlineStr">
        <is>
          <t>TX-80306</t>
        </is>
      </c>
      <c r="C368" s="27" t="n">
        <v>46308.86822916667</v>
      </c>
      <c r="D368" s="15" t="inlineStr">
        <is>
          <t>BR-02</t>
        </is>
      </c>
      <c r="E368" s="15" t="inlineStr">
        <is>
          <t>T-02</t>
        </is>
      </c>
      <c r="F368" s="15" t="inlineStr">
        <is>
          <t>C-107</t>
        </is>
      </c>
      <c r="G368" s="15" t="inlineStr">
        <is>
          <t>NONE</t>
        </is>
      </c>
      <c r="H368" s="14" t="inlineStr">
        <is>
          <t>Sale Tender</t>
        </is>
      </c>
      <c r="I368" s="15" t="inlineStr">
        <is>
          <t>Card</t>
        </is>
      </c>
      <c r="J368" s="17" t="n">
        <v>6</v>
      </c>
      <c r="K368" s="28" t="n">
        <v>85.18000000000001</v>
      </c>
      <c r="L368" s="28" t="n">
        <v>85.18000000000001</v>
      </c>
      <c r="M368" s="27" t="n">
        <v>46308.86782407408</v>
      </c>
      <c r="N368" s="29">
        <f>IFERROR(IF(OR(ISBLANK(M368), M368="", ISBLANK(C368), C368=""), 0, MAX(0, ROUND((C368-M368)*86400, 0))), 0)</f>
        <v/>
      </c>
      <c r="O368" s="14">
        <f>IF(H368="Post-Bill Void", IF(AND(G368="M-904", I368="Cash"), "EXCEPTION: Concurrent Cash Void", IF(AND(I368="Cash", N368&gt;120), "CRITICAL: Delayed Cash Void", IF(N368&gt;120, "EXCEPTION: Delayed Void", "Standard Void"))), IF(H368="Line Item Void", IF(I368="Cash", "EXCEPTION: Cash Line Void", "Standard Line Void"), IF(H368="No-Sale Drawer Opening", "DRAWER OPENING", "Standard Sale")))</f>
        <v/>
      </c>
    </row>
    <row r="369" ht="18" customHeight="1">
      <c r="A369" s="12" t="inlineStr">
        <is>
          <t>EVT-10307</t>
        </is>
      </c>
      <c r="B369" s="12" t="inlineStr">
        <is>
          <t>TX-80307</t>
        </is>
      </c>
      <c r="C369" s="24" t="n">
        <v>46308.87505787037</v>
      </c>
      <c r="D369" s="12" t="inlineStr">
        <is>
          <t>BR-04</t>
        </is>
      </c>
      <c r="E369" s="12" t="inlineStr">
        <is>
          <t>T-01</t>
        </is>
      </c>
      <c r="F369" s="12" t="inlineStr">
        <is>
          <t>C-114</t>
        </is>
      </c>
      <c r="G369" s="12" t="inlineStr">
        <is>
          <t>NONE</t>
        </is>
      </c>
      <c r="H369" s="11" t="inlineStr">
        <is>
          <t>Sale Tender</t>
        </is>
      </c>
      <c r="I369" s="12" t="inlineStr">
        <is>
          <t>Cash</t>
        </is>
      </c>
      <c r="J369" s="20" t="n">
        <v>1</v>
      </c>
      <c r="K369" s="25" t="n">
        <v>13.77</v>
      </c>
      <c r="L369" s="25" t="n">
        <v>13.77</v>
      </c>
      <c r="M369" s="24" t="n">
        <v>46308.87407407408</v>
      </c>
      <c r="N369" s="26">
        <f>IFERROR(IF(OR(ISBLANK(M369), M369="", ISBLANK(C369), C369=""), 0, MAX(0, ROUND((C369-M369)*86400, 0))), 0)</f>
        <v/>
      </c>
      <c r="O369" s="11">
        <f>IF(H369="Post-Bill Void", IF(AND(G369="M-904", I369="Cash"), "EXCEPTION: Concurrent Cash Void", IF(AND(I369="Cash", N369&gt;120), "CRITICAL: Delayed Cash Void", IF(N369&gt;120, "EXCEPTION: Delayed Void", "Standard Void"))), IF(H369="Line Item Void", IF(I369="Cash", "EXCEPTION: Cash Line Void", "Standard Line Void"), IF(H369="No-Sale Drawer Opening", "DRAWER OPENING", "Standard Sale")))</f>
        <v/>
      </c>
    </row>
    <row r="370" ht="18" customHeight="1">
      <c r="A370" s="15" t="inlineStr">
        <is>
          <t>EVT-10308</t>
        </is>
      </c>
      <c r="B370" s="15" t="inlineStr">
        <is>
          <t>TX-80308</t>
        </is>
      </c>
      <c r="C370" s="27" t="n">
        <v>46308.88200231481</v>
      </c>
      <c r="D370" s="15" t="inlineStr">
        <is>
          <t>BR-04</t>
        </is>
      </c>
      <c r="E370" s="15" t="inlineStr">
        <is>
          <t>T-02</t>
        </is>
      </c>
      <c r="F370" s="15" t="inlineStr">
        <is>
          <t>C-114</t>
        </is>
      </c>
      <c r="G370" s="15" t="inlineStr">
        <is>
          <t>NONE</t>
        </is>
      </c>
      <c r="H370" s="14" t="inlineStr">
        <is>
          <t>Sale Tender</t>
        </is>
      </c>
      <c r="I370" s="15" t="inlineStr">
        <is>
          <t>Card</t>
        </is>
      </c>
      <c r="J370" s="17" t="n">
        <v>1</v>
      </c>
      <c r="K370" s="28" t="n">
        <v>15.21</v>
      </c>
      <c r="L370" s="28" t="n">
        <v>15.21</v>
      </c>
      <c r="M370" s="27" t="n">
        <v>46308.88122685185</v>
      </c>
      <c r="N370" s="29">
        <f>IFERROR(IF(OR(ISBLANK(M370), M370="", ISBLANK(C370), C370=""), 0, MAX(0, ROUND((C370-M370)*86400, 0))), 0)</f>
        <v/>
      </c>
      <c r="O370" s="14">
        <f>IF(H370="Post-Bill Void", IF(AND(G370="M-904", I370="Cash"), "EXCEPTION: Concurrent Cash Void", IF(AND(I370="Cash", N370&gt;120), "CRITICAL: Delayed Cash Void", IF(N370&gt;120, "EXCEPTION: Delayed Void", "Standard Void"))), IF(H370="Line Item Void", IF(I370="Cash", "EXCEPTION: Cash Line Void", "Standard Line Void"), IF(H370="No-Sale Drawer Opening", "DRAWER OPENING", "Standard Sale")))</f>
        <v/>
      </c>
    </row>
    <row r="371" ht="18" customHeight="1">
      <c r="A371" s="12" t="inlineStr">
        <is>
          <t>EVT-10309</t>
        </is>
      </c>
      <c r="B371" s="12" t="inlineStr">
        <is>
          <t>TX-80309</t>
        </is>
      </c>
      <c r="C371" s="24" t="n">
        <v>46308.88956018518</v>
      </c>
      <c r="D371" s="12" t="inlineStr">
        <is>
          <t>BR-01</t>
        </is>
      </c>
      <c r="E371" s="12" t="inlineStr">
        <is>
          <t>T-01</t>
        </is>
      </c>
      <c r="F371" s="12" t="inlineStr">
        <is>
          <t>C-102</t>
        </is>
      </c>
      <c r="G371" s="12" t="inlineStr">
        <is>
          <t>NONE</t>
        </is>
      </c>
      <c r="H371" s="11" t="inlineStr">
        <is>
          <t>Sale Tender</t>
        </is>
      </c>
      <c r="I371" s="12" t="inlineStr">
        <is>
          <t>Cash</t>
        </is>
      </c>
      <c r="J371" s="20" t="n">
        <v>1</v>
      </c>
      <c r="K371" s="25" t="n">
        <v>13.63</v>
      </c>
      <c r="L371" s="25" t="n">
        <v>13.63</v>
      </c>
      <c r="M371" s="24" t="n">
        <v>46308.88857638889</v>
      </c>
      <c r="N371" s="26">
        <f>IFERROR(IF(OR(ISBLANK(M371), M371="", ISBLANK(C371), C371=""), 0, MAX(0, ROUND((C371-M371)*86400, 0))), 0)</f>
        <v/>
      </c>
      <c r="O371" s="11">
        <f>IF(H371="Post-Bill Void", IF(AND(G371="M-904", I371="Cash"), "EXCEPTION: Concurrent Cash Void", IF(AND(I371="Cash", N371&gt;120), "CRITICAL: Delayed Cash Void", IF(N371&gt;120, "EXCEPTION: Delayed Void", "Standard Void"))), IF(H371="Line Item Void", IF(I371="Cash", "EXCEPTION: Cash Line Void", "Standard Line Void"), IF(H371="No-Sale Drawer Opening", "DRAWER OPENING", "Standard Sale")))</f>
        <v/>
      </c>
    </row>
    <row r="372" ht="18" customHeight="1">
      <c r="A372" s="15" t="inlineStr">
        <is>
          <t>EVT-10310</t>
        </is>
      </c>
      <c r="B372" s="15" t="inlineStr">
        <is>
          <t>TX-80310</t>
        </is>
      </c>
      <c r="C372" s="27" t="n">
        <v>46308.89603009259</v>
      </c>
      <c r="D372" s="15" t="inlineStr">
        <is>
          <t>BR-01</t>
        </is>
      </c>
      <c r="E372" s="15" t="inlineStr">
        <is>
          <t>T-02</t>
        </is>
      </c>
      <c r="F372" s="15" t="inlineStr">
        <is>
          <t>C-102</t>
        </is>
      </c>
      <c r="G372" s="15" t="inlineStr">
        <is>
          <t>NONE</t>
        </is>
      </c>
      <c r="H372" s="14" t="inlineStr">
        <is>
          <t>Sale Tender</t>
        </is>
      </c>
      <c r="I372" s="15" t="inlineStr">
        <is>
          <t>Cash</t>
        </is>
      </c>
      <c r="J372" s="17" t="n">
        <v>2</v>
      </c>
      <c r="K372" s="28" t="n">
        <v>25.81</v>
      </c>
      <c r="L372" s="28" t="n">
        <v>25.81</v>
      </c>
      <c r="M372" s="27" t="n">
        <v>46308.89527777778</v>
      </c>
      <c r="N372" s="29">
        <f>IFERROR(IF(OR(ISBLANK(M372), M372="", ISBLANK(C372), C372=""), 0, MAX(0, ROUND((C372-M372)*86400, 0))), 0)</f>
        <v/>
      </c>
      <c r="O372" s="14">
        <f>IF(H372="Post-Bill Void", IF(AND(G372="M-904", I372="Cash"), "EXCEPTION: Concurrent Cash Void", IF(AND(I372="Cash", N372&gt;120), "CRITICAL: Delayed Cash Void", IF(N372&gt;120, "EXCEPTION: Delayed Void", "Standard Void"))), IF(H372="Line Item Void", IF(I372="Cash", "EXCEPTION: Cash Line Void", "Standard Line Void"), IF(H372="No-Sale Drawer Opening", "DRAWER OPENING", "Standard Sale")))</f>
        <v/>
      </c>
    </row>
    <row r="373" ht="18" customHeight="1">
      <c r="A373" s="12" t="inlineStr">
        <is>
          <t>EVT-10311</t>
        </is>
      </c>
      <c r="B373" s="12" t="inlineStr">
        <is>
          <t>TX-80311</t>
        </is>
      </c>
      <c r="C373" s="24" t="n">
        <v>46308.90333333334</v>
      </c>
      <c r="D373" s="12" t="inlineStr">
        <is>
          <t>BR-04</t>
        </is>
      </c>
      <c r="E373" s="12" t="inlineStr">
        <is>
          <t>T-01</t>
        </is>
      </c>
      <c r="F373" s="12" t="inlineStr">
        <is>
          <t>C-113</t>
        </is>
      </c>
      <c r="G373" s="12" t="inlineStr">
        <is>
          <t>NONE</t>
        </is>
      </c>
      <c r="H373" s="11" t="inlineStr">
        <is>
          <t>Sale Tender</t>
        </is>
      </c>
      <c r="I373" s="12" t="inlineStr">
        <is>
          <t>Card</t>
        </is>
      </c>
      <c r="J373" s="20" t="n">
        <v>4</v>
      </c>
      <c r="K373" s="25" t="n">
        <v>54.31</v>
      </c>
      <c r="L373" s="25" t="n">
        <v>54.31</v>
      </c>
      <c r="M373" s="24" t="n">
        <v>46308.90269675926</v>
      </c>
      <c r="N373" s="26">
        <f>IFERROR(IF(OR(ISBLANK(M373), M373="", ISBLANK(C373), C373=""), 0, MAX(0, ROUND((C373-M373)*86400, 0))), 0)</f>
        <v/>
      </c>
      <c r="O373" s="11">
        <f>IF(H373="Post-Bill Void", IF(AND(G373="M-904", I373="Cash"), "EXCEPTION: Concurrent Cash Void", IF(AND(I373="Cash", N373&gt;120), "CRITICAL: Delayed Cash Void", IF(N373&gt;120, "EXCEPTION: Delayed Void", "Standard Void"))), IF(H373="Line Item Void", IF(I373="Cash", "EXCEPTION: Cash Line Void", "Standard Line Void"), IF(H373="No-Sale Drawer Opening", "DRAWER OPENING", "Standard Sale")))</f>
        <v/>
      </c>
    </row>
    <row r="374" ht="18" customHeight="1">
      <c r="A374" s="15" t="inlineStr">
        <is>
          <t>EVT-10312</t>
        </is>
      </c>
      <c r="B374" s="15" t="inlineStr">
        <is>
          <t>TX-80312</t>
        </is>
      </c>
      <c r="C374" s="27" t="n">
        <v>46308.91011574074</v>
      </c>
      <c r="D374" s="15" t="inlineStr">
        <is>
          <t>BR-03</t>
        </is>
      </c>
      <c r="E374" s="15" t="inlineStr">
        <is>
          <t>T-02</t>
        </is>
      </c>
      <c r="F374" s="15" t="inlineStr">
        <is>
          <t>C-112</t>
        </is>
      </c>
      <c r="G374" s="15" t="inlineStr">
        <is>
          <t>NONE</t>
        </is>
      </c>
      <c r="H374" s="14" t="inlineStr">
        <is>
          <t>Sale Tender</t>
        </is>
      </c>
      <c r="I374" s="15" t="inlineStr">
        <is>
          <t>Card</t>
        </is>
      </c>
      <c r="J374" s="17" t="n">
        <v>6</v>
      </c>
      <c r="K374" s="28" t="n">
        <v>83.59</v>
      </c>
      <c r="L374" s="28" t="n">
        <v>83.59</v>
      </c>
      <c r="M374" s="27" t="n">
        <v>46308.90962962963</v>
      </c>
      <c r="N374" s="29">
        <f>IFERROR(IF(OR(ISBLANK(M374), M374="", ISBLANK(C374), C374=""), 0, MAX(0, ROUND((C374-M374)*86400, 0))), 0)</f>
        <v/>
      </c>
      <c r="O374" s="14">
        <f>IF(H374="Post-Bill Void", IF(AND(G374="M-904", I374="Cash"), "EXCEPTION: Concurrent Cash Void", IF(AND(I374="Cash", N374&gt;120), "CRITICAL: Delayed Cash Void", IF(N374&gt;120, "EXCEPTION: Delayed Void", "Standard Void"))), IF(H374="Line Item Void", IF(I374="Cash", "EXCEPTION: Cash Line Void", "Standard Line Void"), IF(H374="No-Sale Drawer Opening", "DRAWER OPENING", "Standard Sale")))</f>
        <v/>
      </c>
    </row>
    <row r="375" ht="18" customHeight="1">
      <c r="A375" s="12" t="inlineStr">
        <is>
          <t>EVT-10624</t>
        </is>
      </c>
      <c r="B375" s="12" t="inlineStr">
        <is>
          <t>N/A - NO SALE</t>
        </is>
      </c>
      <c r="C375" s="24" t="n">
        <v>46308.93125</v>
      </c>
      <c r="D375" s="12" t="inlineStr">
        <is>
          <t>BR-03</t>
        </is>
      </c>
      <c r="E375" s="12" t="inlineStr">
        <is>
          <t>T-02</t>
        </is>
      </c>
      <c r="F375" s="12" t="inlineStr">
        <is>
          <t>C-112</t>
        </is>
      </c>
      <c r="G375" s="12" t="inlineStr">
        <is>
          <t>NONE</t>
        </is>
      </c>
      <c r="H375" s="11" t="inlineStr">
        <is>
          <t>No-Sale Drawer Opening</t>
        </is>
      </c>
      <c r="I375" s="12" t="inlineStr">
        <is>
          <t>N/A</t>
        </is>
      </c>
      <c r="J375" s="20" t="n">
        <v>0</v>
      </c>
      <c r="K375" s="25" t="n">
        <v>0</v>
      </c>
      <c r="L375" s="25" t="n">
        <v>0</v>
      </c>
      <c r="M375" s="24" t="n">
        <v>46308.93125</v>
      </c>
      <c r="N375" s="26">
        <f>IFERROR(IF(OR(ISBLANK(M375), M375="", ISBLANK(C375), C375=""), 0, MAX(0, ROUND((C375-M375)*86400, 0))), 0)</f>
        <v/>
      </c>
      <c r="O375" s="11">
        <f>IF(H375="Post-Bill Void", IF(AND(G375="M-904", I375="Cash"), "EXCEPTION: Concurrent Cash Void", IF(AND(I375="Cash", N375&gt;120), "CRITICAL: Delayed Cash Void", IF(N375&gt;120, "EXCEPTION: Delayed Void", "Standard Void"))), IF(H375="Line Item Void", IF(I375="Cash", "EXCEPTION: Cash Line Void", "Standard Line Void"), IF(H375="No-Sale Drawer Opening", "DRAWER OPENING", "Standard Sale")))</f>
        <v/>
      </c>
    </row>
    <row r="376" ht="18" customHeight="1">
      <c r="A376" s="15" t="inlineStr">
        <is>
          <t>EVT-10605</t>
        </is>
      </c>
      <c r="B376" s="15" t="inlineStr">
        <is>
          <t>N/A - NO SALE</t>
        </is>
      </c>
      <c r="C376" s="27" t="n">
        <v>46308.94652777778</v>
      </c>
      <c r="D376" s="15" t="inlineStr">
        <is>
          <t>BR-03</t>
        </is>
      </c>
      <c r="E376" s="15" t="inlineStr">
        <is>
          <t>T-02</t>
        </is>
      </c>
      <c r="F376" s="15" t="inlineStr">
        <is>
          <t>C-112</t>
        </is>
      </c>
      <c r="G376" s="15" t="inlineStr">
        <is>
          <t>NONE</t>
        </is>
      </c>
      <c r="H376" s="14" t="inlineStr">
        <is>
          <t>No-Sale Drawer Opening</t>
        </is>
      </c>
      <c r="I376" s="15" t="inlineStr">
        <is>
          <t>N/A</t>
        </is>
      </c>
      <c r="J376" s="17" t="n">
        <v>0</v>
      </c>
      <c r="K376" s="28" t="n">
        <v>0</v>
      </c>
      <c r="L376" s="28" t="n">
        <v>0</v>
      </c>
      <c r="M376" s="27" t="n">
        <v>46308.94652777778</v>
      </c>
      <c r="N376" s="29">
        <f>IFERROR(IF(OR(ISBLANK(M376), M376="", ISBLANK(C376), C376=""), 0, MAX(0, ROUND((C376-M376)*86400, 0))), 0)</f>
        <v/>
      </c>
      <c r="O376" s="14">
        <f>IF(H376="Post-Bill Void", IF(AND(G376="M-904", I376="Cash"), "EXCEPTION: Concurrent Cash Void", IF(AND(I376="Cash", N376&gt;120), "CRITICAL: Delayed Cash Void", IF(N376&gt;120, "EXCEPTION: Delayed Void", "Standard Void"))), IF(H376="Line Item Void", IF(I376="Cash", "EXCEPTION: Cash Line Void", "Standard Line Void"), IF(H376="No-Sale Drawer Opening", "DRAWER OPENING", "Standard Sale")))</f>
        <v/>
      </c>
    </row>
    <row r="377" ht="18" customHeight="1">
      <c r="A377" s="12" t="inlineStr">
        <is>
          <t>EVT-10590</t>
        </is>
      </c>
      <c r="B377" s="12" t="inlineStr">
        <is>
          <t>N/A - NO SALE</t>
        </is>
      </c>
      <c r="C377" s="24" t="n">
        <v>46308.95555555556</v>
      </c>
      <c r="D377" s="12" t="inlineStr">
        <is>
          <t>BR-03</t>
        </is>
      </c>
      <c r="E377" s="12" t="inlineStr">
        <is>
          <t>T-02</t>
        </is>
      </c>
      <c r="F377" s="12" t="inlineStr">
        <is>
          <t>C-112</t>
        </is>
      </c>
      <c r="G377" s="12" t="inlineStr">
        <is>
          <t>NONE</t>
        </is>
      </c>
      <c r="H377" s="11" t="inlineStr">
        <is>
          <t>No-Sale Drawer Opening</t>
        </is>
      </c>
      <c r="I377" s="12" t="inlineStr">
        <is>
          <t>N/A</t>
        </is>
      </c>
      <c r="J377" s="20" t="n">
        <v>0</v>
      </c>
      <c r="K377" s="25" t="n">
        <v>0</v>
      </c>
      <c r="L377" s="25" t="n">
        <v>0</v>
      </c>
      <c r="M377" s="24" t="n">
        <v>46308.95555555556</v>
      </c>
      <c r="N377" s="26">
        <f>IFERROR(IF(OR(ISBLANK(M377), M377="", ISBLANK(C377), C377=""), 0, MAX(0, ROUND((C377-M377)*86400, 0))), 0)</f>
        <v/>
      </c>
      <c r="O377" s="11">
        <f>IF(H377="Post-Bill Void", IF(AND(G377="M-904", I377="Cash"), "EXCEPTION: Concurrent Cash Void", IF(AND(I377="Cash", N377&gt;120), "CRITICAL: Delayed Cash Void", IF(N377&gt;120, "EXCEPTION: Delayed Void", "Standard Void"))), IF(H377="Line Item Void", IF(I377="Cash", "EXCEPTION: Cash Line Void", "Standard Line Void"), IF(H377="No-Sale Drawer Opening", "DRAWER OPENING", "Standard Sale")))</f>
        <v/>
      </c>
    </row>
    <row r="378" ht="18" customHeight="1">
      <c r="A378" s="15" t="inlineStr">
        <is>
          <t>EVT-10608</t>
        </is>
      </c>
      <c r="B378" s="15" t="inlineStr">
        <is>
          <t>N/A - NO SALE</t>
        </is>
      </c>
      <c r="C378" s="27" t="n">
        <v>46308.96319444444</v>
      </c>
      <c r="D378" s="15" t="inlineStr">
        <is>
          <t>BR-03</t>
        </is>
      </c>
      <c r="E378" s="15" t="inlineStr">
        <is>
          <t>T-02</t>
        </is>
      </c>
      <c r="F378" s="15" t="inlineStr">
        <is>
          <t>C-112</t>
        </is>
      </c>
      <c r="G378" s="15" t="inlineStr">
        <is>
          <t>NONE</t>
        </is>
      </c>
      <c r="H378" s="14" t="inlineStr">
        <is>
          <t>No-Sale Drawer Opening</t>
        </is>
      </c>
      <c r="I378" s="15" t="inlineStr">
        <is>
          <t>N/A</t>
        </is>
      </c>
      <c r="J378" s="17" t="n">
        <v>0</v>
      </c>
      <c r="K378" s="28" t="n">
        <v>0</v>
      </c>
      <c r="L378" s="28" t="n">
        <v>0</v>
      </c>
      <c r="M378" s="27" t="n">
        <v>46308.96319444444</v>
      </c>
      <c r="N378" s="29">
        <f>IFERROR(IF(OR(ISBLANK(M378), M378="", ISBLANK(C378), C378=""), 0, MAX(0, ROUND((C378-M378)*86400, 0))), 0)</f>
        <v/>
      </c>
      <c r="O378" s="14">
        <f>IF(H378="Post-Bill Void", IF(AND(G378="M-904", I378="Cash"), "EXCEPTION: Concurrent Cash Void", IF(AND(I378="Cash", N378&gt;120), "CRITICAL: Delayed Cash Void", IF(N378&gt;120, "EXCEPTION: Delayed Void", "Standard Void"))), IF(H378="Line Item Void", IF(I378="Cash", "EXCEPTION: Cash Line Void", "Standard Line Void"), IF(H378="No-Sale Drawer Opening", "DRAWER OPENING", "Standard Sale")))</f>
        <v/>
      </c>
    </row>
    <row r="379" ht="18" customHeight="1">
      <c r="A379" s="12" t="inlineStr">
        <is>
          <t>EVT-10640</t>
        </is>
      </c>
      <c r="B379" s="12" t="inlineStr">
        <is>
          <t>N/A - NO SALE</t>
        </is>
      </c>
      <c r="C379" s="24" t="n">
        <v>46309.04583333333</v>
      </c>
      <c r="D379" s="12" t="inlineStr">
        <is>
          <t>BR-02</t>
        </is>
      </c>
      <c r="E379" s="12" t="inlineStr">
        <is>
          <t>T-01</t>
        </is>
      </c>
      <c r="F379" s="12" t="inlineStr">
        <is>
          <t>C-106</t>
        </is>
      </c>
      <c r="G379" s="12" t="inlineStr">
        <is>
          <t>NONE</t>
        </is>
      </c>
      <c r="H379" s="11" t="inlineStr">
        <is>
          <t>No-Sale Drawer Opening</t>
        </is>
      </c>
      <c r="I379" s="12" t="inlineStr">
        <is>
          <t>N/A</t>
        </is>
      </c>
      <c r="J379" s="20" t="n">
        <v>0</v>
      </c>
      <c r="K379" s="25" t="n">
        <v>0</v>
      </c>
      <c r="L379" s="25" t="n">
        <v>0</v>
      </c>
      <c r="M379" s="24" t="n">
        <v>46309.04583333333</v>
      </c>
      <c r="N379" s="26">
        <f>IFERROR(IF(OR(ISBLANK(M379), M379="", ISBLANK(C379), C379=""), 0, MAX(0, ROUND((C379-M379)*86400, 0))), 0)</f>
        <v/>
      </c>
      <c r="O379" s="11">
        <f>IF(H379="Post-Bill Void", IF(AND(G379="M-904", I379="Cash"), "EXCEPTION: Concurrent Cash Void", IF(AND(I379="Cash", N379&gt;120), "CRITICAL: Delayed Cash Void", IF(N379&gt;120, "EXCEPTION: Delayed Void", "Standard Void"))), IF(H379="Line Item Void", IF(I379="Cash", "EXCEPTION: Cash Line Void", "Standard Line Void"), IF(H379="No-Sale Drawer Opening", "DRAWER OPENING", "Standard Sale")))</f>
        <v/>
      </c>
    </row>
    <row r="380" ht="18" customHeight="1">
      <c r="A380" s="15" t="inlineStr">
        <is>
          <t>EVT-10560</t>
        </is>
      </c>
      <c r="B380" s="15" t="inlineStr">
        <is>
          <t>TX-80560</t>
        </is>
      </c>
      <c r="C380" s="27" t="n">
        <v>46309.10555555556</v>
      </c>
      <c r="D380" s="15" t="inlineStr">
        <is>
          <t>BR-01</t>
        </is>
      </c>
      <c r="E380" s="15" t="inlineStr">
        <is>
          <t>T-02</t>
        </is>
      </c>
      <c r="F380" s="15" t="inlineStr">
        <is>
          <t>C-104</t>
        </is>
      </c>
      <c r="G380" s="15" t="inlineStr">
        <is>
          <t>M-901</t>
        </is>
      </c>
      <c r="H380" s="14" t="inlineStr">
        <is>
          <t>Post-Bill Void</t>
        </is>
      </c>
      <c r="I380" s="15" t="inlineStr">
        <is>
          <t>Cash</t>
        </is>
      </c>
      <c r="J380" s="17" t="n">
        <v>5</v>
      </c>
      <c r="K380" s="28" t="n">
        <v>79.27</v>
      </c>
      <c r="L380" s="28" t="n">
        <v>0</v>
      </c>
      <c r="M380" s="27" t="n">
        <v>46309.10299768519</v>
      </c>
      <c r="N380" s="29">
        <f>IFERROR(IF(OR(ISBLANK(M380), M380="", ISBLANK(C380), C380=""), 0, MAX(0, ROUND((C380-M380)*86400, 0))), 0)</f>
        <v/>
      </c>
      <c r="O380" s="14">
        <f>IF(H380="Post-Bill Void", IF(AND(G380="M-904", I380="Cash"), "EXCEPTION: Concurrent Cash Void", IF(AND(I380="Cash", N380&gt;120), "CRITICAL: Delayed Cash Void", IF(N380&gt;120, "EXCEPTION: Delayed Void", "Standard Void"))), IF(H380="Line Item Void", IF(I380="Cash", "EXCEPTION: Cash Line Void", "Standard Line Void"), IF(H380="No-Sale Drawer Opening", "DRAWER OPENING", "Standard Sale")))</f>
        <v/>
      </c>
    </row>
    <row r="381" ht="18" customHeight="1">
      <c r="A381" s="12" t="inlineStr">
        <is>
          <t>EVT-10660</t>
        </is>
      </c>
      <c r="B381" s="12" t="inlineStr">
        <is>
          <t>TX-80605</t>
        </is>
      </c>
      <c r="C381" s="24" t="n">
        <v>46309.10555555556</v>
      </c>
      <c r="D381" s="12" t="inlineStr">
        <is>
          <t>BR-04</t>
        </is>
      </c>
      <c r="E381" s="12" t="inlineStr">
        <is>
          <t>T-01</t>
        </is>
      </c>
      <c r="F381" s="12" t="inlineStr">
        <is>
          <t>C-115</t>
        </is>
      </c>
      <c r="G381" s="12" t="inlineStr">
        <is>
          <t>M-904</t>
        </is>
      </c>
      <c r="H381" s="11" t="inlineStr">
        <is>
          <t>Post-Bill Void</t>
        </is>
      </c>
      <c r="I381" s="12" t="inlineStr">
        <is>
          <t>Cash</t>
        </is>
      </c>
      <c r="J381" s="20" t="n">
        <v>1</v>
      </c>
      <c r="K381" s="25" t="n">
        <v>17.12</v>
      </c>
      <c r="L381" s="25" t="n">
        <v>0</v>
      </c>
      <c r="M381" s="24" t="n">
        <v>46309.10506944444</v>
      </c>
      <c r="N381" s="26">
        <f>IFERROR(IF(OR(ISBLANK(M381), M381="", ISBLANK(C381), C381=""), 0, MAX(0, ROUND((C381-M381)*86400, 0))), 0)</f>
        <v/>
      </c>
      <c r="O381" s="11">
        <f>IF(H381="Post-Bill Void", IF(AND(G381="M-904", I381="Cash"), "EXCEPTION: Concurrent Cash Void", IF(AND(I381="Cash", N381&gt;120), "CRITICAL: Delayed Cash Void", IF(N381&gt;120, "EXCEPTION: Delayed Void", "Standard Void"))), IF(H381="Line Item Void", IF(I381="Cash", "EXCEPTION: Cash Line Void", "Standard Line Void"), IF(H381="No-Sale Drawer Opening", "DRAWER OPENING", "Standard Sale")))</f>
        <v/>
      </c>
    </row>
    <row r="382" ht="18" customHeight="1">
      <c r="A382" s="15" t="inlineStr">
        <is>
          <t>EVT-10666</t>
        </is>
      </c>
      <c r="B382" s="15" t="inlineStr">
        <is>
          <t>TX-80610</t>
        </is>
      </c>
      <c r="C382" s="27" t="n">
        <v>46309.11319444444</v>
      </c>
      <c r="D382" s="15" t="inlineStr">
        <is>
          <t>BR-04</t>
        </is>
      </c>
      <c r="E382" s="15" t="inlineStr">
        <is>
          <t>T-02</t>
        </is>
      </c>
      <c r="F382" s="15" t="inlineStr">
        <is>
          <t>C-115</t>
        </is>
      </c>
      <c r="G382" s="15" t="inlineStr">
        <is>
          <t>M-904</t>
        </is>
      </c>
      <c r="H382" s="14" t="inlineStr">
        <is>
          <t>Post-Bill Void</t>
        </is>
      </c>
      <c r="I382" s="15" t="inlineStr">
        <is>
          <t>Cash</t>
        </is>
      </c>
      <c r="J382" s="17" t="n">
        <v>2</v>
      </c>
      <c r="K382" s="28" t="n">
        <v>46.92</v>
      </c>
      <c r="L382" s="28" t="n">
        <v>0</v>
      </c>
      <c r="M382" s="27" t="n">
        <v>46309.1125462963</v>
      </c>
      <c r="N382" s="29">
        <f>IFERROR(IF(OR(ISBLANK(M382), M382="", ISBLANK(C382), C382=""), 0, MAX(0, ROUND((C382-M382)*86400, 0))), 0)</f>
        <v/>
      </c>
      <c r="O382" s="14">
        <f>IF(H382="Post-Bill Void", IF(AND(G382="M-904", I382="Cash"), "EXCEPTION: Concurrent Cash Void", IF(AND(I382="Cash", N382&gt;120), "CRITICAL: Delayed Cash Void", IF(N382&gt;120, "EXCEPTION: Delayed Void", "Standard Void"))), IF(H382="Line Item Void", IF(I382="Cash", "EXCEPTION: Cash Line Void", "Standard Line Void"), IF(H382="No-Sale Drawer Opening", "DRAWER OPENING", "Standard Sale")))</f>
        <v/>
      </c>
    </row>
    <row r="383" ht="18" customHeight="1">
      <c r="A383" s="12" t="inlineStr">
        <is>
          <t>EVT-10565</t>
        </is>
      </c>
      <c r="B383" s="12" t="inlineStr">
        <is>
          <t>TX-80565</t>
        </is>
      </c>
      <c r="C383" s="24" t="n">
        <v>46309.12013888889</v>
      </c>
      <c r="D383" s="12" t="inlineStr">
        <is>
          <t>BR-02</t>
        </is>
      </c>
      <c r="E383" s="12" t="inlineStr">
        <is>
          <t>T-01</t>
        </is>
      </c>
      <c r="F383" s="12" t="inlineStr">
        <is>
          <t>C-108</t>
        </is>
      </c>
      <c r="G383" s="12" t="inlineStr">
        <is>
          <t>M-902</t>
        </is>
      </c>
      <c r="H383" s="11" t="inlineStr">
        <is>
          <t>Line Item Void</t>
        </is>
      </c>
      <c r="I383" s="12" t="inlineStr">
        <is>
          <t>Cash</t>
        </is>
      </c>
      <c r="J383" s="20" t="n">
        <v>2</v>
      </c>
      <c r="K383" s="25" t="n">
        <v>38.99</v>
      </c>
      <c r="L383" s="25" t="n">
        <v>0</v>
      </c>
      <c r="M383" s="24" t="n">
        <v>46309.11924768519</v>
      </c>
      <c r="N383" s="26">
        <f>IFERROR(IF(OR(ISBLANK(M383), M383="", ISBLANK(C383), C383=""), 0, MAX(0, ROUND((C383-M383)*86400, 0))), 0)</f>
        <v/>
      </c>
      <c r="O383" s="11">
        <f>IF(H383="Post-Bill Void", IF(AND(G383="M-904", I383="Cash"), "EXCEPTION: Concurrent Cash Void", IF(AND(I383="Cash", N383&gt;120), "CRITICAL: Delayed Cash Void", IF(N383&gt;120, "EXCEPTION: Delayed Void", "Standard Void"))), IF(H383="Line Item Void", IF(I383="Cash", "EXCEPTION: Cash Line Void", "Standard Line Void"), IF(H383="No-Sale Drawer Opening", "DRAWER OPENING", "Standard Sale")))</f>
        <v/>
      </c>
    </row>
    <row r="384" ht="18" customHeight="1">
      <c r="A384" s="15" t="inlineStr">
        <is>
          <t>EVT-10663</t>
        </is>
      </c>
      <c r="B384" s="15" t="inlineStr">
        <is>
          <t>TX-80607</t>
        </is>
      </c>
      <c r="C384" s="27" t="n">
        <v>46309.15</v>
      </c>
      <c r="D384" s="15" t="inlineStr">
        <is>
          <t>BR-04</t>
        </is>
      </c>
      <c r="E384" s="15" t="inlineStr">
        <is>
          <t>T-02</t>
        </is>
      </c>
      <c r="F384" s="15" t="inlineStr">
        <is>
          <t>C-115</t>
        </is>
      </c>
      <c r="G384" s="15" t="inlineStr">
        <is>
          <t>M-904</t>
        </is>
      </c>
      <c r="H384" s="14" t="inlineStr">
        <is>
          <t>Post-Bill Void</t>
        </is>
      </c>
      <c r="I384" s="15" t="inlineStr">
        <is>
          <t>Cash</t>
        </is>
      </c>
      <c r="J384" s="17" t="n">
        <v>2</v>
      </c>
      <c r="K384" s="28" t="n">
        <v>37.76</v>
      </c>
      <c r="L384" s="28" t="n">
        <v>0</v>
      </c>
      <c r="M384" s="27" t="n">
        <v>46309.14942129629</v>
      </c>
      <c r="N384" s="29">
        <f>IFERROR(IF(OR(ISBLANK(M384), M384="", ISBLANK(C384), C384=""), 0, MAX(0, ROUND((C384-M384)*86400, 0))), 0)</f>
        <v/>
      </c>
      <c r="O384" s="14">
        <f>IF(H384="Post-Bill Void", IF(AND(G384="M-904", I384="Cash"), "EXCEPTION: Concurrent Cash Void", IF(AND(I384="Cash", N384&gt;120), "CRITICAL: Delayed Cash Void", IF(N384&gt;120, "EXCEPTION: Delayed Void", "Standard Void"))), IF(H384="Line Item Void", IF(I384="Cash", "EXCEPTION: Cash Line Void", "Standard Line Void"), IF(H384="No-Sale Drawer Opening", "DRAWER OPENING", "Standard Sale")))</f>
        <v/>
      </c>
    </row>
    <row r="385" ht="18" customHeight="1">
      <c r="A385" s="12" t="inlineStr">
        <is>
          <t>EVT-10573</t>
        </is>
      </c>
      <c r="B385" s="12" t="inlineStr">
        <is>
          <t>TX-80573</t>
        </is>
      </c>
      <c r="C385" s="24" t="n">
        <v>46309.16666666666</v>
      </c>
      <c r="D385" s="12" t="inlineStr">
        <is>
          <t>BR-02</t>
        </is>
      </c>
      <c r="E385" s="12" t="inlineStr">
        <is>
          <t>T-01</t>
        </is>
      </c>
      <c r="F385" s="12" t="inlineStr">
        <is>
          <t>C-108</t>
        </is>
      </c>
      <c r="G385" s="12" t="inlineStr">
        <is>
          <t>M-902</t>
        </is>
      </c>
      <c r="H385" s="11" t="inlineStr">
        <is>
          <t>Line Item Void</t>
        </is>
      </c>
      <c r="I385" s="12" t="inlineStr">
        <is>
          <t>Cash</t>
        </is>
      </c>
      <c r="J385" s="20" t="n">
        <v>2</v>
      </c>
      <c r="K385" s="25" t="n">
        <v>37.36</v>
      </c>
      <c r="L385" s="25" t="n">
        <v>0</v>
      </c>
      <c r="M385" s="24" t="n">
        <v>46309.16605324074</v>
      </c>
      <c r="N385" s="26">
        <f>IFERROR(IF(OR(ISBLANK(M385), M385="", ISBLANK(C385), C385=""), 0, MAX(0, ROUND((C385-M385)*86400, 0))), 0)</f>
        <v/>
      </c>
      <c r="O385" s="11">
        <f>IF(H385="Post-Bill Void", IF(AND(G385="M-904", I385="Cash"), "EXCEPTION: Concurrent Cash Void", IF(AND(I385="Cash", N385&gt;120), "CRITICAL: Delayed Cash Void", IF(N385&gt;120, "EXCEPTION: Delayed Void", "Standard Void"))), IF(H385="Line Item Void", IF(I385="Cash", "EXCEPTION: Cash Line Void", "Standard Line Void"), IF(H385="No-Sale Drawer Opening", "DRAWER OPENING", "Standard Sale")))</f>
        <v/>
      </c>
    </row>
    <row r="386" ht="18" customHeight="1">
      <c r="A386" s="15" t="inlineStr">
        <is>
          <t>EVT-10657</t>
        </is>
      </c>
      <c r="B386" s="15" t="inlineStr">
        <is>
          <t>TX-80603</t>
        </is>
      </c>
      <c r="C386" s="27" t="n">
        <v>46309.18402777778</v>
      </c>
      <c r="D386" s="15" t="inlineStr">
        <is>
          <t>BR-04</t>
        </is>
      </c>
      <c r="E386" s="15" t="inlineStr">
        <is>
          <t>T-01</t>
        </is>
      </c>
      <c r="F386" s="15" t="inlineStr">
        <is>
          <t>C-114</t>
        </is>
      </c>
      <c r="G386" s="15" t="inlineStr">
        <is>
          <t>M-904</t>
        </is>
      </c>
      <c r="H386" s="14" t="inlineStr">
        <is>
          <t>Post-Bill Void</t>
        </is>
      </c>
      <c r="I386" s="15" t="inlineStr">
        <is>
          <t>Cash</t>
        </is>
      </c>
      <c r="J386" s="17" t="n">
        <v>1</v>
      </c>
      <c r="K386" s="28" t="n">
        <v>14.38</v>
      </c>
      <c r="L386" s="28" t="n">
        <v>0</v>
      </c>
      <c r="M386" s="27" t="n">
        <v>46309.18371527778</v>
      </c>
      <c r="N386" s="29">
        <f>IFERROR(IF(OR(ISBLANK(M386), M386="", ISBLANK(C386), C386=""), 0, MAX(0, ROUND((C386-M386)*86400, 0))), 0)</f>
        <v/>
      </c>
      <c r="O386" s="14">
        <f>IF(H386="Post-Bill Void", IF(AND(G386="M-904", I386="Cash"), "EXCEPTION: Concurrent Cash Void", IF(AND(I386="Cash", N386&gt;120), "CRITICAL: Delayed Cash Void", IF(N386&gt;120, "EXCEPTION: Delayed Void", "Standard Void"))), IF(H386="Line Item Void", IF(I386="Cash", "EXCEPTION: Cash Line Void", "Standard Line Void"), IF(H386="No-Sale Drawer Opening", "DRAWER OPENING", "Standard Sale")))</f>
        <v/>
      </c>
    </row>
    <row r="387" ht="18" customHeight="1">
      <c r="A387" s="12" t="inlineStr">
        <is>
          <t>EVT-10627</t>
        </is>
      </c>
      <c r="B387" s="12" t="inlineStr">
        <is>
          <t>TX-80589</t>
        </is>
      </c>
      <c r="C387" s="24" t="n">
        <v>46309.1875</v>
      </c>
      <c r="D387" s="12" t="inlineStr">
        <is>
          <t>BR-01</t>
        </is>
      </c>
      <c r="E387" s="12" t="inlineStr">
        <is>
          <t>T-01</t>
        </is>
      </c>
      <c r="F387" s="12" t="inlineStr">
        <is>
          <t>C-101</t>
        </is>
      </c>
      <c r="G387" s="12" t="inlineStr">
        <is>
          <t>M-901</t>
        </is>
      </c>
      <c r="H387" s="11" t="inlineStr">
        <is>
          <t>Post-Bill Void</t>
        </is>
      </c>
      <c r="I387" s="12" t="inlineStr">
        <is>
          <t>Card</t>
        </is>
      </c>
      <c r="J387" s="20" t="n">
        <v>1</v>
      </c>
      <c r="K387" s="25" t="n">
        <v>18.13</v>
      </c>
      <c r="L387" s="25" t="n">
        <v>0</v>
      </c>
      <c r="M387" s="24" t="n">
        <v>46309.18732638889</v>
      </c>
      <c r="N387" s="26">
        <f>IFERROR(IF(OR(ISBLANK(M387), M387="", ISBLANK(C387), C387=""), 0, MAX(0, ROUND((C387-M387)*86400, 0))), 0)</f>
        <v/>
      </c>
      <c r="O387" s="11">
        <f>IF(H387="Post-Bill Void", IF(AND(G387="M-904", I387="Cash"), "EXCEPTION: Concurrent Cash Void", IF(AND(I387="Cash", N387&gt;120), "CRITICAL: Delayed Cash Void", IF(N387&gt;120, "EXCEPTION: Delayed Void", "Standard Void"))), IF(H387="Line Item Void", IF(I387="Cash", "EXCEPTION: Cash Line Void", "Standard Line Void"), IF(H387="No-Sale Drawer Opening", "DRAWER OPENING", "Standard Sale")))</f>
        <v/>
      </c>
    </row>
    <row r="388" ht="18" customHeight="1">
      <c r="A388" s="15" t="inlineStr">
        <is>
          <t>EVT-10550</t>
        </is>
      </c>
      <c r="B388" s="15" t="inlineStr">
        <is>
          <t>TX-80550</t>
        </is>
      </c>
      <c r="C388" s="27" t="n">
        <v>46309.20277777778</v>
      </c>
      <c r="D388" s="15" t="inlineStr">
        <is>
          <t>BR-01</t>
        </is>
      </c>
      <c r="E388" s="15" t="inlineStr">
        <is>
          <t>T-02</t>
        </is>
      </c>
      <c r="F388" s="15" t="inlineStr">
        <is>
          <t>C-104</t>
        </is>
      </c>
      <c r="G388" s="15" t="inlineStr">
        <is>
          <t>M-901</t>
        </is>
      </c>
      <c r="H388" s="14" t="inlineStr">
        <is>
          <t>Post-Bill Void</t>
        </is>
      </c>
      <c r="I388" s="15" t="inlineStr">
        <is>
          <t>Cash</t>
        </is>
      </c>
      <c r="J388" s="17" t="n">
        <v>4</v>
      </c>
      <c r="K388" s="28" t="n">
        <v>71.58</v>
      </c>
      <c r="L388" s="28" t="n">
        <v>0</v>
      </c>
      <c r="M388" s="27" t="n">
        <v>46309.19857638889</v>
      </c>
      <c r="N388" s="29">
        <f>IFERROR(IF(OR(ISBLANK(M388), M388="", ISBLANK(C388), C388=""), 0, MAX(0, ROUND((C388-M388)*86400, 0))), 0)</f>
        <v/>
      </c>
      <c r="O388" s="14">
        <f>IF(H388="Post-Bill Void", IF(AND(G388="M-904", I388="Cash"), "EXCEPTION: Concurrent Cash Void", IF(AND(I388="Cash", N388&gt;120), "CRITICAL: Delayed Cash Void", IF(N388&gt;120, "EXCEPTION: Delayed Void", "Standard Void"))), IF(H388="Line Item Void", IF(I388="Cash", "EXCEPTION: Cash Line Void", "Standard Line Void"), IF(H388="No-Sale Drawer Opening", "DRAWER OPENING", "Standard Sale")))</f>
        <v/>
      </c>
    </row>
    <row r="389" ht="18" customHeight="1">
      <c r="A389" s="12" t="inlineStr">
        <is>
          <t>EVT-10650</t>
        </is>
      </c>
      <c r="B389" s="12" t="inlineStr">
        <is>
          <t>N/A - NO SALE</t>
        </is>
      </c>
      <c r="C389" s="24" t="n">
        <v>46309.22013888889</v>
      </c>
      <c r="D389" s="12" t="inlineStr">
        <is>
          <t>BR-03</t>
        </is>
      </c>
      <c r="E389" s="12" t="inlineStr">
        <is>
          <t>T-01</t>
        </is>
      </c>
      <c r="F389" s="12" t="inlineStr">
        <is>
          <t>C-110</t>
        </is>
      </c>
      <c r="G389" s="12" t="inlineStr">
        <is>
          <t>NONE</t>
        </is>
      </c>
      <c r="H389" s="11" t="inlineStr">
        <is>
          <t>No-Sale Drawer Opening</t>
        </is>
      </c>
      <c r="I389" s="12" t="inlineStr">
        <is>
          <t>N/A</t>
        </is>
      </c>
      <c r="J389" s="20" t="n">
        <v>0</v>
      </c>
      <c r="K389" s="25" t="n">
        <v>0</v>
      </c>
      <c r="L389" s="25" t="n">
        <v>0</v>
      </c>
      <c r="M389" s="24" t="n">
        <v>46309.22013888889</v>
      </c>
      <c r="N389" s="26">
        <f>IFERROR(IF(OR(ISBLANK(M389), M389="", ISBLANK(C389), C389=""), 0, MAX(0, ROUND((C389-M389)*86400, 0))), 0)</f>
        <v/>
      </c>
      <c r="O389" s="11">
        <f>IF(H389="Post-Bill Void", IF(AND(G389="M-904", I389="Cash"), "EXCEPTION: Concurrent Cash Void", IF(AND(I389="Cash", N389&gt;120), "CRITICAL: Delayed Cash Void", IF(N389&gt;120, "EXCEPTION: Delayed Void", "Standard Void"))), IF(H389="Line Item Void", IF(I389="Cash", "EXCEPTION: Cash Line Void", "Standard Line Void"), IF(H389="No-Sale Drawer Opening", "DRAWER OPENING", "Standard Sale")))</f>
        <v/>
      </c>
    </row>
    <row r="390" ht="18" customHeight="1">
      <c r="A390" s="15" t="inlineStr">
        <is>
          <t>EVT-10313</t>
        </is>
      </c>
      <c r="B390" s="15" t="inlineStr">
        <is>
          <t>TX-80313</t>
        </is>
      </c>
      <c r="C390" s="27" t="n">
        <v>46309.37537037037</v>
      </c>
      <c r="D390" s="15" t="inlineStr">
        <is>
          <t>BR-03</t>
        </is>
      </c>
      <c r="E390" s="15" t="inlineStr">
        <is>
          <t>T-01</t>
        </is>
      </c>
      <c r="F390" s="15" t="inlineStr">
        <is>
          <t>C-109</t>
        </is>
      </c>
      <c r="G390" s="15" t="inlineStr">
        <is>
          <t>NONE</t>
        </is>
      </c>
      <c r="H390" s="14" t="inlineStr">
        <is>
          <t>Sale Tender</t>
        </is>
      </c>
      <c r="I390" s="15" t="inlineStr">
        <is>
          <t>Card</t>
        </is>
      </c>
      <c r="J390" s="17" t="n">
        <v>3</v>
      </c>
      <c r="K390" s="28" t="n">
        <v>39.12</v>
      </c>
      <c r="L390" s="28" t="n">
        <v>39.12</v>
      </c>
      <c r="M390" s="27" t="n">
        <v>46309.37474537037</v>
      </c>
      <c r="N390" s="29">
        <f>IFERROR(IF(OR(ISBLANK(M390), M390="", ISBLANK(C390), C390=""), 0, MAX(0, ROUND((C390-M390)*86400, 0))), 0)</f>
        <v/>
      </c>
      <c r="O390" s="14">
        <f>IF(H390="Post-Bill Void", IF(AND(G390="M-904", I390="Cash"), "EXCEPTION: Concurrent Cash Void", IF(AND(I390="Cash", N390&gt;120), "CRITICAL: Delayed Cash Void", IF(N390&gt;120, "EXCEPTION: Delayed Void", "Standard Void"))), IF(H390="Line Item Void", IF(I390="Cash", "EXCEPTION: Cash Line Void", "Standard Line Void"), IF(H390="No-Sale Drawer Opening", "DRAWER OPENING", "Standard Sale")))</f>
        <v/>
      </c>
    </row>
    <row r="391" ht="18" customHeight="1">
      <c r="A391" s="12" t="inlineStr">
        <is>
          <t>EVT-10314</t>
        </is>
      </c>
      <c r="B391" s="12" t="inlineStr">
        <is>
          <t>TX-80314</t>
        </is>
      </c>
      <c r="C391" s="24" t="n">
        <v>46309.38239583333</v>
      </c>
      <c r="D391" s="12" t="inlineStr">
        <is>
          <t>BR-04</t>
        </is>
      </c>
      <c r="E391" s="12" t="inlineStr">
        <is>
          <t>T-01</t>
        </is>
      </c>
      <c r="F391" s="12" t="inlineStr">
        <is>
          <t>C-114</t>
        </is>
      </c>
      <c r="G391" s="12" t="inlineStr">
        <is>
          <t>NONE</t>
        </is>
      </c>
      <c r="H391" s="11" t="inlineStr">
        <is>
          <t>Sale Tender</t>
        </is>
      </c>
      <c r="I391" s="12" t="inlineStr">
        <is>
          <t>Card</t>
        </is>
      </c>
      <c r="J391" s="20" t="n">
        <v>4</v>
      </c>
      <c r="K391" s="25" t="n">
        <v>48.72</v>
      </c>
      <c r="L391" s="25" t="n">
        <v>48.72</v>
      </c>
      <c r="M391" s="24" t="n">
        <v>46309.38171296296</v>
      </c>
      <c r="N391" s="26">
        <f>IFERROR(IF(OR(ISBLANK(M391), M391="", ISBLANK(C391), C391=""), 0, MAX(0, ROUND((C391-M391)*86400, 0))), 0)</f>
        <v/>
      </c>
      <c r="O391" s="11">
        <f>IF(H391="Post-Bill Void", IF(AND(G391="M-904", I391="Cash"), "EXCEPTION: Concurrent Cash Void", IF(AND(I391="Cash", N391&gt;120), "CRITICAL: Delayed Cash Void", IF(N391&gt;120, "EXCEPTION: Delayed Void", "Standard Void"))), IF(H391="Line Item Void", IF(I391="Cash", "EXCEPTION: Cash Line Void", "Standard Line Void"), IF(H391="No-Sale Drawer Opening", "DRAWER OPENING", "Standard Sale")))</f>
        <v/>
      </c>
    </row>
    <row r="392" ht="18" customHeight="1">
      <c r="A392" s="15" t="inlineStr">
        <is>
          <t>EVT-10315</t>
        </is>
      </c>
      <c r="B392" s="15" t="inlineStr">
        <is>
          <t>TX-80315</t>
        </is>
      </c>
      <c r="C392" s="27" t="n">
        <v>46309.38914351852</v>
      </c>
      <c r="D392" s="15" t="inlineStr">
        <is>
          <t>BR-04</t>
        </is>
      </c>
      <c r="E392" s="15" t="inlineStr">
        <is>
          <t>T-01</t>
        </is>
      </c>
      <c r="F392" s="15" t="inlineStr">
        <is>
          <t>C-114</t>
        </is>
      </c>
      <c r="G392" s="15" t="inlineStr">
        <is>
          <t>NONE</t>
        </is>
      </c>
      <c r="H392" s="14" t="inlineStr">
        <is>
          <t>Sale Tender</t>
        </is>
      </c>
      <c r="I392" s="15" t="inlineStr">
        <is>
          <t>Cash</t>
        </is>
      </c>
      <c r="J392" s="17" t="n">
        <v>5</v>
      </c>
      <c r="K392" s="28" t="n">
        <v>53.58</v>
      </c>
      <c r="L392" s="28" t="n">
        <v>53.58</v>
      </c>
      <c r="M392" s="27" t="n">
        <v>46309.38829861111</v>
      </c>
      <c r="N392" s="29">
        <f>IFERROR(IF(OR(ISBLANK(M392), M392="", ISBLANK(C392), C392=""), 0, MAX(0, ROUND((C392-M392)*86400, 0))), 0)</f>
        <v/>
      </c>
      <c r="O392" s="14">
        <f>IF(H392="Post-Bill Void", IF(AND(G392="M-904", I392="Cash"), "EXCEPTION: Concurrent Cash Void", IF(AND(I392="Cash", N392&gt;120), "CRITICAL: Delayed Cash Void", IF(N392&gt;120, "EXCEPTION: Delayed Void", "Standard Void"))), IF(H392="Line Item Void", IF(I392="Cash", "EXCEPTION: Cash Line Void", "Standard Line Void"), IF(H392="No-Sale Drawer Opening", "DRAWER OPENING", "Standard Sale")))</f>
        <v/>
      </c>
    </row>
    <row r="393" ht="18" customHeight="1">
      <c r="A393" s="12" t="inlineStr">
        <is>
          <t>EVT-10316</t>
        </is>
      </c>
      <c r="B393" s="12" t="inlineStr">
        <is>
          <t>TX-80316</t>
        </is>
      </c>
      <c r="C393" s="24" t="n">
        <v>46309.39600694444</v>
      </c>
      <c r="D393" s="12" t="inlineStr">
        <is>
          <t>BR-01</t>
        </is>
      </c>
      <c r="E393" s="12" t="inlineStr">
        <is>
          <t>T-01</t>
        </is>
      </c>
      <c r="F393" s="12" t="inlineStr">
        <is>
          <t>C-101</t>
        </is>
      </c>
      <c r="G393" s="12" t="inlineStr">
        <is>
          <t>NONE</t>
        </is>
      </c>
      <c r="H393" s="11" t="inlineStr">
        <is>
          <t>Sale Tender</t>
        </is>
      </c>
      <c r="I393" s="12" t="inlineStr">
        <is>
          <t>Card</t>
        </is>
      </c>
      <c r="J393" s="20" t="n">
        <v>6</v>
      </c>
      <c r="K393" s="25" t="n">
        <v>57.94</v>
      </c>
      <c r="L393" s="25" t="n">
        <v>57.94</v>
      </c>
      <c r="M393" s="24" t="n">
        <v>46309.39516203704</v>
      </c>
      <c r="N393" s="26">
        <f>IFERROR(IF(OR(ISBLANK(M393), M393="", ISBLANK(C393), C393=""), 0, MAX(0, ROUND((C393-M393)*86400, 0))), 0)</f>
        <v/>
      </c>
      <c r="O393" s="11">
        <f>IF(H393="Post-Bill Void", IF(AND(G393="M-904", I393="Cash"), "EXCEPTION: Concurrent Cash Void", IF(AND(I393="Cash", N393&gt;120), "CRITICAL: Delayed Cash Void", IF(N393&gt;120, "EXCEPTION: Delayed Void", "Standard Void"))), IF(H393="Line Item Void", IF(I393="Cash", "EXCEPTION: Cash Line Void", "Standard Line Void"), IF(H393="No-Sale Drawer Opening", "DRAWER OPENING", "Standard Sale")))</f>
        <v/>
      </c>
    </row>
    <row r="394" ht="18" customHeight="1">
      <c r="A394" s="15" t="inlineStr">
        <is>
          <t>EVT-10317</t>
        </is>
      </c>
      <c r="B394" s="15" t="inlineStr">
        <is>
          <t>TX-80317</t>
        </is>
      </c>
      <c r="C394" s="27" t="n">
        <v>46309.40305555556</v>
      </c>
      <c r="D394" s="15" t="inlineStr">
        <is>
          <t>BR-03</t>
        </is>
      </c>
      <c r="E394" s="15" t="inlineStr">
        <is>
          <t>T-01</t>
        </is>
      </c>
      <c r="F394" s="15" t="inlineStr">
        <is>
          <t>C-111</t>
        </is>
      </c>
      <c r="G394" s="15" t="inlineStr">
        <is>
          <t>NONE</t>
        </is>
      </c>
      <c r="H394" s="14" t="inlineStr">
        <is>
          <t>Sale Tender</t>
        </is>
      </c>
      <c r="I394" s="15" t="inlineStr">
        <is>
          <t>Delivery Aggregator</t>
        </is>
      </c>
      <c r="J394" s="17" t="n">
        <v>4</v>
      </c>
      <c r="K394" s="28" t="n">
        <v>44.8</v>
      </c>
      <c r="L394" s="28" t="n">
        <v>44.8</v>
      </c>
      <c r="M394" s="27" t="n">
        <v>46309.4027662037</v>
      </c>
      <c r="N394" s="29">
        <f>IFERROR(IF(OR(ISBLANK(M394), M394="", ISBLANK(C394), C394=""), 0, MAX(0, ROUND((C394-M394)*86400, 0))), 0)</f>
        <v/>
      </c>
      <c r="O394" s="14">
        <f>IF(H394="Post-Bill Void", IF(AND(G394="M-904", I394="Cash"), "EXCEPTION: Concurrent Cash Void", IF(AND(I394="Cash", N394&gt;120), "CRITICAL: Delayed Cash Void", IF(N394&gt;120, "EXCEPTION: Delayed Void", "Standard Void"))), IF(H394="Line Item Void", IF(I394="Cash", "EXCEPTION: Cash Line Void", "Standard Line Void"), IF(H394="No-Sale Drawer Opening", "DRAWER OPENING", "Standard Sale")))</f>
        <v/>
      </c>
    </row>
    <row r="395" ht="18" customHeight="1">
      <c r="A395" s="12" t="inlineStr">
        <is>
          <t>EVT-10318</t>
        </is>
      </c>
      <c r="B395" s="12" t="inlineStr">
        <is>
          <t>TX-80318</t>
        </is>
      </c>
      <c r="C395" s="24" t="n">
        <v>46309.40991898148</v>
      </c>
      <c r="D395" s="12" t="inlineStr">
        <is>
          <t>BR-01</t>
        </is>
      </c>
      <c r="E395" s="12" t="inlineStr">
        <is>
          <t>T-01</t>
        </is>
      </c>
      <c r="F395" s="12" t="inlineStr">
        <is>
          <t>C-102</t>
        </is>
      </c>
      <c r="G395" s="12" t="inlineStr">
        <is>
          <t>NONE</t>
        </is>
      </c>
      <c r="H395" s="11" t="inlineStr">
        <is>
          <t>Sale Tender</t>
        </is>
      </c>
      <c r="I395" s="12" t="inlineStr">
        <is>
          <t>Card</t>
        </is>
      </c>
      <c r="J395" s="20" t="n">
        <v>5</v>
      </c>
      <c r="K395" s="25" t="n">
        <v>61.72</v>
      </c>
      <c r="L395" s="25" t="n">
        <v>61.72</v>
      </c>
      <c r="M395" s="24" t="n">
        <v>46309.40899305556</v>
      </c>
      <c r="N395" s="26">
        <f>IFERROR(IF(OR(ISBLANK(M395), M395="", ISBLANK(C395), C395=""), 0, MAX(0, ROUND((C395-M395)*86400, 0))), 0)</f>
        <v/>
      </c>
      <c r="O395" s="11">
        <f>IF(H395="Post-Bill Void", IF(AND(G395="M-904", I395="Cash"), "EXCEPTION: Concurrent Cash Void", IF(AND(I395="Cash", N395&gt;120), "CRITICAL: Delayed Cash Void", IF(N395&gt;120, "EXCEPTION: Delayed Void", "Standard Void"))), IF(H395="Line Item Void", IF(I395="Cash", "EXCEPTION: Cash Line Void", "Standard Line Void"), IF(H395="No-Sale Drawer Opening", "DRAWER OPENING", "Standard Sale")))</f>
        <v/>
      </c>
    </row>
    <row r="396" ht="18" customHeight="1">
      <c r="A396" s="15" t="inlineStr">
        <is>
          <t>EVT-10319</t>
        </is>
      </c>
      <c r="B396" s="15" t="inlineStr">
        <is>
          <t>TX-80319</t>
        </is>
      </c>
      <c r="C396" s="27" t="n">
        <v>46309.41673611111</v>
      </c>
      <c r="D396" s="15" t="inlineStr">
        <is>
          <t>BR-01</t>
        </is>
      </c>
      <c r="E396" s="15" t="inlineStr">
        <is>
          <t>T-01</t>
        </is>
      </c>
      <c r="F396" s="15" t="inlineStr">
        <is>
          <t>C-101</t>
        </is>
      </c>
      <c r="G396" s="15" t="inlineStr">
        <is>
          <t>NONE</t>
        </is>
      </c>
      <c r="H396" s="14" t="inlineStr">
        <is>
          <t>Sale Tender</t>
        </is>
      </c>
      <c r="I396" s="15" t="inlineStr">
        <is>
          <t>Card</t>
        </is>
      </c>
      <c r="J396" s="17" t="n">
        <v>3</v>
      </c>
      <c r="K396" s="28" t="n">
        <v>44.93</v>
      </c>
      <c r="L396" s="28" t="n">
        <v>44.93</v>
      </c>
      <c r="M396" s="27" t="n">
        <v>46309.41631944444</v>
      </c>
      <c r="N396" s="29">
        <f>IFERROR(IF(OR(ISBLANK(M396), M396="", ISBLANK(C396), C396=""), 0, MAX(0, ROUND((C396-M396)*86400, 0))), 0)</f>
        <v/>
      </c>
      <c r="O396" s="14">
        <f>IF(H396="Post-Bill Void", IF(AND(G396="M-904", I396="Cash"), "EXCEPTION: Concurrent Cash Void", IF(AND(I396="Cash", N396&gt;120), "CRITICAL: Delayed Cash Void", IF(N396&gt;120, "EXCEPTION: Delayed Void", "Standard Void"))), IF(H396="Line Item Void", IF(I396="Cash", "EXCEPTION: Cash Line Void", "Standard Line Void"), IF(H396="No-Sale Drawer Opening", "DRAWER OPENING", "Standard Sale")))</f>
        <v/>
      </c>
    </row>
    <row r="397" ht="18" customHeight="1">
      <c r="A397" s="12" t="inlineStr">
        <is>
          <t>EVT-10320</t>
        </is>
      </c>
      <c r="B397" s="12" t="inlineStr">
        <is>
          <t>TX-80320</t>
        </is>
      </c>
      <c r="C397" s="24" t="n">
        <v>46309.42361111111</v>
      </c>
      <c r="D397" s="12" t="inlineStr">
        <is>
          <t>BR-03</t>
        </is>
      </c>
      <c r="E397" s="12" t="inlineStr">
        <is>
          <t>T-01</t>
        </is>
      </c>
      <c r="F397" s="12" t="inlineStr">
        <is>
          <t>C-112</t>
        </is>
      </c>
      <c r="G397" s="12" t="inlineStr">
        <is>
          <t>NONE</t>
        </is>
      </c>
      <c r="H397" s="11" t="inlineStr">
        <is>
          <t>Sale Tender</t>
        </is>
      </c>
      <c r="I397" s="12" t="inlineStr">
        <is>
          <t>Card</t>
        </is>
      </c>
      <c r="J397" s="20" t="n">
        <v>5</v>
      </c>
      <c r="K397" s="25" t="n">
        <v>76.45</v>
      </c>
      <c r="L397" s="25" t="n">
        <v>76.45</v>
      </c>
      <c r="M397" s="24" t="n">
        <v>46309.42320601852</v>
      </c>
      <c r="N397" s="26">
        <f>IFERROR(IF(OR(ISBLANK(M397), M397="", ISBLANK(C397), C397=""), 0, MAX(0, ROUND((C397-M397)*86400, 0))), 0)</f>
        <v/>
      </c>
      <c r="O397" s="11">
        <f>IF(H397="Post-Bill Void", IF(AND(G397="M-904", I397="Cash"), "EXCEPTION: Concurrent Cash Void", IF(AND(I397="Cash", N397&gt;120), "CRITICAL: Delayed Cash Void", IF(N397&gt;120, "EXCEPTION: Delayed Void", "Standard Void"))), IF(H397="Line Item Void", IF(I397="Cash", "EXCEPTION: Cash Line Void", "Standard Line Void"), IF(H397="No-Sale Drawer Opening", "DRAWER OPENING", "Standard Sale")))</f>
        <v/>
      </c>
    </row>
    <row r="398" ht="18" customHeight="1">
      <c r="A398" s="15" t="inlineStr">
        <is>
          <t>EVT-10321</t>
        </is>
      </c>
      <c r="B398" s="15" t="inlineStr">
        <is>
          <t>TX-80321</t>
        </is>
      </c>
      <c r="C398" s="27" t="n">
        <v>46309.43072916667</v>
      </c>
      <c r="D398" s="15" t="inlineStr">
        <is>
          <t>BR-02</t>
        </is>
      </c>
      <c r="E398" s="15" t="inlineStr">
        <is>
          <t>T-01</t>
        </is>
      </c>
      <c r="F398" s="15" t="inlineStr">
        <is>
          <t>C-108</t>
        </is>
      </c>
      <c r="G398" s="15" t="inlineStr">
        <is>
          <t>NONE</t>
        </is>
      </c>
      <c r="H398" s="14" t="inlineStr">
        <is>
          <t>Sale Tender</t>
        </is>
      </c>
      <c r="I398" s="15" t="inlineStr">
        <is>
          <t>Cash</t>
        </is>
      </c>
      <c r="J398" s="17" t="n">
        <v>4</v>
      </c>
      <c r="K398" s="28" t="n">
        <v>38.38</v>
      </c>
      <c r="L398" s="28" t="n">
        <v>38.38</v>
      </c>
      <c r="M398" s="27" t="n">
        <v>46309.43004629629</v>
      </c>
      <c r="N398" s="29">
        <f>IFERROR(IF(OR(ISBLANK(M398), M398="", ISBLANK(C398), C398=""), 0, MAX(0, ROUND((C398-M398)*86400, 0))), 0)</f>
        <v/>
      </c>
      <c r="O398" s="14">
        <f>IF(H398="Post-Bill Void", IF(AND(G398="M-904", I398="Cash"), "EXCEPTION: Concurrent Cash Void", IF(AND(I398="Cash", N398&gt;120), "CRITICAL: Delayed Cash Void", IF(N398&gt;120, "EXCEPTION: Delayed Void", "Standard Void"))), IF(H398="Line Item Void", IF(I398="Cash", "EXCEPTION: Cash Line Void", "Standard Line Void"), IF(H398="No-Sale Drawer Opening", "DRAWER OPENING", "Standard Sale")))</f>
        <v/>
      </c>
    </row>
    <row r="399" ht="18" customHeight="1">
      <c r="A399" s="12" t="inlineStr">
        <is>
          <t>EVT-10322</t>
        </is>
      </c>
      <c r="B399" s="12" t="inlineStr">
        <is>
          <t>TX-80322</t>
        </is>
      </c>
      <c r="C399" s="24" t="n">
        <v>46309.43761574074</v>
      </c>
      <c r="D399" s="12" t="inlineStr">
        <is>
          <t>BR-04</t>
        </is>
      </c>
      <c r="E399" s="12" t="inlineStr">
        <is>
          <t>T-01</t>
        </is>
      </c>
      <c r="F399" s="12" t="inlineStr">
        <is>
          <t>C-114</t>
        </is>
      </c>
      <c r="G399" s="12" t="inlineStr">
        <is>
          <t>NONE</t>
        </is>
      </c>
      <c r="H399" s="11" t="inlineStr">
        <is>
          <t>Sale Tender</t>
        </is>
      </c>
      <c r="I399" s="12" t="inlineStr">
        <is>
          <t>Card</t>
        </is>
      </c>
      <c r="J399" s="20" t="n">
        <v>3</v>
      </c>
      <c r="K399" s="25" t="n">
        <v>31.16</v>
      </c>
      <c r="L399" s="25" t="n">
        <v>31.16</v>
      </c>
      <c r="M399" s="24" t="n">
        <v>46309.43662037037</v>
      </c>
      <c r="N399" s="26">
        <f>IFERROR(IF(OR(ISBLANK(M399), M399="", ISBLANK(C399), C399=""), 0, MAX(0, ROUND((C399-M399)*86400, 0))), 0)</f>
        <v/>
      </c>
      <c r="O399" s="11">
        <f>IF(H399="Post-Bill Void", IF(AND(G399="M-904", I399="Cash"), "EXCEPTION: Concurrent Cash Void", IF(AND(I399="Cash", N399&gt;120), "CRITICAL: Delayed Cash Void", IF(N399&gt;120, "EXCEPTION: Delayed Void", "Standard Void"))), IF(H399="Line Item Void", IF(I399="Cash", "EXCEPTION: Cash Line Void", "Standard Line Void"), IF(H399="No-Sale Drawer Opening", "DRAWER OPENING", "Standard Sale")))</f>
        <v/>
      </c>
    </row>
    <row r="400" ht="18" customHeight="1">
      <c r="A400" s="15" t="inlineStr">
        <is>
          <t>EVT-10323</t>
        </is>
      </c>
      <c r="B400" s="15" t="inlineStr">
        <is>
          <t>TX-80323</t>
        </is>
      </c>
      <c r="C400" s="27" t="n">
        <v>46309.44461805555</v>
      </c>
      <c r="D400" s="15" t="inlineStr">
        <is>
          <t>BR-04</t>
        </is>
      </c>
      <c r="E400" s="15" t="inlineStr">
        <is>
          <t>T-02</t>
        </is>
      </c>
      <c r="F400" s="15" t="inlineStr">
        <is>
          <t>C-115</t>
        </is>
      </c>
      <c r="G400" s="15" t="inlineStr">
        <is>
          <t>NONE</t>
        </is>
      </c>
      <c r="H400" s="14" t="inlineStr">
        <is>
          <t>Sale Tender</t>
        </is>
      </c>
      <c r="I400" s="15" t="inlineStr">
        <is>
          <t>Cash</t>
        </is>
      </c>
      <c r="J400" s="17" t="n">
        <v>3</v>
      </c>
      <c r="K400" s="28" t="n">
        <v>25.65</v>
      </c>
      <c r="L400" s="28" t="n">
        <v>25.65</v>
      </c>
      <c r="M400" s="27" t="n">
        <v>46309.44365740741</v>
      </c>
      <c r="N400" s="29">
        <f>IFERROR(IF(OR(ISBLANK(M400), M400="", ISBLANK(C400), C400=""), 0, MAX(0, ROUND((C400-M400)*86400, 0))), 0)</f>
        <v/>
      </c>
      <c r="O400" s="14">
        <f>IF(H400="Post-Bill Void", IF(AND(G400="M-904", I400="Cash"), "EXCEPTION: Concurrent Cash Void", IF(AND(I400="Cash", N400&gt;120), "CRITICAL: Delayed Cash Void", IF(N400&gt;120, "EXCEPTION: Delayed Void", "Standard Void"))), IF(H400="Line Item Void", IF(I400="Cash", "EXCEPTION: Cash Line Void", "Standard Line Void"), IF(H400="No-Sale Drawer Opening", "DRAWER OPENING", "Standard Sale")))</f>
        <v/>
      </c>
    </row>
    <row r="401" ht="18" customHeight="1">
      <c r="A401" s="12" t="inlineStr">
        <is>
          <t>EVT-10324</t>
        </is>
      </c>
      <c r="B401" s="12" t="inlineStr">
        <is>
          <t>TX-80324</t>
        </is>
      </c>
      <c r="C401" s="24" t="n">
        <v>46309.45167824074</v>
      </c>
      <c r="D401" s="12" t="inlineStr">
        <is>
          <t>BR-03</t>
        </is>
      </c>
      <c r="E401" s="12" t="inlineStr">
        <is>
          <t>T-02</t>
        </is>
      </c>
      <c r="F401" s="12" t="inlineStr">
        <is>
          <t>C-112</t>
        </is>
      </c>
      <c r="G401" s="12" t="inlineStr">
        <is>
          <t>NONE</t>
        </is>
      </c>
      <c r="H401" s="11" t="inlineStr">
        <is>
          <t>Sale Tender</t>
        </is>
      </c>
      <c r="I401" s="12" t="inlineStr">
        <is>
          <t>Card</t>
        </is>
      </c>
      <c r="J401" s="20" t="n">
        <v>4</v>
      </c>
      <c r="K401" s="25" t="n">
        <v>58.46</v>
      </c>
      <c r="L401" s="25" t="n">
        <v>58.46</v>
      </c>
      <c r="M401" s="24" t="n">
        <v>46309.45090277777</v>
      </c>
      <c r="N401" s="26">
        <f>IFERROR(IF(OR(ISBLANK(M401), M401="", ISBLANK(C401), C401=""), 0, MAX(0, ROUND((C401-M401)*86400, 0))), 0)</f>
        <v/>
      </c>
      <c r="O401" s="11">
        <f>IF(H401="Post-Bill Void", IF(AND(G401="M-904", I401="Cash"), "EXCEPTION: Concurrent Cash Void", IF(AND(I401="Cash", N401&gt;120), "CRITICAL: Delayed Cash Void", IF(N401&gt;120, "EXCEPTION: Delayed Void", "Standard Void"))), IF(H401="Line Item Void", IF(I401="Cash", "EXCEPTION: Cash Line Void", "Standard Line Void"), IF(H401="No-Sale Drawer Opening", "DRAWER OPENING", "Standard Sale")))</f>
        <v/>
      </c>
    </row>
    <row r="402" ht="18" customHeight="1">
      <c r="A402" s="15" t="inlineStr">
        <is>
          <t>EVT-10325</t>
        </is>
      </c>
      <c r="B402" s="15" t="inlineStr">
        <is>
          <t>TX-80325</t>
        </is>
      </c>
      <c r="C402" s="27" t="n">
        <v>46309.45896990741</v>
      </c>
      <c r="D402" s="15" t="inlineStr">
        <is>
          <t>BR-02</t>
        </is>
      </c>
      <c r="E402" s="15" t="inlineStr">
        <is>
          <t>T-01</t>
        </is>
      </c>
      <c r="F402" s="15" t="inlineStr">
        <is>
          <t>C-107</t>
        </is>
      </c>
      <c r="G402" s="15" t="inlineStr">
        <is>
          <t>NONE</t>
        </is>
      </c>
      <c r="H402" s="14" t="inlineStr">
        <is>
          <t>Sale Tender</t>
        </is>
      </c>
      <c r="I402" s="15" t="inlineStr">
        <is>
          <t>Card</t>
        </is>
      </c>
      <c r="J402" s="17" t="n">
        <v>2</v>
      </c>
      <c r="K402" s="28" t="n">
        <v>31.47</v>
      </c>
      <c r="L402" s="28" t="n">
        <v>31.47</v>
      </c>
      <c r="M402" s="27" t="n">
        <v>46309.45839120371</v>
      </c>
      <c r="N402" s="29">
        <f>IFERROR(IF(OR(ISBLANK(M402), M402="", ISBLANK(C402), C402=""), 0, MAX(0, ROUND((C402-M402)*86400, 0))), 0)</f>
        <v/>
      </c>
      <c r="O402" s="14">
        <f>IF(H402="Post-Bill Void", IF(AND(G402="M-904", I402="Cash"), "EXCEPTION: Concurrent Cash Void", IF(AND(I402="Cash", N402&gt;120), "CRITICAL: Delayed Cash Void", IF(N402&gt;120, "EXCEPTION: Delayed Void", "Standard Void"))), IF(H402="Line Item Void", IF(I402="Cash", "EXCEPTION: Cash Line Void", "Standard Line Void"), IF(H402="No-Sale Drawer Opening", "DRAWER OPENING", "Standard Sale")))</f>
        <v/>
      </c>
    </row>
    <row r="403" ht="18" customHeight="1">
      <c r="A403" s="12" t="inlineStr">
        <is>
          <t>EVT-10326</t>
        </is>
      </c>
      <c r="B403" s="12" t="inlineStr">
        <is>
          <t>TX-80326</t>
        </is>
      </c>
      <c r="C403" s="24" t="n">
        <v>46309.46550925926</v>
      </c>
      <c r="D403" s="12" t="inlineStr">
        <is>
          <t>BR-03</t>
        </is>
      </c>
      <c r="E403" s="12" t="inlineStr">
        <is>
          <t>T-02</t>
        </is>
      </c>
      <c r="F403" s="12" t="inlineStr">
        <is>
          <t>C-112</t>
        </is>
      </c>
      <c r="G403" s="12" t="inlineStr">
        <is>
          <t>NONE</t>
        </is>
      </c>
      <c r="H403" s="11" t="inlineStr">
        <is>
          <t>Sale Tender</t>
        </is>
      </c>
      <c r="I403" s="12" t="inlineStr">
        <is>
          <t>Cash</t>
        </is>
      </c>
      <c r="J403" s="20" t="n">
        <v>3</v>
      </c>
      <c r="K403" s="25" t="n">
        <v>43.87</v>
      </c>
      <c r="L403" s="25" t="n">
        <v>43.87</v>
      </c>
      <c r="M403" s="24" t="n">
        <v>46309.46486111111</v>
      </c>
      <c r="N403" s="26">
        <f>IFERROR(IF(OR(ISBLANK(M403), M403="", ISBLANK(C403), C403=""), 0, MAX(0, ROUND((C403-M403)*86400, 0))), 0)</f>
        <v/>
      </c>
      <c r="O403" s="11">
        <f>IF(H403="Post-Bill Void", IF(AND(G403="M-904", I403="Cash"), "EXCEPTION: Concurrent Cash Void", IF(AND(I403="Cash", N403&gt;120), "CRITICAL: Delayed Cash Void", IF(N403&gt;120, "EXCEPTION: Delayed Void", "Standard Void"))), IF(H403="Line Item Void", IF(I403="Cash", "EXCEPTION: Cash Line Void", "Standard Line Void"), IF(H403="No-Sale Drawer Opening", "DRAWER OPENING", "Standard Sale")))</f>
        <v/>
      </c>
    </row>
    <row r="404" ht="18" customHeight="1">
      <c r="A404" s="15" t="inlineStr">
        <is>
          <t>EVT-10327</t>
        </is>
      </c>
      <c r="B404" s="15" t="inlineStr">
        <is>
          <t>TX-80327</t>
        </is>
      </c>
      <c r="C404" s="27" t="n">
        <v>46309.47251157407</v>
      </c>
      <c r="D404" s="15" t="inlineStr">
        <is>
          <t>BR-03</t>
        </is>
      </c>
      <c r="E404" s="15" t="inlineStr">
        <is>
          <t>T-02</t>
        </is>
      </c>
      <c r="F404" s="15" t="inlineStr">
        <is>
          <t>C-109</t>
        </is>
      </c>
      <c r="G404" s="15" t="inlineStr">
        <is>
          <t>NONE</t>
        </is>
      </c>
      <c r="H404" s="14" t="inlineStr">
        <is>
          <t>Sale Tender</t>
        </is>
      </c>
      <c r="I404" s="15" t="inlineStr">
        <is>
          <t>Card</t>
        </is>
      </c>
      <c r="J404" s="17" t="n">
        <v>5</v>
      </c>
      <c r="K404" s="28" t="n">
        <v>49.25</v>
      </c>
      <c r="L404" s="28" t="n">
        <v>49.25</v>
      </c>
      <c r="M404" s="27" t="n">
        <v>46309.47193287037</v>
      </c>
      <c r="N404" s="29">
        <f>IFERROR(IF(OR(ISBLANK(M404), M404="", ISBLANK(C404), C404=""), 0, MAX(0, ROUND((C404-M404)*86400, 0))), 0)</f>
        <v/>
      </c>
      <c r="O404" s="14">
        <f>IF(H404="Post-Bill Void", IF(AND(G404="M-904", I404="Cash"), "EXCEPTION: Concurrent Cash Void", IF(AND(I404="Cash", N404&gt;120), "CRITICAL: Delayed Cash Void", IF(N404&gt;120, "EXCEPTION: Delayed Void", "Standard Void"))), IF(H404="Line Item Void", IF(I404="Cash", "EXCEPTION: Cash Line Void", "Standard Line Void"), IF(H404="No-Sale Drawer Opening", "DRAWER OPENING", "Standard Sale")))</f>
        <v/>
      </c>
    </row>
    <row r="405" ht="18" customHeight="1">
      <c r="A405" s="12" t="inlineStr">
        <is>
          <t>EVT-10328</t>
        </is>
      </c>
      <c r="B405" s="12" t="inlineStr">
        <is>
          <t>TX-80328</t>
        </is>
      </c>
      <c r="C405" s="24" t="n">
        <v>46309.4797337963</v>
      </c>
      <c r="D405" s="12" t="inlineStr">
        <is>
          <t>BR-01</t>
        </is>
      </c>
      <c r="E405" s="12" t="inlineStr">
        <is>
          <t>T-02</t>
        </is>
      </c>
      <c r="F405" s="12" t="inlineStr">
        <is>
          <t>C-104</t>
        </is>
      </c>
      <c r="G405" s="12" t="inlineStr">
        <is>
          <t>NONE</t>
        </is>
      </c>
      <c r="H405" s="11" t="inlineStr">
        <is>
          <t>Sale Tender</t>
        </is>
      </c>
      <c r="I405" s="12" t="inlineStr">
        <is>
          <t>Card</t>
        </is>
      </c>
      <c r="J405" s="20" t="n">
        <v>3</v>
      </c>
      <c r="K405" s="25" t="n">
        <v>44.2</v>
      </c>
      <c r="L405" s="25" t="n">
        <v>44.2</v>
      </c>
      <c r="M405" s="24" t="n">
        <v>46309.47914351852</v>
      </c>
      <c r="N405" s="26">
        <f>IFERROR(IF(OR(ISBLANK(M405), M405="", ISBLANK(C405), C405=""), 0, MAX(0, ROUND((C405-M405)*86400, 0))), 0)</f>
        <v/>
      </c>
      <c r="O405" s="11">
        <f>IF(H405="Post-Bill Void", IF(AND(G405="M-904", I405="Cash"), "EXCEPTION: Concurrent Cash Void", IF(AND(I405="Cash", N405&gt;120), "CRITICAL: Delayed Cash Void", IF(N405&gt;120, "EXCEPTION: Delayed Void", "Standard Void"))), IF(H405="Line Item Void", IF(I405="Cash", "EXCEPTION: Cash Line Void", "Standard Line Void"), IF(H405="No-Sale Drawer Opening", "DRAWER OPENING", "Standard Sale")))</f>
        <v/>
      </c>
    </row>
    <row r="406" ht="18" customHeight="1">
      <c r="A406" s="15" t="inlineStr">
        <is>
          <t>EVT-10329</t>
        </is>
      </c>
      <c r="B406" s="15" t="inlineStr">
        <is>
          <t>TX-80329</t>
        </is>
      </c>
      <c r="C406" s="27" t="n">
        <v>46309.48615740741</v>
      </c>
      <c r="D406" s="15" t="inlineStr">
        <is>
          <t>BR-04</t>
        </is>
      </c>
      <c r="E406" s="15" t="inlineStr">
        <is>
          <t>T-01</t>
        </is>
      </c>
      <c r="F406" s="15" t="inlineStr">
        <is>
          <t>C-115</t>
        </is>
      </c>
      <c r="G406" s="15" t="inlineStr">
        <is>
          <t>NONE</t>
        </is>
      </c>
      <c r="H406" s="14" t="inlineStr">
        <is>
          <t>Sale Tender</t>
        </is>
      </c>
      <c r="I406" s="15" t="inlineStr">
        <is>
          <t>Cash</t>
        </is>
      </c>
      <c r="J406" s="17" t="n">
        <v>6</v>
      </c>
      <c r="K406" s="28" t="n">
        <v>57.94</v>
      </c>
      <c r="L406" s="28" t="n">
        <v>57.94</v>
      </c>
      <c r="M406" s="27" t="n">
        <v>46309.48542824074</v>
      </c>
      <c r="N406" s="29">
        <f>IFERROR(IF(OR(ISBLANK(M406), M406="", ISBLANK(C406), C406=""), 0, MAX(0, ROUND((C406-M406)*86400, 0))), 0)</f>
        <v/>
      </c>
      <c r="O406" s="14">
        <f>IF(H406="Post-Bill Void", IF(AND(G406="M-904", I406="Cash"), "EXCEPTION: Concurrent Cash Void", IF(AND(I406="Cash", N406&gt;120), "CRITICAL: Delayed Cash Void", IF(N406&gt;120, "EXCEPTION: Delayed Void", "Standard Void"))), IF(H406="Line Item Void", IF(I406="Cash", "EXCEPTION: Cash Line Void", "Standard Line Void"), IF(H406="No-Sale Drawer Opening", "DRAWER OPENING", "Standard Sale")))</f>
        <v/>
      </c>
    </row>
    <row r="407" ht="18" customHeight="1">
      <c r="A407" s="12" t="inlineStr">
        <is>
          <t>EVT-10330</t>
        </is>
      </c>
      <c r="B407" s="12" t="inlineStr">
        <is>
          <t>TX-80330</t>
        </is>
      </c>
      <c r="C407" s="24" t="n">
        <v>46309.49336805556</v>
      </c>
      <c r="D407" s="12" t="inlineStr">
        <is>
          <t>BR-04</t>
        </is>
      </c>
      <c r="E407" s="12" t="inlineStr">
        <is>
          <t>T-01</t>
        </is>
      </c>
      <c r="F407" s="12" t="inlineStr">
        <is>
          <t>C-113</t>
        </is>
      </c>
      <c r="G407" s="12" t="inlineStr">
        <is>
          <t>NONE</t>
        </is>
      </c>
      <c r="H407" s="11" t="inlineStr">
        <is>
          <t>Sale Tender</t>
        </is>
      </c>
      <c r="I407" s="12" t="inlineStr">
        <is>
          <t>Card</t>
        </is>
      </c>
      <c r="J407" s="20" t="n">
        <v>5</v>
      </c>
      <c r="K407" s="25" t="n">
        <v>61.5</v>
      </c>
      <c r="L407" s="25" t="n">
        <v>61.5</v>
      </c>
      <c r="M407" s="24" t="n">
        <v>46309.49237268518</v>
      </c>
      <c r="N407" s="26">
        <f>IFERROR(IF(OR(ISBLANK(M407), M407="", ISBLANK(C407), C407=""), 0, MAX(0, ROUND((C407-M407)*86400, 0))), 0)</f>
        <v/>
      </c>
      <c r="O407" s="11">
        <f>IF(H407="Post-Bill Void", IF(AND(G407="M-904", I407="Cash"), "EXCEPTION: Concurrent Cash Void", IF(AND(I407="Cash", N407&gt;120), "CRITICAL: Delayed Cash Void", IF(N407&gt;120, "EXCEPTION: Delayed Void", "Standard Void"))), IF(H407="Line Item Void", IF(I407="Cash", "EXCEPTION: Cash Line Void", "Standard Line Void"), IF(H407="No-Sale Drawer Opening", "DRAWER OPENING", "Standard Sale")))</f>
        <v/>
      </c>
    </row>
    <row r="408" ht="18" customHeight="1">
      <c r="A408" s="15" t="inlineStr">
        <is>
          <t>EVT-10331</t>
        </is>
      </c>
      <c r="B408" s="15" t="inlineStr">
        <is>
          <t>TX-80331</t>
        </is>
      </c>
      <c r="C408" s="27" t="n">
        <v>46309.50067129629</v>
      </c>
      <c r="D408" s="15" t="inlineStr">
        <is>
          <t>BR-04</t>
        </is>
      </c>
      <c r="E408" s="15" t="inlineStr">
        <is>
          <t>T-01</t>
        </is>
      </c>
      <c r="F408" s="15" t="inlineStr">
        <is>
          <t>C-115</t>
        </is>
      </c>
      <c r="G408" s="15" t="inlineStr">
        <is>
          <t>NONE</t>
        </is>
      </c>
      <c r="H408" s="14" t="inlineStr">
        <is>
          <t>Sale Tender</t>
        </is>
      </c>
      <c r="I408" s="15" t="inlineStr">
        <is>
          <t>Card</t>
        </is>
      </c>
      <c r="J408" s="17" t="n">
        <v>5</v>
      </c>
      <c r="K408" s="28" t="n">
        <v>64.77</v>
      </c>
      <c r="L408" s="28" t="n">
        <v>64.77</v>
      </c>
      <c r="M408" s="27" t="n">
        <v>46309.49984953704</v>
      </c>
      <c r="N408" s="29">
        <f>IFERROR(IF(OR(ISBLANK(M408), M408="", ISBLANK(C408), C408=""), 0, MAX(0, ROUND((C408-M408)*86400, 0))), 0)</f>
        <v/>
      </c>
      <c r="O408" s="14">
        <f>IF(H408="Post-Bill Void", IF(AND(G408="M-904", I408="Cash"), "EXCEPTION: Concurrent Cash Void", IF(AND(I408="Cash", N408&gt;120), "CRITICAL: Delayed Cash Void", IF(N408&gt;120, "EXCEPTION: Delayed Void", "Standard Void"))), IF(H408="Line Item Void", IF(I408="Cash", "EXCEPTION: Cash Line Void", "Standard Line Void"), IF(H408="No-Sale Drawer Opening", "DRAWER OPENING", "Standard Sale")))</f>
        <v/>
      </c>
    </row>
    <row r="409" ht="18" customHeight="1">
      <c r="A409" s="12" t="inlineStr">
        <is>
          <t>EVT-10332</t>
        </is>
      </c>
      <c r="B409" s="12" t="inlineStr">
        <is>
          <t>TX-80332</t>
        </is>
      </c>
      <c r="C409" s="24" t="n">
        <v>46309.50761574074</v>
      </c>
      <c r="D409" s="12" t="inlineStr">
        <is>
          <t>BR-01</t>
        </is>
      </c>
      <c r="E409" s="12" t="inlineStr">
        <is>
          <t>T-02</t>
        </is>
      </c>
      <c r="F409" s="12" t="inlineStr">
        <is>
          <t>C-101</t>
        </is>
      </c>
      <c r="G409" s="12" t="inlineStr">
        <is>
          <t>NONE</t>
        </is>
      </c>
      <c r="H409" s="11" t="inlineStr">
        <is>
          <t>Sale Tender</t>
        </is>
      </c>
      <c r="I409" s="12" t="inlineStr">
        <is>
          <t>Cash</t>
        </is>
      </c>
      <c r="J409" s="20" t="n">
        <v>5</v>
      </c>
      <c r="K409" s="25" t="n">
        <v>44.16</v>
      </c>
      <c r="L409" s="25" t="n">
        <v>44.16</v>
      </c>
      <c r="M409" s="24" t="n">
        <v>46309.50680555555</v>
      </c>
      <c r="N409" s="26">
        <f>IFERROR(IF(OR(ISBLANK(M409), M409="", ISBLANK(C409), C409=""), 0, MAX(0, ROUND((C409-M409)*86400, 0))), 0)</f>
        <v/>
      </c>
      <c r="O409" s="11">
        <f>IF(H409="Post-Bill Void", IF(AND(G409="M-904", I409="Cash"), "EXCEPTION: Concurrent Cash Void", IF(AND(I409="Cash", N409&gt;120), "CRITICAL: Delayed Cash Void", IF(N409&gt;120, "EXCEPTION: Delayed Void", "Standard Void"))), IF(H409="Line Item Void", IF(I409="Cash", "EXCEPTION: Cash Line Void", "Standard Line Void"), IF(H409="No-Sale Drawer Opening", "DRAWER OPENING", "Standard Sale")))</f>
        <v/>
      </c>
    </row>
    <row r="410" ht="18" customHeight="1">
      <c r="A410" s="15" t="inlineStr">
        <is>
          <t>EVT-10333</t>
        </is>
      </c>
      <c r="B410" s="15" t="inlineStr">
        <is>
          <t>TX-80333</t>
        </is>
      </c>
      <c r="C410" s="27" t="n">
        <v>46309.51436342593</v>
      </c>
      <c r="D410" s="15" t="inlineStr">
        <is>
          <t>BR-04</t>
        </is>
      </c>
      <c r="E410" s="15" t="inlineStr">
        <is>
          <t>T-02</t>
        </is>
      </c>
      <c r="F410" s="15" t="inlineStr">
        <is>
          <t>C-114</t>
        </is>
      </c>
      <c r="G410" s="15" t="inlineStr">
        <is>
          <t>NONE</t>
        </is>
      </c>
      <c r="H410" s="14" t="inlineStr">
        <is>
          <t>Sale Tender</t>
        </is>
      </c>
      <c r="I410" s="15" t="inlineStr">
        <is>
          <t>Cash</t>
        </is>
      </c>
      <c r="J410" s="17" t="n">
        <v>1</v>
      </c>
      <c r="K410" s="28" t="n">
        <v>10.44</v>
      </c>
      <c r="L410" s="28" t="n">
        <v>10.44</v>
      </c>
      <c r="M410" s="27" t="n">
        <v>46309.5134375</v>
      </c>
      <c r="N410" s="29">
        <f>IFERROR(IF(OR(ISBLANK(M410), M410="", ISBLANK(C410), C410=""), 0, MAX(0, ROUND((C410-M410)*86400, 0))), 0)</f>
        <v/>
      </c>
      <c r="O410" s="14">
        <f>IF(H410="Post-Bill Void", IF(AND(G410="M-904", I410="Cash"), "EXCEPTION: Concurrent Cash Void", IF(AND(I410="Cash", N410&gt;120), "CRITICAL: Delayed Cash Void", IF(N410&gt;120, "EXCEPTION: Delayed Void", "Standard Void"))), IF(H410="Line Item Void", IF(I410="Cash", "EXCEPTION: Cash Line Void", "Standard Line Void"), IF(H410="No-Sale Drawer Opening", "DRAWER OPENING", "Standard Sale")))</f>
        <v/>
      </c>
    </row>
    <row r="411" ht="18" customHeight="1">
      <c r="A411" s="12" t="inlineStr">
        <is>
          <t>EVT-10334</t>
        </is>
      </c>
      <c r="B411" s="12" t="inlineStr">
        <is>
          <t>TX-80334</t>
        </is>
      </c>
      <c r="C411" s="24" t="n">
        <v>46309.52120370371</v>
      </c>
      <c r="D411" s="12" t="inlineStr">
        <is>
          <t>BR-02</t>
        </is>
      </c>
      <c r="E411" s="12" t="inlineStr">
        <is>
          <t>T-01</t>
        </is>
      </c>
      <c r="F411" s="12" t="inlineStr">
        <is>
          <t>C-108</t>
        </is>
      </c>
      <c r="G411" s="12" t="inlineStr">
        <is>
          <t>NONE</t>
        </is>
      </c>
      <c r="H411" s="11" t="inlineStr">
        <is>
          <t>Sale Tender</t>
        </is>
      </c>
      <c r="I411" s="12" t="inlineStr">
        <is>
          <t>Card</t>
        </is>
      </c>
      <c r="J411" s="20" t="n">
        <v>5</v>
      </c>
      <c r="K411" s="25" t="n">
        <v>68.39</v>
      </c>
      <c r="L411" s="25" t="n">
        <v>68.39</v>
      </c>
      <c r="M411" s="24" t="n">
        <v>46309.52023148148</v>
      </c>
      <c r="N411" s="26">
        <f>IFERROR(IF(OR(ISBLANK(M411), M411="", ISBLANK(C411), C411=""), 0, MAX(0, ROUND((C411-M411)*86400, 0))), 0)</f>
        <v/>
      </c>
      <c r="O411" s="11">
        <f>IF(H411="Post-Bill Void", IF(AND(G411="M-904", I411="Cash"), "EXCEPTION: Concurrent Cash Void", IF(AND(I411="Cash", N411&gt;120), "CRITICAL: Delayed Cash Void", IF(N411&gt;120, "EXCEPTION: Delayed Void", "Standard Void"))), IF(H411="Line Item Void", IF(I411="Cash", "EXCEPTION: Cash Line Void", "Standard Line Void"), IF(H411="No-Sale Drawer Opening", "DRAWER OPENING", "Standard Sale")))</f>
        <v/>
      </c>
    </row>
    <row r="412" ht="18" customHeight="1">
      <c r="A412" s="15" t="inlineStr">
        <is>
          <t>EVT-10335</t>
        </is>
      </c>
      <c r="B412" s="15" t="inlineStr">
        <is>
          <t>TX-80335</t>
        </is>
      </c>
      <c r="C412" s="27" t="n">
        <v>46309.52788194444</v>
      </c>
      <c r="D412" s="15" t="inlineStr">
        <is>
          <t>BR-03</t>
        </is>
      </c>
      <c r="E412" s="15" t="inlineStr">
        <is>
          <t>T-01</t>
        </is>
      </c>
      <c r="F412" s="15" t="inlineStr">
        <is>
          <t>C-109</t>
        </is>
      </c>
      <c r="G412" s="15" t="inlineStr">
        <is>
          <t>NONE</t>
        </is>
      </c>
      <c r="H412" s="14" t="inlineStr">
        <is>
          <t>Sale Tender</t>
        </is>
      </c>
      <c r="I412" s="15" t="inlineStr">
        <is>
          <t>Card</t>
        </is>
      </c>
      <c r="J412" s="17" t="n">
        <v>1</v>
      </c>
      <c r="K412" s="28" t="n">
        <v>9.369999999999999</v>
      </c>
      <c r="L412" s="28" t="n">
        <v>9.369999999999999</v>
      </c>
      <c r="M412" s="27" t="n">
        <v>46309.52716435185</v>
      </c>
      <c r="N412" s="29">
        <f>IFERROR(IF(OR(ISBLANK(M412), M412="", ISBLANK(C412), C412=""), 0, MAX(0, ROUND((C412-M412)*86400, 0))), 0)</f>
        <v/>
      </c>
      <c r="O412" s="14">
        <f>IF(H412="Post-Bill Void", IF(AND(G412="M-904", I412="Cash"), "EXCEPTION: Concurrent Cash Void", IF(AND(I412="Cash", N412&gt;120), "CRITICAL: Delayed Cash Void", IF(N412&gt;120, "EXCEPTION: Delayed Void", "Standard Void"))), IF(H412="Line Item Void", IF(I412="Cash", "EXCEPTION: Cash Line Void", "Standard Line Void"), IF(H412="No-Sale Drawer Opening", "DRAWER OPENING", "Standard Sale")))</f>
        <v/>
      </c>
    </row>
    <row r="413" ht="18" customHeight="1">
      <c r="A413" s="12" t="inlineStr">
        <is>
          <t>EVT-10336</t>
        </is>
      </c>
      <c r="B413" s="12" t="inlineStr">
        <is>
          <t>TX-80336</t>
        </is>
      </c>
      <c r="C413" s="24" t="n">
        <v>46309.53525462963</v>
      </c>
      <c r="D413" s="12" t="inlineStr">
        <is>
          <t>BR-02</t>
        </is>
      </c>
      <c r="E413" s="12" t="inlineStr">
        <is>
          <t>T-01</t>
        </is>
      </c>
      <c r="F413" s="12" t="inlineStr">
        <is>
          <t>C-107</t>
        </is>
      </c>
      <c r="G413" s="12" t="inlineStr">
        <is>
          <t>NONE</t>
        </is>
      </c>
      <c r="H413" s="11" t="inlineStr">
        <is>
          <t>Sale Tender</t>
        </is>
      </c>
      <c r="I413" s="12" t="inlineStr">
        <is>
          <t>Card</t>
        </is>
      </c>
      <c r="J413" s="20" t="n">
        <v>5</v>
      </c>
      <c r="K413" s="25" t="n">
        <v>60.61</v>
      </c>
      <c r="L413" s="25" t="n">
        <v>60.61</v>
      </c>
      <c r="M413" s="24" t="n">
        <v>46309.53429398148</v>
      </c>
      <c r="N413" s="26">
        <f>IFERROR(IF(OR(ISBLANK(M413), M413="", ISBLANK(C413), C413=""), 0, MAX(0, ROUND((C413-M413)*86400, 0))), 0)</f>
        <v/>
      </c>
      <c r="O413" s="11">
        <f>IF(H413="Post-Bill Void", IF(AND(G413="M-904", I413="Cash"), "EXCEPTION: Concurrent Cash Void", IF(AND(I413="Cash", N413&gt;120), "CRITICAL: Delayed Cash Void", IF(N413&gt;120, "EXCEPTION: Delayed Void", "Standard Void"))), IF(H413="Line Item Void", IF(I413="Cash", "EXCEPTION: Cash Line Void", "Standard Line Void"), IF(H413="No-Sale Drawer Opening", "DRAWER OPENING", "Standard Sale")))</f>
        <v/>
      </c>
    </row>
    <row r="414" ht="18" customHeight="1">
      <c r="A414" s="15" t="inlineStr">
        <is>
          <t>EVT-10337</t>
        </is>
      </c>
      <c r="B414" s="15" t="inlineStr">
        <is>
          <t>TX-80337</t>
        </is>
      </c>
      <c r="C414" s="27" t="n">
        <v>46309.54201388889</v>
      </c>
      <c r="D414" s="15" t="inlineStr">
        <is>
          <t>BR-01</t>
        </is>
      </c>
      <c r="E414" s="15" t="inlineStr">
        <is>
          <t>T-02</t>
        </is>
      </c>
      <c r="F414" s="15" t="inlineStr">
        <is>
          <t>C-104</t>
        </is>
      </c>
      <c r="G414" s="15" t="inlineStr">
        <is>
          <t>NONE</t>
        </is>
      </c>
      <c r="H414" s="14" t="inlineStr">
        <is>
          <t>Sale Tender</t>
        </is>
      </c>
      <c r="I414" s="15" t="inlineStr">
        <is>
          <t>Cash</t>
        </is>
      </c>
      <c r="J414" s="17" t="n">
        <v>3</v>
      </c>
      <c r="K414" s="28" t="n">
        <v>26.51</v>
      </c>
      <c r="L414" s="28" t="n">
        <v>26.51</v>
      </c>
      <c r="M414" s="27" t="n">
        <v>46309.54106481482</v>
      </c>
      <c r="N414" s="29">
        <f>IFERROR(IF(OR(ISBLANK(M414), M414="", ISBLANK(C414), C414=""), 0, MAX(0, ROUND((C414-M414)*86400, 0))), 0)</f>
        <v/>
      </c>
      <c r="O414" s="14">
        <f>IF(H414="Post-Bill Void", IF(AND(G414="M-904", I414="Cash"), "EXCEPTION: Concurrent Cash Void", IF(AND(I414="Cash", N414&gt;120), "CRITICAL: Delayed Cash Void", IF(N414&gt;120, "EXCEPTION: Delayed Void", "Standard Void"))), IF(H414="Line Item Void", IF(I414="Cash", "EXCEPTION: Cash Line Void", "Standard Line Void"), IF(H414="No-Sale Drawer Opening", "DRAWER OPENING", "Standard Sale")))</f>
        <v/>
      </c>
    </row>
    <row r="415" ht="18" customHeight="1">
      <c r="A415" s="12" t="inlineStr">
        <is>
          <t>EVT-10338</t>
        </is>
      </c>
      <c r="B415" s="12" t="inlineStr">
        <is>
          <t>TX-80338</t>
        </is>
      </c>
      <c r="C415" s="24" t="n">
        <v>46309.54913194444</v>
      </c>
      <c r="D415" s="12" t="inlineStr">
        <is>
          <t>BR-01</t>
        </is>
      </c>
      <c r="E415" s="12" t="inlineStr">
        <is>
          <t>T-02</t>
        </is>
      </c>
      <c r="F415" s="12" t="inlineStr">
        <is>
          <t>C-101</t>
        </is>
      </c>
      <c r="G415" s="12" t="inlineStr">
        <is>
          <t>NONE</t>
        </is>
      </c>
      <c r="H415" s="11" t="inlineStr">
        <is>
          <t>Sale Tender</t>
        </is>
      </c>
      <c r="I415" s="12" t="inlineStr">
        <is>
          <t>Card</t>
        </is>
      </c>
      <c r="J415" s="20" t="n">
        <v>2</v>
      </c>
      <c r="K415" s="25" t="n">
        <v>30.95</v>
      </c>
      <c r="L415" s="25" t="n">
        <v>30.95</v>
      </c>
      <c r="M415" s="24" t="n">
        <v>46309.54869212963</v>
      </c>
      <c r="N415" s="26">
        <f>IFERROR(IF(OR(ISBLANK(M415), M415="", ISBLANK(C415), C415=""), 0, MAX(0, ROUND((C415-M415)*86400, 0))), 0)</f>
        <v/>
      </c>
      <c r="O415" s="11">
        <f>IF(H415="Post-Bill Void", IF(AND(G415="M-904", I415="Cash"), "EXCEPTION: Concurrent Cash Void", IF(AND(I415="Cash", N415&gt;120), "CRITICAL: Delayed Cash Void", IF(N415&gt;120, "EXCEPTION: Delayed Void", "Standard Void"))), IF(H415="Line Item Void", IF(I415="Cash", "EXCEPTION: Cash Line Void", "Standard Line Void"), IF(H415="No-Sale Drawer Opening", "DRAWER OPENING", "Standard Sale")))</f>
        <v/>
      </c>
    </row>
    <row r="416" ht="18" customHeight="1">
      <c r="A416" s="15" t="inlineStr">
        <is>
          <t>EVT-10339</t>
        </is>
      </c>
      <c r="B416" s="15" t="inlineStr">
        <is>
          <t>TX-80339</t>
        </is>
      </c>
      <c r="C416" s="27" t="n">
        <v>46309.55609953704</v>
      </c>
      <c r="D416" s="15" t="inlineStr">
        <is>
          <t>BR-02</t>
        </is>
      </c>
      <c r="E416" s="15" t="inlineStr">
        <is>
          <t>T-01</t>
        </is>
      </c>
      <c r="F416" s="15" t="inlineStr">
        <is>
          <t>C-106</t>
        </is>
      </c>
      <c r="G416" s="15" t="inlineStr">
        <is>
          <t>NONE</t>
        </is>
      </c>
      <c r="H416" s="14" t="inlineStr">
        <is>
          <t>Sale Tender</t>
        </is>
      </c>
      <c r="I416" s="15" t="inlineStr">
        <is>
          <t>Card</t>
        </is>
      </c>
      <c r="J416" s="17" t="n">
        <v>4</v>
      </c>
      <c r="K416" s="28" t="n">
        <v>40.96</v>
      </c>
      <c r="L416" s="28" t="n">
        <v>40.96</v>
      </c>
      <c r="M416" s="27" t="n">
        <v>46309.55532407408</v>
      </c>
      <c r="N416" s="29">
        <f>IFERROR(IF(OR(ISBLANK(M416), M416="", ISBLANK(C416), C416=""), 0, MAX(0, ROUND((C416-M416)*86400, 0))), 0)</f>
        <v/>
      </c>
      <c r="O416" s="14">
        <f>IF(H416="Post-Bill Void", IF(AND(G416="M-904", I416="Cash"), "EXCEPTION: Concurrent Cash Void", IF(AND(I416="Cash", N416&gt;120), "CRITICAL: Delayed Cash Void", IF(N416&gt;120, "EXCEPTION: Delayed Void", "Standard Void"))), IF(H416="Line Item Void", IF(I416="Cash", "EXCEPTION: Cash Line Void", "Standard Line Void"), IF(H416="No-Sale Drawer Opening", "DRAWER OPENING", "Standard Sale")))</f>
        <v/>
      </c>
    </row>
    <row r="417" ht="18" customHeight="1">
      <c r="A417" s="12" t="inlineStr">
        <is>
          <t>EVT-10340</t>
        </is>
      </c>
      <c r="B417" s="12" t="inlineStr">
        <is>
          <t>TX-80340</t>
        </is>
      </c>
      <c r="C417" s="24" t="n">
        <v>46309.56278935185</v>
      </c>
      <c r="D417" s="12" t="inlineStr">
        <is>
          <t>BR-02</t>
        </is>
      </c>
      <c r="E417" s="12" t="inlineStr">
        <is>
          <t>T-02</t>
        </is>
      </c>
      <c r="F417" s="12" t="inlineStr">
        <is>
          <t>C-106</t>
        </is>
      </c>
      <c r="G417" s="12" t="inlineStr">
        <is>
          <t>NONE</t>
        </is>
      </c>
      <c r="H417" s="11" t="inlineStr">
        <is>
          <t>Sale Tender</t>
        </is>
      </c>
      <c r="I417" s="12" t="inlineStr">
        <is>
          <t>Card</t>
        </is>
      </c>
      <c r="J417" s="20" t="n">
        <v>6</v>
      </c>
      <c r="K417" s="25" t="n">
        <v>78.63</v>
      </c>
      <c r="L417" s="25" t="n">
        <v>78.63</v>
      </c>
      <c r="M417" s="24" t="n">
        <v>46309.56186342592</v>
      </c>
      <c r="N417" s="26">
        <f>IFERROR(IF(OR(ISBLANK(M417), M417="", ISBLANK(C417), C417=""), 0, MAX(0, ROUND((C417-M417)*86400, 0))), 0)</f>
        <v/>
      </c>
      <c r="O417" s="11">
        <f>IF(H417="Post-Bill Void", IF(AND(G417="M-904", I417="Cash"), "EXCEPTION: Concurrent Cash Void", IF(AND(I417="Cash", N417&gt;120), "CRITICAL: Delayed Cash Void", IF(N417&gt;120, "EXCEPTION: Delayed Void", "Standard Void"))), IF(H417="Line Item Void", IF(I417="Cash", "EXCEPTION: Cash Line Void", "Standard Line Void"), IF(H417="No-Sale Drawer Opening", "DRAWER OPENING", "Standard Sale")))</f>
        <v/>
      </c>
    </row>
    <row r="418" ht="18" customHeight="1">
      <c r="A418" s="15" t="inlineStr">
        <is>
          <t>EVT-10341</t>
        </is>
      </c>
      <c r="B418" s="15" t="inlineStr">
        <is>
          <t>TX-80341</t>
        </is>
      </c>
      <c r="C418" s="27" t="n">
        <v>46309.56958333333</v>
      </c>
      <c r="D418" s="15" t="inlineStr">
        <is>
          <t>BR-04</t>
        </is>
      </c>
      <c r="E418" s="15" t="inlineStr">
        <is>
          <t>T-01</t>
        </is>
      </c>
      <c r="F418" s="15" t="inlineStr">
        <is>
          <t>C-115</t>
        </is>
      </c>
      <c r="G418" s="15" t="inlineStr">
        <is>
          <t>NONE</t>
        </is>
      </c>
      <c r="H418" s="14" t="inlineStr">
        <is>
          <t>Sale Tender</t>
        </is>
      </c>
      <c r="I418" s="15" t="inlineStr">
        <is>
          <t>Card</t>
        </is>
      </c>
      <c r="J418" s="17" t="n">
        <v>2</v>
      </c>
      <c r="K418" s="28" t="n">
        <v>21.18</v>
      </c>
      <c r="L418" s="28" t="n">
        <v>21.18</v>
      </c>
      <c r="M418" s="27" t="n">
        <v>46309.56929398148</v>
      </c>
      <c r="N418" s="29">
        <f>IFERROR(IF(OR(ISBLANK(M418), M418="", ISBLANK(C418), C418=""), 0, MAX(0, ROUND((C418-M418)*86400, 0))), 0)</f>
        <v/>
      </c>
      <c r="O418" s="14">
        <f>IF(H418="Post-Bill Void", IF(AND(G418="M-904", I418="Cash"), "EXCEPTION: Concurrent Cash Void", IF(AND(I418="Cash", N418&gt;120), "CRITICAL: Delayed Cash Void", IF(N418&gt;120, "EXCEPTION: Delayed Void", "Standard Void"))), IF(H418="Line Item Void", IF(I418="Cash", "EXCEPTION: Cash Line Void", "Standard Line Void"), IF(H418="No-Sale Drawer Opening", "DRAWER OPENING", "Standard Sale")))</f>
        <v/>
      </c>
    </row>
    <row r="419" ht="18" customHeight="1">
      <c r="A419" s="12" t="inlineStr">
        <is>
          <t>EVT-10342</t>
        </is>
      </c>
      <c r="B419" s="12" t="inlineStr">
        <is>
          <t>TX-80342</t>
        </is>
      </c>
      <c r="C419" s="24" t="n">
        <v>46309.57690972222</v>
      </c>
      <c r="D419" s="12" t="inlineStr">
        <is>
          <t>BR-01</t>
        </is>
      </c>
      <c r="E419" s="12" t="inlineStr">
        <is>
          <t>T-02</t>
        </is>
      </c>
      <c r="F419" s="12" t="inlineStr">
        <is>
          <t>C-101</t>
        </is>
      </c>
      <c r="G419" s="12" t="inlineStr">
        <is>
          <t>NONE</t>
        </is>
      </c>
      <c r="H419" s="11" t="inlineStr">
        <is>
          <t>Sale Tender</t>
        </is>
      </c>
      <c r="I419" s="12" t="inlineStr">
        <is>
          <t>Cash</t>
        </is>
      </c>
      <c r="J419" s="20" t="n">
        <v>3</v>
      </c>
      <c r="K419" s="25" t="n">
        <v>29.93</v>
      </c>
      <c r="L419" s="25" t="n">
        <v>29.93</v>
      </c>
      <c r="M419" s="24" t="n">
        <v>46309.57583333334</v>
      </c>
      <c r="N419" s="26">
        <f>IFERROR(IF(OR(ISBLANK(M419), M419="", ISBLANK(C419), C419=""), 0, MAX(0, ROUND((C419-M419)*86400, 0))), 0)</f>
        <v/>
      </c>
      <c r="O419" s="11">
        <f>IF(H419="Post-Bill Void", IF(AND(G419="M-904", I419="Cash"), "EXCEPTION: Concurrent Cash Void", IF(AND(I419="Cash", N419&gt;120), "CRITICAL: Delayed Cash Void", IF(N419&gt;120, "EXCEPTION: Delayed Void", "Standard Void"))), IF(H419="Line Item Void", IF(I419="Cash", "EXCEPTION: Cash Line Void", "Standard Line Void"), IF(H419="No-Sale Drawer Opening", "DRAWER OPENING", "Standard Sale")))</f>
        <v/>
      </c>
    </row>
    <row r="420" ht="18" customHeight="1">
      <c r="A420" s="15" t="inlineStr">
        <is>
          <t>EVT-10343</t>
        </is>
      </c>
      <c r="B420" s="15" t="inlineStr">
        <is>
          <t>TX-80343</t>
        </is>
      </c>
      <c r="C420" s="27" t="n">
        <v>46309.58341435185</v>
      </c>
      <c r="D420" s="15" t="inlineStr">
        <is>
          <t>BR-03</t>
        </is>
      </c>
      <c r="E420" s="15" t="inlineStr">
        <is>
          <t>T-01</t>
        </is>
      </c>
      <c r="F420" s="15" t="inlineStr">
        <is>
          <t>C-112</t>
        </is>
      </c>
      <c r="G420" s="15" t="inlineStr">
        <is>
          <t>NONE</t>
        </is>
      </c>
      <c r="H420" s="14" t="inlineStr">
        <is>
          <t>Sale Tender</t>
        </is>
      </c>
      <c r="I420" s="15" t="inlineStr">
        <is>
          <t>Card</t>
        </is>
      </c>
      <c r="J420" s="17" t="n">
        <v>5</v>
      </c>
      <c r="K420" s="28" t="n">
        <v>57.22</v>
      </c>
      <c r="L420" s="28" t="n">
        <v>57.22</v>
      </c>
      <c r="M420" s="27" t="n">
        <v>46309.58266203704</v>
      </c>
      <c r="N420" s="29">
        <f>IFERROR(IF(OR(ISBLANK(M420), M420="", ISBLANK(C420), C420=""), 0, MAX(0, ROUND((C420-M420)*86400, 0))), 0)</f>
        <v/>
      </c>
      <c r="O420" s="14">
        <f>IF(H420="Post-Bill Void", IF(AND(G420="M-904", I420="Cash"), "EXCEPTION: Concurrent Cash Void", IF(AND(I420="Cash", N420&gt;120), "CRITICAL: Delayed Cash Void", IF(N420&gt;120, "EXCEPTION: Delayed Void", "Standard Void"))), IF(H420="Line Item Void", IF(I420="Cash", "EXCEPTION: Cash Line Void", "Standard Line Void"), IF(H420="No-Sale Drawer Opening", "DRAWER OPENING", "Standard Sale")))</f>
        <v/>
      </c>
    </row>
    <row r="421" ht="18" customHeight="1">
      <c r="A421" s="12" t="inlineStr">
        <is>
          <t>EVT-10344</t>
        </is>
      </c>
      <c r="B421" s="12" t="inlineStr">
        <is>
          <t>TX-80344</t>
        </is>
      </c>
      <c r="C421" s="24" t="n">
        <v>46309.5903587963</v>
      </c>
      <c r="D421" s="12" t="inlineStr">
        <is>
          <t>BR-03</t>
        </is>
      </c>
      <c r="E421" s="12" t="inlineStr">
        <is>
          <t>T-02</t>
        </is>
      </c>
      <c r="F421" s="12" t="inlineStr">
        <is>
          <t>C-111</t>
        </is>
      </c>
      <c r="G421" s="12" t="inlineStr">
        <is>
          <t>NONE</t>
        </is>
      </c>
      <c r="H421" s="11" t="inlineStr">
        <is>
          <t>Sale Tender</t>
        </is>
      </c>
      <c r="I421" s="12" t="inlineStr">
        <is>
          <t>Card</t>
        </is>
      </c>
      <c r="J421" s="20" t="n">
        <v>6</v>
      </c>
      <c r="K421" s="25" t="n">
        <v>87.03</v>
      </c>
      <c r="L421" s="25" t="n">
        <v>87.03</v>
      </c>
      <c r="M421" s="24" t="n">
        <v>46309.58981481481</v>
      </c>
      <c r="N421" s="26">
        <f>IFERROR(IF(OR(ISBLANK(M421), M421="", ISBLANK(C421), C421=""), 0, MAX(0, ROUND((C421-M421)*86400, 0))), 0)</f>
        <v/>
      </c>
      <c r="O421" s="11">
        <f>IF(H421="Post-Bill Void", IF(AND(G421="M-904", I421="Cash"), "EXCEPTION: Concurrent Cash Void", IF(AND(I421="Cash", N421&gt;120), "CRITICAL: Delayed Cash Void", IF(N421&gt;120, "EXCEPTION: Delayed Void", "Standard Void"))), IF(H421="Line Item Void", IF(I421="Cash", "EXCEPTION: Cash Line Void", "Standard Line Void"), IF(H421="No-Sale Drawer Opening", "DRAWER OPENING", "Standard Sale")))</f>
        <v/>
      </c>
    </row>
    <row r="422" ht="18" customHeight="1">
      <c r="A422" s="15" t="inlineStr">
        <is>
          <t>EVT-10345</t>
        </is>
      </c>
      <c r="B422" s="15" t="inlineStr">
        <is>
          <t>TX-80345</t>
        </is>
      </c>
      <c r="C422" s="27" t="n">
        <v>46309.59789351852</v>
      </c>
      <c r="D422" s="15" t="inlineStr">
        <is>
          <t>BR-01</t>
        </is>
      </c>
      <c r="E422" s="15" t="inlineStr">
        <is>
          <t>T-01</t>
        </is>
      </c>
      <c r="F422" s="15" t="inlineStr">
        <is>
          <t>C-102</t>
        </is>
      </c>
      <c r="G422" s="15" t="inlineStr">
        <is>
          <t>NONE</t>
        </is>
      </c>
      <c r="H422" s="14" t="inlineStr">
        <is>
          <t>Sale Tender</t>
        </is>
      </c>
      <c r="I422" s="15" t="inlineStr">
        <is>
          <t>Cash</t>
        </is>
      </c>
      <c r="J422" s="17" t="n">
        <v>2</v>
      </c>
      <c r="K422" s="28" t="n">
        <v>22.6</v>
      </c>
      <c r="L422" s="28" t="n">
        <v>22.6</v>
      </c>
      <c r="M422" s="27" t="n">
        <v>46309.59725694444</v>
      </c>
      <c r="N422" s="29">
        <f>IFERROR(IF(OR(ISBLANK(M422), M422="", ISBLANK(C422), C422=""), 0, MAX(0, ROUND((C422-M422)*86400, 0))), 0)</f>
        <v/>
      </c>
      <c r="O422" s="14">
        <f>IF(H422="Post-Bill Void", IF(AND(G422="M-904", I422="Cash"), "EXCEPTION: Concurrent Cash Void", IF(AND(I422="Cash", N422&gt;120), "CRITICAL: Delayed Cash Void", IF(N422&gt;120, "EXCEPTION: Delayed Void", "Standard Void"))), IF(H422="Line Item Void", IF(I422="Cash", "EXCEPTION: Cash Line Void", "Standard Line Void"), IF(H422="No-Sale Drawer Opening", "DRAWER OPENING", "Standard Sale")))</f>
        <v/>
      </c>
    </row>
    <row r="423" ht="18" customHeight="1">
      <c r="A423" s="12" t="inlineStr">
        <is>
          <t>EVT-10346</t>
        </is>
      </c>
      <c r="B423" s="12" t="inlineStr">
        <is>
          <t>TX-80346</t>
        </is>
      </c>
      <c r="C423" s="24" t="n">
        <v>46309.60427083333</v>
      </c>
      <c r="D423" s="12" t="inlineStr">
        <is>
          <t>BR-04</t>
        </is>
      </c>
      <c r="E423" s="12" t="inlineStr">
        <is>
          <t>T-01</t>
        </is>
      </c>
      <c r="F423" s="12" t="inlineStr">
        <is>
          <t>C-114</t>
        </is>
      </c>
      <c r="G423" s="12" t="inlineStr">
        <is>
          <t>NONE</t>
        </is>
      </c>
      <c r="H423" s="11" t="inlineStr">
        <is>
          <t>Sale Tender</t>
        </is>
      </c>
      <c r="I423" s="12" t="inlineStr">
        <is>
          <t>Card</t>
        </is>
      </c>
      <c r="J423" s="20" t="n">
        <v>4</v>
      </c>
      <c r="K423" s="25" t="n">
        <v>53.07</v>
      </c>
      <c r="L423" s="25" t="n">
        <v>53.07</v>
      </c>
      <c r="M423" s="24" t="n">
        <v>46309.60341435186</v>
      </c>
      <c r="N423" s="26">
        <f>IFERROR(IF(OR(ISBLANK(M423), M423="", ISBLANK(C423), C423=""), 0, MAX(0, ROUND((C423-M423)*86400, 0))), 0)</f>
        <v/>
      </c>
      <c r="O423" s="11">
        <f>IF(H423="Post-Bill Void", IF(AND(G423="M-904", I423="Cash"), "EXCEPTION: Concurrent Cash Void", IF(AND(I423="Cash", N423&gt;120), "CRITICAL: Delayed Cash Void", IF(N423&gt;120, "EXCEPTION: Delayed Void", "Standard Void"))), IF(H423="Line Item Void", IF(I423="Cash", "EXCEPTION: Cash Line Void", "Standard Line Void"), IF(H423="No-Sale Drawer Opening", "DRAWER OPENING", "Standard Sale")))</f>
        <v/>
      </c>
    </row>
    <row r="424" ht="18" customHeight="1">
      <c r="A424" s="15" t="inlineStr">
        <is>
          <t>EVT-10347</t>
        </is>
      </c>
      <c r="B424" s="15" t="inlineStr">
        <is>
          <t>TX-80347</t>
        </is>
      </c>
      <c r="C424" s="27" t="n">
        <v>46309.61162037037</v>
      </c>
      <c r="D424" s="15" t="inlineStr">
        <is>
          <t>BR-02</t>
        </is>
      </c>
      <c r="E424" s="15" t="inlineStr">
        <is>
          <t>T-01</t>
        </is>
      </c>
      <c r="F424" s="15" t="inlineStr">
        <is>
          <t>C-106</t>
        </is>
      </c>
      <c r="G424" s="15" t="inlineStr">
        <is>
          <t>NONE</t>
        </is>
      </c>
      <c r="H424" s="14" t="inlineStr">
        <is>
          <t>Sale Tender</t>
        </is>
      </c>
      <c r="I424" s="15" t="inlineStr">
        <is>
          <t>Cash</t>
        </is>
      </c>
      <c r="J424" s="17" t="n">
        <v>4</v>
      </c>
      <c r="K424" s="28" t="n">
        <v>52.58</v>
      </c>
      <c r="L424" s="28" t="n">
        <v>52.58</v>
      </c>
      <c r="M424" s="27" t="n">
        <v>46309.61113425926</v>
      </c>
      <c r="N424" s="29">
        <f>IFERROR(IF(OR(ISBLANK(M424), M424="", ISBLANK(C424), C424=""), 0, MAX(0, ROUND((C424-M424)*86400, 0))), 0)</f>
        <v/>
      </c>
      <c r="O424" s="14">
        <f>IF(H424="Post-Bill Void", IF(AND(G424="M-904", I424="Cash"), "EXCEPTION: Concurrent Cash Void", IF(AND(I424="Cash", N424&gt;120), "CRITICAL: Delayed Cash Void", IF(N424&gt;120, "EXCEPTION: Delayed Void", "Standard Void"))), IF(H424="Line Item Void", IF(I424="Cash", "EXCEPTION: Cash Line Void", "Standard Line Void"), IF(H424="No-Sale Drawer Opening", "DRAWER OPENING", "Standard Sale")))</f>
        <v/>
      </c>
    </row>
    <row r="425" ht="18" customHeight="1">
      <c r="A425" s="12" t="inlineStr">
        <is>
          <t>EVT-10348</t>
        </is>
      </c>
      <c r="B425" s="12" t="inlineStr">
        <is>
          <t>TX-80348</t>
        </is>
      </c>
      <c r="C425" s="24" t="n">
        <v>46309.61869212963</v>
      </c>
      <c r="D425" s="12" t="inlineStr">
        <is>
          <t>BR-03</t>
        </is>
      </c>
      <c r="E425" s="12" t="inlineStr">
        <is>
          <t>T-01</t>
        </is>
      </c>
      <c r="F425" s="12" t="inlineStr">
        <is>
          <t>C-109</t>
        </is>
      </c>
      <c r="G425" s="12" t="inlineStr">
        <is>
          <t>NONE</t>
        </is>
      </c>
      <c r="H425" s="11" t="inlineStr">
        <is>
          <t>Sale Tender</t>
        </is>
      </c>
      <c r="I425" s="12" t="inlineStr">
        <is>
          <t>Card</t>
        </is>
      </c>
      <c r="J425" s="20" t="n">
        <v>5</v>
      </c>
      <c r="K425" s="25" t="n">
        <v>61.45</v>
      </c>
      <c r="L425" s="25" t="n">
        <v>61.45</v>
      </c>
      <c r="M425" s="24" t="n">
        <v>46309.618125</v>
      </c>
      <c r="N425" s="26">
        <f>IFERROR(IF(OR(ISBLANK(M425), M425="", ISBLANK(C425), C425=""), 0, MAX(0, ROUND((C425-M425)*86400, 0))), 0)</f>
        <v/>
      </c>
      <c r="O425" s="11">
        <f>IF(H425="Post-Bill Void", IF(AND(G425="M-904", I425="Cash"), "EXCEPTION: Concurrent Cash Void", IF(AND(I425="Cash", N425&gt;120), "CRITICAL: Delayed Cash Void", IF(N425&gt;120, "EXCEPTION: Delayed Void", "Standard Void"))), IF(H425="Line Item Void", IF(I425="Cash", "EXCEPTION: Cash Line Void", "Standard Line Void"), IF(H425="No-Sale Drawer Opening", "DRAWER OPENING", "Standard Sale")))</f>
        <v/>
      </c>
    </row>
    <row r="426" ht="18" customHeight="1">
      <c r="A426" s="15" t="inlineStr">
        <is>
          <t>EVT-10349</t>
        </is>
      </c>
      <c r="B426" s="15" t="inlineStr">
        <is>
          <t>TX-80349</t>
        </is>
      </c>
      <c r="C426" s="27" t="n">
        <v>46309.62535879629</v>
      </c>
      <c r="D426" s="15" t="inlineStr">
        <is>
          <t>BR-04</t>
        </is>
      </c>
      <c r="E426" s="15" t="inlineStr">
        <is>
          <t>T-01</t>
        </is>
      </c>
      <c r="F426" s="15" t="inlineStr">
        <is>
          <t>C-115</t>
        </is>
      </c>
      <c r="G426" s="15" t="inlineStr">
        <is>
          <t>NONE</t>
        </is>
      </c>
      <c r="H426" s="14" t="inlineStr">
        <is>
          <t>Sale Tender</t>
        </is>
      </c>
      <c r="I426" s="15" t="inlineStr">
        <is>
          <t>Card</t>
        </is>
      </c>
      <c r="J426" s="17" t="n">
        <v>1</v>
      </c>
      <c r="K426" s="28" t="n">
        <v>12.74</v>
      </c>
      <c r="L426" s="28" t="n">
        <v>12.74</v>
      </c>
      <c r="M426" s="27" t="n">
        <v>46309.6244212963</v>
      </c>
      <c r="N426" s="29">
        <f>IFERROR(IF(OR(ISBLANK(M426), M426="", ISBLANK(C426), C426=""), 0, MAX(0, ROUND((C426-M426)*86400, 0))), 0)</f>
        <v/>
      </c>
      <c r="O426" s="14">
        <f>IF(H426="Post-Bill Void", IF(AND(G426="M-904", I426="Cash"), "EXCEPTION: Concurrent Cash Void", IF(AND(I426="Cash", N426&gt;120), "CRITICAL: Delayed Cash Void", IF(N426&gt;120, "EXCEPTION: Delayed Void", "Standard Void"))), IF(H426="Line Item Void", IF(I426="Cash", "EXCEPTION: Cash Line Void", "Standard Line Void"), IF(H426="No-Sale Drawer Opening", "DRAWER OPENING", "Standard Sale")))</f>
        <v/>
      </c>
    </row>
    <row r="427" ht="18" customHeight="1">
      <c r="A427" s="12" t="inlineStr">
        <is>
          <t>EVT-10350</t>
        </is>
      </c>
      <c r="B427" s="12" t="inlineStr">
        <is>
          <t>TX-80350</t>
        </is>
      </c>
      <c r="C427" s="24" t="n">
        <v>46309.63252314815</v>
      </c>
      <c r="D427" s="12" t="inlineStr">
        <is>
          <t>BR-02</t>
        </is>
      </c>
      <c r="E427" s="12" t="inlineStr">
        <is>
          <t>T-01</t>
        </is>
      </c>
      <c r="F427" s="12" t="inlineStr">
        <is>
          <t>C-107</t>
        </is>
      </c>
      <c r="G427" s="12" t="inlineStr">
        <is>
          <t>NONE</t>
        </is>
      </c>
      <c r="H427" s="11" t="inlineStr">
        <is>
          <t>Sale Tender</t>
        </is>
      </c>
      <c r="I427" s="12" t="inlineStr">
        <is>
          <t>Card</t>
        </is>
      </c>
      <c r="J427" s="20" t="n">
        <v>2</v>
      </c>
      <c r="K427" s="25" t="n">
        <v>28.71</v>
      </c>
      <c r="L427" s="25" t="n">
        <v>28.71</v>
      </c>
      <c r="M427" s="24" t="n">
        <v>46309.63190972222</v>
      </c>
      <c r="N427" s="26">
        <f>IFERROR(IF(OR(ISBLANK(M427), M427="", ISBLANK(C427), C427=""), 0, MAX(0, ROUND((C427-M427)*86400, 0))), 0)</f>
        <v/>
      </c>
      <c r="O427" s="11">
        <f>IF(H427="Post-Bill Void", IF(AND(G427="M-904", I427="Cash"), "EXCEPTION: Concurrent Cash Void", IF(AND(I427="Cash", N427&gt;120), "CRITICAL: Delayed Cash Void", IF(N427&gt;120, "EXCEPTION: Delayed Void", "Standard Void"))), IF(H427="Line Item Void", IF(I427="Cash", "EXCEPTION: Cash Line Void", "Standard Line Void"), IF(H427="No-Sale Drawer Opening", "DRAWER OPENING", "Standard Sale")))</f>
        <v/>
      </c>
    </row>
    <row r="428" ht="18" customHeight="1">
      <c r="A428" s="15" t="inlineStr">
        <is>
          <t>EVT-10351</t>
        </is>
      </c>
      <c r="B428" s="15" t="inlineStr">
        <is>
          <t>TX-80351</t>
        </is>
      </c>
      <c r="C428" s="27" t="n">
        <v>46309.63930555555</v>
      </c>
      <c r="D428" s="15" t="inlineStr">
        <is>
          <t>BR-04</t>
        </is>
      </c>
      <c r="E428" s="15" t="inlineStr">
        <is>
          <t>T-01</t>
        </is>
      </c>
      <c r="F428" s="15" t="inlineStr">
        <is>
          <t>C-115</t>
        </is>
      </c>
      <c r="G428" s="15" t="inlineStr">
        <is>
          <t>NONE</t>
        </is>
      </c>
      <c r="H428" s="14" t="inlineStr">
        <is>
          <t>Sale Tender</t>
        </is>
      </c>
      <c r="I428" s="15" t="inlineStr">
        <is>
          <t>Cash</t>
        </is>
      </c>
      <c r="J428" s="17" t="n">
        <v>5</v>
      </c>
      <c r="K428" s="28" t="n">
        <v>73.37</v>
      </c>
      <c r="L428" s="28" t="n">
        <v>73.37</v>
      </c>
      <c r="M428" s="27" t="n">
        <v>46309.63885416667</v>
      </c>
      <c r="N428" s="29">
        <f>IFERROR(IF(OR(ISBLANK(M428), M428="", ISBLANK(C428), C428=""), 0, MAX(0, ROUND((C428-M428)*86400, 0))), 0)</f>
        <v/>
      </c>
      <c r="O428" s="14">
        <f>IF(H428="Post-Bill Void", IF(AND(G428="M-904", I428="Cash"), "EXCEPTION: Concurrent Cash Void", IF(AND(I428="Cash", N428&gt;120), "CRITICAL: Delayed Cash Void", IF(N428&gt;120, "EXCEPTION: Delayed Void", "Standard Void"))), IF(H428="Line Item Void", IF(I428="Cash", "EXCEPTION: Cash Line Void", "Standard Line Void"), IF(H428="No-Sale Drawer Opening", "DRAWER OPENING", "Standard Sale")))</f>
        <v/>
      </c>
    </row>
    <row r="429" ht="18" customHeight="1">
      <c r="A429" s="12" t="inlineStr">
        <is>
          <t>EVT-10352</t>
        </is>
      </c>
      <c r="B429" s="12" t="inlineStr">
        <is>
          <t>TX-80352</t>
        </is>
      </c>
      <c r="C429" s="24" t="n">
        <v>46309.64609953704</v>
      </c>
      <c r="D429" s="12" t="inlineStr">
        <is>
          <t>BR-01</t>
        </is>
      </c>
      <c r="E429" s="12" t="inlineStr">
        <is>
          <t>T-01</t>
        </is>
      </c>
      <c r="F429" s="12" t="inlineStr">
        <is>
          <t>C-104</t>
        </is>
      </c>
      <c r="G429" s="12" t="inlineStr">
        <is>
          <t>NONE</t>
        </is>
      </c>
      <c r="H429" s="11" t="inlineStr">
        <is>
          <t>Sale Tender</t>
        </is>
      </c>
      <c r="I429" s="12" t="inlineStr">
        <is>
          <t>Cash</t>
        </is>
      </c>
      <c r="J429" s="20" t="n">
        <v>6</v>
      </c>
      <c r="K429" s="25" t="n">
        <v>84.81</v>
      </c>
      <c r="L429" s="25" t="n">
        <v>84.81</v>
      </c>
      <c r="M429" s="24" t="n">
        <v>46309.64518518518</v>
      </c>
      <c r="N429" s="26">
        <f>IFERROR(IF(OR(ISBLANK(M429), M429="", ISBLANK(C429), C429=""), 0, MAX(0, ROUND((C429-M429)*86400, 0))), 0)</f>
        <v/>
      </c>
      <c r="O429" s="11">
        <f>IF(H429="Post-Bill Void", IF(AND(G429="M-904", I429="Cash"), "EXCEPTION: Concurrent Cash Void", IF(AND(I429="Cash", N429&gt;120), "CRITICAL: Delayed Cash Void", IF(N429&gt;120, "EXCEPTION: Delayed Void", "Standard Void"))), IF(H429="Line Item Void", IF(I429="Cash", "EXCEPTION: Cash Line Void", "Standard Line Void"), IF(H429="No-Sale Drawer Opening", "DRAWER OPENING", "Standard Sale")))</f>
        <v/>
      </c>
    </row>
    <row r="430" ht="18" customHeight="1">
      <c r="A430" s="15" t="inlineStr">
        <is>
          <t>EVT-10353</t>
        </is>
      </c>
      <c r="B430" s="15" t="inlineStr">
        <is>
          <t>TX-80353</t>
        </is>
      </c>
      <c r="C430" s="27" t="n">
        <v>46309.65299768518</v>
      </c>
      <c r="D430" s="15" t="inlineStr">
        <is>
          <t>BR-01</t>
        </is>
      </c>
      <c r="E430" s="15" t="inlineStr">
        <is>
          <t>T-01</t>
        </is>
      </c>
      <c r="F430" s="15" t="inlineStr">
        <is>
          <t>C-104</t>
        </is>
      </c>
      <c r="G430" s="15" t="inlineStr">
        <is>
          <t>NONE</t>
        </is>
      </c>
      <c r="H430" s="14" t="inlineStr">
        <is>
          <t>Sale Tender</t>
        </is>
      </c>
      <c r="I430" s="15" t="inlineStr">
        <is>
          <t>Card</t>
        </is>
      </c>
      <c r="J430" s="17" t="n">
        <v>1</v>
      </c>
      <c r="K430" s="28" t="n">
        <v>14.32</v>
      </c>
      <c r="L430" s="28" t="n">
        <v>14.32</v>
      </c>
      <c r="M430" s="27" t="n">
        <v>46309.65258101852</v>
      </c>
      <c r="N430" s="29">
        <f>IFERROR(IF(OR(ISBLANK(M430), M430="", ISBLANK(C430), C430=""), 0, MAX(0, ROUND((C430-M430)*86400, 0))), 0)</f>
        <v/>
      </c>
      <c r="O430" s="14">
        <f>IF(H430="Post-Bill Void", IF(AND(G430="M-904", I430="Cash"), "EXCEPTION: Concurrent Cash Void", IF(AND(I430="Cash", N430&gt;120), "CRITICAL: Delayed Cash Void", IF(N430&gt;120, "EXCEPTION: Delayed Void", "Standard Void"))), IF(H430="Line Item Void", IF(I430="Cash", "EXCEPTION: Cash Line Void", "Standard Line Void"), IF(H430="No-Sale Drawer Opening", "DRAWER OPENING", "Standard Sale")))</f>
        <v/>
      </c>
    </row>
    <row r="431" ht="18" customHeight="1">
      <c r="A431" s="12" t="inlineStr">
        <is>
          <t>EVT-10354</t>
        </is>
      </c>
      <c r="B431" s="12" t="inlineStr">
        <is>
          <t>TX-80354</t>
        </is>
      </c>
      <c r="C431" s="24" t="n">
        <v>46309.65989583333</v>
      </c>
      <c r="D431" s="12" t="inlineStr">
        <is>
          <t>BR-02</t>
        </is>
      </c>
      <c r="E431" s="12" t="inlineStr">
        <is>
          <t>T-02</t>
        </is>
      </c>
      <c r="F431" s="12" t="inlineStr">
        <is>
          <t>C-107</t>
        </is>
      </c>
      <c r="G431" s="12" t="inlineStr">
        <is>
          <t>NONE</t>
        </is>
      </c>
      <c r="H431" s="11" t="inlineStr">
        <is>
          <t>Sale Tender</t>
        </is>
      </c>
      <c r="I431" s="12" t="inlineStr">
        <is>
          <t>Cash</t>
        </is>
      </c>
      <c r="J431" s="20" t="n">
        <v>2</v>
      </c>
      <c r="K431" s="25" t="n">
        <v>28.77</v>
      </c>
      <c r="L431" s="25" t="n">
        <v>28.77</v>
      </c>
      <c r="M431" s="24" t="n">
        <v>46309.65898148148</v>
      </c>
      <c r="N431" s="26">
        <f>IFERROR(IF(OR(ISBLANK(M431), M431="", ISBLANK(C431), C431=""), 0, MAX(0, ROUND((C431-M431)*86400, 0))), 0)</f>
        <v/>
      </c>
      <c r="O431" s="11">
        <f>IF(H431="Post-Bill Void", IF(AND(G431="M-904", I431="Cash"), "EXCEPTION: Concurrent Cash Void", IF(AND(I431="Cash", N431&gt;120), "CRITICAL: Delayed Cash Void", IF(N431&gt;120, "EXCEPTION: Delayed Void", "Standard Void"))), IF(H431="Line Item Void", IF(I431="Cash", "EXCEPTION: Cash Line Void", "Standard Line Void"), IF(H431="No-Sale Drawer Opening", "DRAWER OPENING", "Standard Sale")))</f>
        <v/>
      </c>
    </row>
    <row r="432" ht="18" customHeight="1">
      <c r="A432" s="15" t="inlineStr">
        <is>
          <t>EVT-10355</t>
        </is>
      </c>
      <c r="B432" s="15" t="inlineStr">
        <is>
          <t>TX-80355</t>
        </is>
      </c>
      <c r="C432" s="27" t="n">
        <v>46309.66726851852</v>
      </c>
      <c r="D432" s="15" t="inlineStr">
        <is>
          <t>BR-02</t>
        </is>
      </c>
      <c r="E432" s="15" t="inlineStr">
        <is>
          <t>T-01</t>
        </is>
      </c>
      <c r="F432" s="15" t="inlineStr">
        <is>
          <t>C-105</t>
        </is>
      </c>
      <c r="G432" s="15" t="inlineStr">
        <is>
          <t>NONE</t>
        </is>
      </c>
      <c r="H432" s="14" t="inlineStr">
        <is>
          <t>Sale Tender</t>
        </is>
      </c>
      <c r="I432" s="15" t="inlineStr">
        <is>
          <t>Cash</t>
        </is>
      </c>
      <c r="J432" s="17" t="n">
        <v>5</v>
      </c>
      <c r="K432" s="28" t="n">
        <v>48.81</v>
      </c>
      <c r="L432" s="28" t="n">
        <v>48.81</v>
      </c>
      <c r="M432" s="27" t="n">
        <v>46309.66619212963</v>
      </c>
      <c r="N432" s="29">
        <f>IFERROR(IF(OR(ISBLANK(M432), M432="", ISBLANK(C432), C432=""), 0, MAX(0, ROUND((C432-M432)*86400, 0))), 0)</f>
        <v/>
      </c>
      <c r="O432" s="14">
        <f>IF(H432="Post-Bill Void", IF(AND(G432="M-904", I432="Cash"), "EXCEPTION: Concurrent Cash Void", IF(AND(I432="Cash", N432&gt;120), "CRITICAL: Delayed Cash Void", IF(N432&gt;120, "EXCEPTION: Delayed Void", "Standard Void"))), IF(H432="Line Item Void", IF(I432="Cash", "EXCEPTION: Cash Line Void", "Standard Line Void"), IF(H432="No-Sale Drawer Opening", "DRAWER OPENING", "Standard Sale")))</f>
        <v/>
      </c>
    </row>
    <row r="433" ht="18" customHeight="1">
      <c r="A433" s="12" t="inlineStr">
        <is>
          <t>EVT-10356</t>
        </is>
      </c>
      <c r="B433" s="12" t="inlineStr">
        <is>
          <t>TX-80356</t>
        </is>
      </c>
      <c r="C433" s="24" t="n">
        <v>46309.67413194444</v>
      </c>
      <c r="D433" s="12" t="inlineStr">
        <is>
          <t>BR-03</t>
        </is>
      </c>
      <c r="E433" s="12" t="inlineStr">
        <is>
          <t>T-01</t>
        </is>
      </c>
      <c r="F433" s="12" t="inlineStr">
        <is>
          <t>C-111</t>
        </is>
      </c>
      <c r="G433" s="12" t="inlineStr">
        <is>
          <t>NONE</t>
        </is>
      </c>
      <c r="H433" s="11" t="inlineStr">
        <is>
          <t>Sale Tender</t>
        </is>
      </c>
      <c r="I433" s="12" t="inlineStr">
        <is>
          <t>Delivery Aggregator</t>
        </is>
      </c>
      <c r="J433" s="20" t="n">
        <v>6</v>
      </c>
      <c r="K433" s="25" t="n">
        <v>87.68000000000001</v>
      </c>
      <c r="L433" s="25" t="n">
        <v>87.68000000000001</v>
      </c>
      <c r="M433" s="24" t="n">
        <v>46309.67309027778</v>
      </c>
      <c r="N433" s="26">
        <f>IFERROR(IF(OR(ISBLANK(M433), M433="", ISBLANK(C433), C433=""), 0, MAX(0, ROUND((C433-M433)*86400, 0))), 0)</f>
        <v/>
      </c>
      <c r="O433" s="11">
        <f>IF(H433="Post-Bill Void", IF(AND(G433="M-904", I433="Cash"), "EXCEPTION: Concurrent Cash Void", IF(AND(I433="Cash", N433&gt;120), "CRITICAL: Delayed Cash Void", IF(N433&gt;120, "EXCEPTION: Delayed Void", "Standard Void"))), IF(H433="Line Item Void", IF(I433="Cash", "EXCEPTION: Cash Line Void", "Standard Line Void"), IF(H433="No-Sale Drawer Opening", "DRAWER OPENING", "Standard Sale")))</f>
        <v/>
      </c>
    </row>
    <row r="434" ht="18" customHeight="1">
      <c r="A434" s="15" t="inlineStr">
        <is>
          <t>EVT-10357</t>
        </is>
      </c>
      <c r="B434" s="15" t="inlineStr">
        <is>
          <t>TX-80357</t>
        </is>
      </c>
      <c r="C434" s="27" t="n">
        <v>46309.68064814815</v>
      </c>
      <c r="D434" s="15" t="inlineStr">
        <is>
          <t>BR-04</t>
        </is>
      </c>
      <c r="E434" s="15" t="inlineStr">
        <is>
          <t>T-02</t>
        </is>
      </c>
      <c r="F434" s="15" t="inlineStr">
        <is>
          <t>C-113</t>
        </is>
      </c>
      <c r="G434" s="15" t="inlineStr">
        <is>
          <t>NONE</t>
        </is>
      </c>
      <c r="H434" s="14" t="inlineStr">
        <is>
          <t>Sale Tender</t>
        </is>
      </c>
      <c r="I434" s="15" t="inlineStr">
        <is>
          <t>Card</t>
        </is>
      </c>
      <c r="J434" s="17" t="n">
        <v>2</v>
      </c>
      <c r="K434" s="28" t="n">
        <v>20.75</v>
      </c>
      <c r="L434" s="28" t="n">
        <v>20.75</v>
      </c>
      <c r="M434" s="27" t="n">
        <v>46309.68017361111</v>
      </c>
      <c r="N434" s="29">
        <f>IFERROR(IF(OR(ISBLANK(M434), M434="", ISBLANK(C434), C434=""), 0, MAX(0, ROUND((C434-M434)*86400, 0))), 0)</f>
        <v/>
      </c>
      <c r="O434" s="14">
        <f>IF(H434="Post-Bill Void", IF(AND(G434="M-904", I434="Cash"), "EXCEPTION: Concurrent Cash Void", IF(AND(I434="Cash", N434&gt;120), "CRITICAL: Delayed Cash Void", IF(N434&gt;120, "EXCEPTION: Delayed Void", "Standard Void"))), IF(H434="Line Item Void", IF(I434="Cash", "EXCEPTION: Cash Line Void", "Standard Line Void"), IF(H434="No-Sale Drawer Opening", "DRAWER OPENING", "Standard Sale")))</f>
        <v/>
      </c>
    </row>
    <row r="435" ht="18" customHeight="1">
      <c r="A435" s="12" t="inlineStr">
        <is>
          <t>EVT-10358</t>
        </is>
      </c>
      <c r="B435" s="12" t="inlineStr">
        <is>
          <t>TX-80358</t>
        </is>
      </c>
      <c r="C435" s="24" t="n">
        <v>46309.68802083333</v>
      </c>
      <c r="D435" s="12" t="inlineStr">
        <is>
          <t>BR-03</t>
        </is>
      </c>
      <c r="E435" s="12" t="inlineStr">
        <is>
          <t>T-02</t>
        </is>
      </c>
      <c r="F435" s="12" t="inlineStr">
        <is>
          <t>C-110</t>
        </is>
      </c>
      <c r="G435" s="12" t="inlineStr">
        <is>
          <t>NONE</t>
        </is>
      </c>
      <c r="H435" s="11" t="inlineStr">
        <is>
          <t>Sale Tender</t>
        </is>
      </c>
      <c r="I435" s="12" t="inlineStr">
        <is>
          <t>Card</t>
        </is>
      </c>
      <c r="J435" s="20" t="n">
        <v>5</v>
      </c>
      <c r="K435" s="25" t="n">
        <v>66.22</v>
      </c>
      <c r="L435" s="25" t="n">
        <v>66.22</v>
      </c>
      <c r="M435" s="24" t="n">
        <v>46309.68715277778</v>
      </c>
      <c r="N435" s="26">
        <f>IFERROR(IF(OR(ISBLANK(M435), M435="", ISBLANK(C435), C435=""), 0, MAX(0, ROUND((C435-M435)*86400, 0))), 0)</f>
        <v/>
      </c>
      <c r="O435" s="11">
        <f>IF(H435="Post-Bill Void", IF(AND(G435="M-904", I435="Cash"), "EXCEPTION: Concurrent Cash Void", IF(AND(I435="Cash", N435&gt;120), "CRITICAL: Delayed Cash Void", IF(N435&gt;120, "EXCEPTION: Delayed Void", "Standard Void"))), IF(H435="Line Item Void", IF(I435="Cash", "EXCEPTION: Cash Line Void", "Standard Line Void"), IF(H435="No-Sale Drawer Opening", "DRAWER OPENING", "Standard Sale")))</f>
        <v/>
      </c>
    </row>
    <row r="436" ht="18" customHeight="1">
      <c r="A436" s="15" t="inlineStr">
        <is>
          <t>EVT-10359</t>
        </is>
      </c>
      <c r="B436" s="15" t="inlineStr">
        <is>
          <t>TX-80359</t>
        </is>
      </c>
      <c r="C436" s="27" t="n">
        <v>46309.69490740741</v>
      </c>
      <c r="D436" s="15" t="inlineStr">
        <is>
          <t>BR-04</t>
        </is>
      </c>
      <c r="E436" s="15" t="inlineStr">
        <is>
          <t>T-01</t>
        </is>
      </c>
      <c r="F436" s="15" t="inlineStr">
        <is>
          <t>C-114</t>
        </is>
      </c>
      <c r="G436" s="15" t="inlineStr">
        <is>
          <t>NONE</t>
        </is>
      </c>
      <c r="H436" s="14" t="inlineStr">
        <is>
          <t>Sale Tender</t>
        </is>
      </c>
      <c r="I436" s="15" t="inlineStr">
        <is>
          <t>Card</t>
        </is>
      </c>
      <c r="J436" s="17" t="n">
        <v>6</v>
      </c>
      <c r="K436" s="28" t="n">
        <v>63.52</v>
      </c>
      <c r="L436" s="28" t="n">
        <v>63.52</v>
      </c>
      <c r="M436" s="27" t="n">
        <v>46309.69449074074</v>
      </c>
      <c r="N436" s="29">
        <f>IFERROR(IF(OR(ISBLANK(M436), M436="", ISBLANK(C436), C436=""), 0, MAX(0, ROUND((C436-M436)*86400, 0))), 0)</f>
        <v/>
      </c>
      <c r="O436" s="14">
        <f>IF(H436="Post-Bill Void", IF(AND(G436="M-904", I436="Cash"), "EXCEPTION: Concurrent Cash Void", IF(AND(I436="Cash", N436&gt;120), "CRITICAL: Delayed Cash Void", IF(N436&gt;120, "EXCEPTION: Delayed Void", "Standard Void"))), IF(H436="Line Item Void", IF(I436="Cash", "EXCEPTION: Cash Line Void", "Standard Line Void"), IF(H436="No-Sale Drawer Opening", "DRAWER OPENING", "Standard Sale")))</f>
        <v/>
      </c>
    </row>
    <row r="437" ht="18" customHeight="1">
      <c r="A437" s="12" t="inlineStr">
        <is>
          <t>EVT-10360</t>
        </is>
      </c>
      <c r="B437" s="12" t="inlineStr">
        <is>
          <t>TX-80360</t>
        </is>
      </c>
      <c r="C437" s="24" t="n">
        <v>46309.70207175926</v>
      </c>
      <c r="D437" s="12" t="inlineStr">
        <is>
          <t>BR-03</t>
        </is>
      </c>
      <c r="E437" s="12" t="inlineStr">
        <is>
          <t>T-02</t>
        </is>
      </c>
      <c r="F437" s="12" t="inlineStr">
        <is>
          <t>C-112</t>
        </is>
      </c>
      <c r="G437" s="12" t="inlineStr">
        <is>
          <t>NONE</t>
        </is>
      </c>
      <c r="H437" s="11" t="inlineStr">
        <is>
          <t>Sale Tender</t>
        </is>
      </c>
      <c r="I437" s="12" t="inlineStr">
        <is>
          <t>Card</t>
        </is>
      </c>
      <c r="J437" s="20" t="n">
        <v>6</v>
      </c>
      <c r="K437" s="25" t="n">
        <v>55.19</v>
      </c>
      <c r="L437" s="25" t="n">
        <v>55.19</v>
      </c>
      <c r="M437" s="24" t="n">
        <v>46309.70130787037</v>
      </c>
      <c r="N437" s="26">
        <f>IFERROR(IF(OR(ISBLANK(M437), M437="", ISBLANK(C437), C437=""), 0, MAX(0, ROUND((C437-M437)*86400, 0))), 0)</f>
        <v/>
      </c>
      <c r="O437" s="11">
        <f>IF(H437="Post-Bill Void", IF(AND(G437="M-904", I437="Cash"), "EXCEPTION: Concurrent Cash Void", IF(AND(I437="Cash", N437&gt;120), "CRITICAL: Delayed Cash Void", IF(N437&gt;120, "EXCEPTION: Delayed Void", "Standard Void"))), IF(H437="Line Item Void", IF(I437="Cash", "EXCEPTION: Cash Line Void", "Standard Line Void"), IF(H437="No-Sale Drawer Opening", "DRAWER OPENING", "Standard Sale")))</f>
        <v/>
      </c>
    </row>
    <row r="438" ht="18" customHeight="1">
      <c r="A438" s="15" t="inlineStr">
        <is>
          <t>EVT-10361</t>
        </is>
      </c>
      <c r="B438" s="15" t="inlineStr">
        <is>
          <t>TX-80361</t>
        </is>
      </c>
      <c r="C438" s="27" t="n">
        <v>46309.70866898148</v>
      </c>
      <c r="D438" s="15" t="inlineStr">
        <is>
          <t>BR-03</t>
        </is>
      </c>
      <c r="E438" s="15" t="inlineStr">
        <is>
          <t>T-02</t>
        </is>
      </c>
      <c r="F438" s="15" t="inlineStr">
        <is>
          <t>C-109</t>
        </is>
      </c>
      <c r="G438" s="15" t="inlineStr">
        <is>
          <t>NONE</t>
        </is>
      </c>
      <c r="H438" s="14" t="inlineStr">
        <is>
          <t>Sale Tender</t>
        </is>
      </c>
      <c r="I438" s="15" t="inlineStr">
        <is>
          <t>Cash</t>
        </is>
      </c>
      <c r="J438" s="17" t="n">
        <v>4</v>
      </c>
      <c r="K438" s="28" t="n">
        <v>58.75</v>
      </c>
      <c r="L438" s="28" t="n">
        <v>58.75</v>
      </c>
      <c r="M438" s="27" t="n">
        <v>46309.70780092593</v>
      </c>
      <c r="N438" s="29">
        <f>IFERROR(IF(OR(ISBLANK(M438), M438="", ISBLANK(C438), C438=""), 0, MAX(0, ROUND((C438-M438)*86400, 0))), 0)</f>
        <v/>
      </c>
      <c r="O438" s="14">
        <f>IF(H438="Post-Bill Void", IF(AND(G438="M-904", I438="Cash"), "EXCEPTION: Concurrent Cash Void", IF(AND(I438="Cash", N438&gt;120), "CRITICAL: Delayed Cash Void", IF(N438&gt;120, "EXCEPTION: Delayed Void", "Standard Void"))), IF(H438="Line Item Void", IF(I438="Cash", "EXCEPTION: Cash Line Void", "Standard Line Void"), IF(H438="No-Sale Drawer Opening", "DRAWER OPENING", "Standard Sale")))</f>
        <v/>
      </c>
    </row>
    <row r="439" ht="18" customHeight="1">
      <c r="A439" s="12" t="inlineStr">
        <is>
          <t>EVT-10362</t>
        </is>
      </c>
      <c r="B439" s="12" t="inlineStr">
        <is>
          <t>TX-80362</t>
        </is>
      </c>
      <c r="C439" s="24" t="n">
        <v>46309.71563657407</v>
      </c>
      <c r="D439" s="12" t="inlineStr">
        <is>
          <t>BR-03</t>
        </is>
      </c>
      <c r="E439" s="12" t="inlineStr">
        <is>
          <t>T-02</t>
        </is>
      </c>
      <c r="F439" s="12" t="inlineStr">
        <is>
          <t>C-111</t>
        </is>
      </c>
      <c r="G439" s="12" t="inlineStr">
        <is>
          <t>NONE</t>
        </is>
      </c>
      <c r="H439" s="11" t="inlineStr">
        <is>
          <t>Sale Tender</t>
        </is>
      </c>
      <c r="I439" s="12" t="inlineStr">
        <is>
          <t>Card</t>
        </is>
      </c>
      <c r="J439" s="20" t="n">
        <v>2</v>
      </c>
      <c r="K439" s="25" t="n">
        <v>25.49</v>
      </c>
      <c r="L439" s="25" t="n">
        <v>25.49</v>
      </c>
      <c r="M439" s="24" t="n">
        <v>46309.71484953703</v>
      </c>
      <c r="N439" s="26">
        <f>IFERROR(IF(OR(ISBLANK(M439), M439="", ISBLANK(C439), C439=""), 0, MAX(0, ROUND((C439-M439)*86400, 0))), 0)</f>
        <v/>
      </c>
      <c r="O439" s="11">
        <f>IF(H439="Post-Bill Void", IF(AND(G439="M-904", I439="Cash"), "EXCEPTION: Concurrent Cash Void", IF(AND(I439="Cash", N439&gt;120), "CRITICAL: Delayed Cash Void", IF(N439&gt;120, "EXCEPTION: Delayed Void", "Standard Void"))), IF(H439="Line Item Void", IF(I439="Cash", "EXCEPTION: Cash Line Void", "Standard Line Void"), IF(H439="No-Sale Drawer Opening", "DRAWER OPENING", "Standard Sale")))</f>
        <v/>
      </c>
    </row>
    <row r="440" ht="18" customHeight="1">
      <c r="A440" s="15" t="inlineStr">
        <is>
          <t>EVT-10363</t>
        </is>
      </c>
      <c r="B440" s="15" t="inlineStr">
        <is>
          <t>TX-80363</t>
        </is>
      </c>
      <c r="C440" s="27" t="n">
        <v>46309.72258101852</v>
      </c>
      <c r="D440" s="15" t="inlineStr">
        <is>
          <t>BR-03</t>
        </is>
      </c>
      <c r="E440" s="15" t="inlineStr">
        <is>
          <t>T-01</t>
        </is>
      </c>
      <c r="F440" s="15" t="inlineStr">
        <is>
          <t>C-109</t>
        </is>
      </c>
      <c r="G440" s="15" t="inlineStr">
        <is>
          <t>NONE</t>
        </is>
      </c>
      <c r="H440" s="14" t="inlineStr">
        <is>
          <t>Sale Tender</t>
        </is>
      </c>
      <c r="I440" s="15" t="inlineStr">
        <is>
          <t>Cash</t>
        </is>
      </c>
      <c r="J440" s="17" t="n">
        <v>2</v>
      </c>
      <c r="K440" s="28" t="n">
        <v>23.62</v>
      </c>
      <c r="L440" s="28" t="n">
        <v>23.62</v>
      </c>
      <c r="M440" s="27" t="n">
        <v>46309.72162037037</v>
      </c>
      <c r="N440" s="29">
        <f>IFERROR(IF(OR(ISBLANK(M440), M440="", ISBLANK(C440), C440=""), 0, MAX(0, ROUND((C440-M440)*86400, 0))), 0)</f>
        <v/>
      </c>
      <c r="O440" s="14">
        <f>IF(H440="Post-Bill Void", IF(AND(G440="M-904", I440="Cash"), "EXCEPTION: Concurrent Cash Void", IF(AND(I440="Cash", N440&gt;120), "CRITICAL: Delayed Cash Void", IF(N440&gt;120, "EXCEPTION: Delayed Void", "Standard Void"))), IF(H440="Line Item Void", IF(I440="Cash", "EXCEPTION: Cash Line Void", "Standard Line Void"), IF(H440="No-Sale Drawer Opening", "DRAWER OPENING", "Standard Sale")))</f>
        <v/>
      </c>
    </row>
    <row r="441" ht="18" customHeight="1">
      <c r="A441" s="12" t="inlineStr">
        <is>
          <t>EVT-10364</t>
        </is>
      </c>
      <c r="B441" s="12" t="inlineStr">
        <is>
          <t>TX-80364</t>
        </is>
      </c>
      <c r="C441" s="24" t="n">
        <v>46309.72916666666</v>
      </c>
      <c r="D441" s="12" t="inlineStr">
        <is>
          <t>BR-04</t>
        </is>
      </c>
      <c r="E441" s="12" t="inlineStr">
        <is>
          <t>T-02</t>
        </is>
      </c>
      <c r="F441" s="12" t="inlineStr">
        <is>
          <t>C-113</t>
        </is>
      </c>
      <c r="G441" s="12" t="inlineStr">
        <is>
          <t>NONE</t>
        </is>
      </c>
      <c r="H441" s="11" t="inlineStr">
        <is>
          <t>Sale Tender</t>
        </is>
      </c>
      <c r="I441" s="12" t="inlineStr">
        <is>
          <t>Delivery Aggregator</t>
        </is>
      </c>
      <c r="J441" s="20" t="n">
        <v>3</v>
      </c>
      <c r="K441" s="25" t="n">
        <v>29.08</v>
      </c>
      <c r="L441" s="25" t="n">
        <v>29.08</v>
      </c>
      <c r="M441" s="24" t="n">
        <v>46309.72869212963</v>
      </c>
      <c r="N441" s="26">
        <f>IFERROR(IF(OR(ISBLANK(M441), M441="", ISBLANK(C441), C441=""), 0, MAX(0, ROUND((C441-M441)*86400, 0))), 0)</f>
        <v/>
      </c>
      <c r="O441" s="11">
        <f>IF(H441="Post-Bill Void", IF(AND(G441="M-904", I441="Cash"), "EXCEPTION: Concurrent Cash Void", IF(AND(I441="Cash", N441&gt;120), "CRITICAL: Delayed Cash Void", IF(N441&gt;120, "EXCEPTION: Delayed Void", "Standard Void"))), IF(H441="Line Item Void", IF(I441="Cash", "EXCEPTION: Cash Line Void", "Standard Line Void"), IF(H441="No-Sale Drawer Opening", "DRAWER OPENING", "Standard Sale")))</f>
        <v/>
      </c>
    </row>
    <row r="442" ht="18" customHeight="1">
      <c r="A442" s="15" t="inlineStr">
        <is>
          <t>EVT-10365</t>
        </is>
      </c>
      <c r="B442" s="15" t="inlineStr">
        <is>
          <t>TX-80365</t>
        </is>
      </c>
      <c r="C442" s="27" t="n">
        <v>46309.73679398148</v>
      </c>
      <c r="D442" s="15" t="inlineStr">
        <is>
          <t>BR-03</t>
        </is>
      </c>
      <c r="E442" s="15" t="inlineStr">
        <is>
          <t>T-02</t>
        </is>
      </c>
      <c r="F442" s="15" t="inlineStr">
        <is>
          <t>C-109</t>
        </is>
      </c>
      <c r="G442" s="15" t="inlineStr">
        <is>
          <t>NONE</t>
        </is>
      </c>
      <c r="H442" s="14" t="inlineStr">
        <is>
          <t>Sale Tender</t>
        </is>
      </c>
      <c r="I442" s="15" t="inlineStr">
        <is>
          <t>Cash</t>
        </is>
      </c>
      <c r="J442" s="17" t="n">
        <v>6</v>
      </c>
      <c r="K442" s="28" t="n">
        <v>91.67</v>
      </c>
      <c r="L442" s="28" t="n">
        <v>91.67</v>
      </c>
      <c r="M442" s="27" t="n">
        <v>46309.73613425926</v>
      </c>
      <c r="N442" s="29">
        <f>IFERROR(IF(OR(ISBLANK(M442), M442="", ISBLANK(C442), C442=""), 0, MAX(0, ROUND((C442-M442)*86400, 0))), 0)</f>
        <v/>
      </c>
      <c r="O442" s="14">
        <f>IF(H442="Post-Bill Void", IF(AND(G442="M-904", I442="Cash"), "EXCEPTION: Concurrent Cash Void", IF(AND(I442="Cash", N442&gt;120), "CRITICAL: Delayed Cash Void", IF(N442&gt;120, "EXCEPTION: Delayed Void", "Standard Void"))), IF(H442="Line Item Void", IF(I442="Cash", "EXCEPTION: Cash Line Void", "Standard Line Void"), IF(H442="No-Sale Drawer Opening", "DRAWER OPENING", "Standard Sale")))</f>
        <v/>
      </c>
    </row>
    <row r="443" ht="18" customHeight="1">
      <c r="A443" s="12" t="inlineStr">
        <is>
          <t>EVT-10366</t>
        </is>
      </c>
      <c r="B443" s="12" t="inlineStr">
        <is>
          <t>TX-80366</t>
        </is>
      </c>
      <c r="C443" s="24" t="n">
        <v>46309.74317129629</v>
      </c>
      <c r="D443" s="12" t="inlineStr">
        <is>
          <t>BR-01</t>
        </is>
      </c>
      <c r="E443" s="12" t="inlineStr">
        <is>
          <t>T-02</t>
        </is>
      </c>
      <c r="F443" s="12" t="inlineStr">
        <is>
          <t>C-104</t>
        </is>
      </c>
      <c r="G443" s="12" t="inlineStr">
        <is>
          <t>NONE</t>
        </is>
      </c>
      <c r="H443" s="11" t="inlineStr">
        <is>
          <t>Sale Tender</t>
        </is>
      </c>
      <c r="I443" s="12" t="inlineStr">
        <is>
          <t>Card</t>
        </is>
      </c>
      <c r="J443" s="20" t="n">
        <v>1</v>
      </c>
      <c r="K443" s="25" t="n">
        <v>13.78</v>
      </c>
      <c r="L443" s="25" t="n">
        <v>13.78</v>
      </c>
      <c r="M443" s="24" t="n">
        <v>46309.74254629629</v>
      </c>
      <c r="N443" s="26">
        <f>IFERROR(IF(OR(ISBLANK(M443), M443="", ISBLANK(C443), C443=""), 0, MAX(0, ROUND((C443-M443)*86400, 0))), 0)</f>
        <v/>
      </c>
      <c r="O443" s="11">
        <f>IF(H443="Post-Bill Void", IF(AND(G443="M-904", I443="Cash"), "EXCEPTION: Concurrent Cash Void", IF(AND(I443="Cash", N443&gt;120), "CRITICAL: Delayed Cash Void", IF(N443&gt;120, "EXCEPTION: Delayed Void", "Standard Void"))), IF(H443="Line Item Void", IF(I443="Cash", "EXCEPTION: Cash Line Void", "Standard Line Void"), IF(H443="No-Sale Drawer Opening", "DRAWER OPENING", "Standard Sale")))</f>
        <v/>
      </c>
    </row>
    <row r="444" ht="18" customHeight="1">
      <c r="A444" s="15" t="inlineStr">
        <is>
          <t>EVT-10367</t>
        </is>
      </c>
      <c r="B444" s="15" t="inlineStr">
        <is>
          <t>TX-80367</t>
        </is>
      </c>
      <c r="C444" s="27" t="n">
        <v>46309.75</v>
      </c>
      <c r="D444" s="15" t="inlineStr">
        <is>
          <t>BR-02</t>
        </is>
      </c>
      <c r="E444" s="15" t="inlineStr">
        <is>
          <t>T-01</t>
        </is>
      </c>
      <c r="F444" s="15" t="inlineStr">
        <is>
          <t>C-108</t>
        </is>
      </c>
      <c r="G444" s="15" t="inlineStr">
        <is>
          <t>NONE</t>
        </is>
      </c>
      <c r="H444" s="14" t="inlineStr">
        <is>
          <t>Sale Tender</t>
        </is>
      </c>
      <c r="I444" s="15" t="inlineStr">
        <is>
          <t>Card</t>
        </is>
      </c>
      <c r="J444" s="17" t="n">
        <v>4</v>
      </c>
      <c r="K444" s="28" t="n">
        <v>34.28</v>
      </c>
      <c r="L444" s="28" t="n">
        <v>34.28</v>
      </c>
      <c r="M444" s="27" t="n">
        <v>46309.74938657408</v>
      </c>
      <c r="N444" s="29">
        <f>IFERROR(IF(OR(ISBLANK(M444), M444="", ISBLANK(C444), C444=""), 0, MAX(0, ROUND((C444-M444)*86400, 0))), 0)</f>
        <v/>
      </c>
      <c r="O444" s="14">
        <f>IF(H444="Post-Bill Void", IF(AND(G444="M-904", I444="Cash"), "EXCEPTION: Concurrent Cash Void", IF(AND(I444="Cash", N444&gt;120), "CRITICAL: Delayed Cash Void", IF(N444&gt;120, "EXCEPTION: Delayed Void", "Standard Void"))), IF(H444="Line Item Void", IF(I444="Cash", "EXCEPTION: Cash Line Void", "Standard Line Void"), IF(H444="No-Sale Drawer Opening", "DRAWER OPENING", "Standard Sale")))</f>
        <v/>
      </c>
    </row>
    <row r="445" ht="18" customHeight="1">
      <c r="A445" s="12" t="inlineStr">
        <is>
          <t>EVT-10368</t>
        </is>
      </c>
      <c r="B445" s="12" t="inlineStr">
        <is>
          <t>TX-80368</t>
        </is>
      </c>
      <c r="C445" s="24" t="n">
        <v>46309.75745370371</v>
      </c>
      <c r="D445" s="12" t="inlineStr">
        <is>
          <t>BR-03</t>
        </is>
      </c>
      <c r="E445" s="12" t="inlineStr">
        <is>
          <t>T-02</t>
        </is>
      </c>
      <c r="F445" s="12" t="inlineStr">
        <is>
          <t>C-109</t>
        </is>
      </c>
      <c r="G445" s="12" t="inlineStr">
        <is>
          <t>NONE</t>
        </is>
      </c>
      <c r="H445" s="11" t="inlineStr">
        <is>
          <t>Sale Tender</t>
        </is>
      </c>
      <c r="I445" s="12" t="inlineStr">
        <is>
          <t>Card</t>
        </is>
      </c>
      <c r="J445" s="20" t="n">
        <v>4</v>
      </c>
      <c r="K445" s="25" t="n">
        <v>36.12</v>
      </c>
      <c r="L445" s="25" t="n">
        <v>36.12</v>
      </c>
      <c r="M445" s="24" t="n">
        <v>46309.75653935185</v>
      </c>
      <c r="N445" s="26">
        <f>IFERROR(IF(OR(ISBLANK(M445), M445="", ISBLANK(C445), C445=""), 0, MAX(0, ROUND((C445-M445)*86400, 0))), 0)</f>
        <v/>
      </c>
      <c r="O445" s="11">
        <f>IF(H445="Post-Bill Void", IF(AND(G445="M-904", I445="Cash"), "EXCEPTION: Concurrent Cash Void", IF(AND(I445="Cash", N445&gt;120), "CRITICAL: Delayed Cash Void", IF(N445&gt;120, "EXCEPTION: Delayed Void", "Standard Void"))), IF(H445="Line Item Void", IF(I445="Cash", "EXCEPTION: Cash Line Void", "Standard Line Void"), IF(H445="No-Sale Drawer Opening", "DRAWER OPENING", "Standard Sale")))</f>
        <v/>
      </c>
    </row>
    <row r="446" ht="18" customHeight="1">
      <c r="A446" s="15" t="inlineStr">
        <is>
          <t>EVT-10369</t>
        </is>
      </c>
      <c r="B446" s="15" t="inlineStr">
        <is>
          <t>TX-80369</t>
        </is>
      </c>
      <c r="C446" s="27" t="n">
        <v>46309.76416666667</v>
      </c>
      <c r="D446" s="15" t="inlineStr">
        <is>
          <t>BR-01</t>
        </is>
      </c>
      <c r="E446" s="15" t="inlineStr">
        <is>
          <t>T-01</t>
        </is>
      </c>
      <c r="F446" s="15" t="inlineStr">
        <is>
          <t>C-101</t>
        </is>
      </c>
      <c r="G446" s="15" t="inlineStr">
        <is>
          <t>NONE</t>
        </is>
      </c>
      <c r="H446" s="14" t="inlineStr">
        <is>
          <t>Sale Tender</t>
        </is>
      </c>
      <c r="I446" s="15" t="inlineStr">
        <is>
          <t>Delivery Aggregator</t>
        </is>
      </c>
      <c r="J446" s="17" t="n">
        <v>2</v>
      </c>
      <c r="K446" s="28" t="n">
        <v>22.74</v>
      </c>
      <c r="L446" s="28" t="n">
        <v>22.74</v>
      </c>
      <c r="M446" s="27" t="n">
        <v>46309.76333333334</v>
      </c>
      <c r="N446" s="29">
        <f>IFERROR(IF(OR(ISBLANK(M446), M446="", ISBLANK(C446), C446=""), 0, MAX(0, ROUND((C446-M446)*86400, 0))), 0)</f>
        <v/>
      </c>
      <c r="O446" s="14">
        <f>IF(H446="Post-Bill Void", IF(AND(G446="M-904", I446="Cash"), "EXCEPTION: Concurrent Cash Void", IF(AND(I446="Cash", N446&gt;120), "CRITICAL: Delayed Cash Void", IF(N446&gt;120, "EXCEPTION: Delayed Void", "Standard Void"))), IF(H446="Line Item Void", IF(I446="Cash", "EXCEPTION: Cash Line Void", "Standard Line Void"), IF(H446="No-Sale Drawer Opening", "DRAWER OPENING", "Standard Sale")))</f>
        <v/>
      </c>
    </row>
    <row r="447" ht="18" customHeight="1">
      <c r="A447" s="12" t="inlineStr">
        <is>
          <t>EVT-10370</t>
        </is>
      </c>
      <c r="B447" s="12" t="inlineStr">
        <is>
          <t>TX-80370</t>
        </is>
      </c>
      <c r="C447" s="24" t="n">
        <v>46309.77143518518</v>
      </c>
      <c r="D447" s="12" t="inlineStr">
        <is>
          <t>BR-02</t>
        </is>
      </c>
      <c r="E447" s="12" t="inlineStr">
        <is>
          <t>T-01</t>
        </is>
      </c>
      <c r="F447" s="12" t="inlineStr">
        <is>
          <t>C-106</t>
        </is>
      </c>
      <c r="G447" s="12" t="inlineStr">
        <is>
          <t>NONE</t>
        </is>
      </c>
      <c r="H447" s="11" t="inlineStr">
        <is>
          <t>Sale Tender</t>
        </is>
      </c>
      <c r="I447" s="12" t="inlineStr">
        <is>
          <t>Card</t>
        </is>
      </c>
      <c r="J447" s="20" t="n">
        <v>2</v>
      </c>
      <c r="K447" s="25" t="n">
        <v>23.6</v>
      </c>
      <c r="L447" s="25" t="n">
        <v>23.6</v>
      </c>
      <c r="M447" s="24" t="n">
        <v>46309.77113425926</v>
      </c>
      <c r="N447" s="26">
        <f>IFERROR(IF(OR(ISBLANK(M447), M447="", ISBLANK(C447), C447=""), 0, MAX(0, ROUND((C447-M447)*86400, 0))), 0)</f>
        <v/>
      </c>
      <c r="O447" s="11">
        <f>IF(H447="Post-Bill Void", IF(AND(G447="M-904", I447="Cash"), "EXCEPTION: Concurrent Cash Void", IF(AND(I447="Cash", N447&gt;120), "CRITICAL: Delayed Cash Void", IF(N447&gt;120, "EXCEPTION: Delayed Void", "Standard Void"))), IF(H447="Line Item Void", IF(I447="Cash", "EXCEPTION: Cash Line Void", "Standard Line Void"), IF(H447="No-Sale Drawer Opening", "DRAWER OPENING", "Standard Sale")))</f>
        <v/>
      </c>
    </row>
    <row r="448" ht="18" customHeight="1">
      <c r="A448" s="15" t="inlineStr">
        <is>
          <t>EVT-10371</t>
        </is>
      </c>
      <c r="B448" s="15" t="inlineStr">
        <is>
          <t>TX-80371</t>
        </is>
      </c>
      <c r="C448" s="27" t="n">
        <v>46309.77831018518</v>
      </c>
      <c r="D448" s="15" t="inlineStr">
        <is>
          <t>BR-02</t>
        </is>
      </c>
      <c r="E448" s="15" t="inlineStr">
        <is>
          <t>T-02</t>
        </is>
      </c>
      <c r="F448" s="15" t="inlineStr">
        <is>
          <t>C-106</t>
        </is>
      </c>
      <c r="G448" s="15" t="inlineStr">
        <is>
          <t>NONE</t>
        </is>
      </c>
      <c r="H448" s="14" t="inlineStr">
        <is>
          <t>Sale Tender</t>
        </is>
      </c>
      <c r="I448" s="15" t="inlineStr">
        <is>
          <t>Delivery Aggregator</t>
        </is>
      </c>
      <c r="J448" s="17" t="n">
        <v>1</v>
      </c>
      <c r="K448" s="28" t="n">
        <v>15.22</v>
      </c>
      <c r="L448" s="28" t="n">
        <v>15.22</v>
      </c>
      <c r="M448" s="27" t="n">
        <v>46309.77737268519</v>
      </c>
      <c r="N448" s="29">
        <f>IFERROR(IF(OR(ISBLANK(M448), M448="", ISBLANK(C448), C448=""), 0, MAX(0, ROUND((C448-M448)*86400, 0))), 0)</f>
        <v/>
      </c>
      <c r="O448" s="14">
        <f>IF(H448="Post-Bill Void", IF(AND(G448="M-904", I448="Cash"), "EXCEPTION: Concurrent Cash Void", IF(AND(I448="Cash", N448&gt;120), "CRITICAL: Delayed Cash Void", IF(N448&gt;120, "EXCEPTION: Delayed Void", "Standard Void"))), IF(H448="Line Item Void", IF(I448="Cash", "EXCEPTION: Cash Line Void", "Standard Line Void"), IF(H448="No-Sale Drawer Opening", "DRAWER OPENING", "Standard Sale")))</f>
        <v/>
      </c>
    </row>
    <row r="449" ht="18" customHeight="1">
      <c r="A449" s="12" t="inlineStr">
        <is>
          <t>EVT-10372</t>
        </is>
      </c>
      <c r="B449" s="12" t="inlineStr">
        <is>
          <t>TX-80372</t>
        </is>
      </c>
      <c r="C449" s="24" t="n">
        <v>46309.78481481481</v>
      </c>
      <c r="D449" s="12" t="inlineStr">
        <is>
          <t>BR-01</t>
        </is>
      </c>
      <c r="E449" s="12" t="inlineStr">
        <is>
          <t>T-01</t>
        </is>
      </c>
      <c r="F449" s="12" t="inlineStr">
        <is>
          <t>C-104</t>
        </is>
      </c>
      <c r="G449" s="12" t="inlineStr">
        <is>
          <t>NONE</t>
        </is>
      </c>
      <c r="H449" s="11" t="inlineStr">
        <is>
          <t>Sale Tender</t>
        </is>
      </c>
      <c r="I449" s="12" t="inlineStr">
        <is>
          <t>Cash</t>
        </is>
      </c>
      <c r="J449" s="20" t="n">
        <v>2</v>
      </c>
      <c r="K449" s="25" t="n">
        <v>20.72</v>
      </c>
      <c r="L449" s="25" t="n">
        <v>20.72</v>
      </c>
      <c r="M449" s="24" t="n">
        <v>46309.78390046296</v>
      </c>
      <c r="N449" s="26">
        <f>IFERROR(IF(OR(ISBLANK(M449), M449="", ISBLANK(C449), C449=""), 0, MAX(0, ROUND((C449-M449)*86400, 0))), 0)</f>
        <v/>
      </c>
      <c r="O449" s="11">
        <f>IF(H449="Post-Bill Void", IF(AND(G449="M-904", I449="Cash"), "EXCEPTION: Concurrent Cash Void", IF(AND(I449="Cash", N449&gt;120), "CRITICAL: Delayed Cash Void", IF(N449&gt;120, "EXCEPTION: Delayed Void", "Standard Void"))), IF(H449="Line Item Void", IF(I449="Cash", "EXCEPTION: Cash Line Void", "Standard Line Void"), IF(H449="No-Sale Drawer Opening", "DRAWER OPENING", "Standard Sale")))</f>
        <v/>
      </c>
    </row>
    <row r="450" ht="18" customHeight="1">
      <c r="A450" s="15" t="inlineStr">
        <is>
          <t>EVT-10373</t>
        </is>
      </c>
      <c r="B450" s="15" t="inlineStr">
        <is>
          <t>TX-80373</t>
        </is>
      </c>
      <c r="C450" s="27" t="n">
        <v>46309.7921412037</v>
      </c>
      <c r="D450" s="15" t="inlineStr">
        <is>
          <t>BR-01</t>
        </is>
      </c>
      <c r="E450" s="15" t="inlineStr">
        <is>
          <t>T-01</t>
        </is>
      </c>
      <c r="F450" s="15" t="inlineStr">
        <is>
          <t>C-102</t>
        </is>
      </c>
      <c r="G450" s="15" t="inlineStr">
        <is>
          <t>NONE</t>
        </is>
      </c>
      <c r="H450" s="14" t="inlineStr">
        <is>
          <t>Sale Tender</t>
        </is>
      </c>
      <c r="I450" s="15" t="inlineStr">
        <is>
          <t>Card</t>
        </is>
      </c>
      <c r="J450" s="17" t="n">
        <v>6</v>
      </c>
      <c r="K450" s="28" t="n">
        <v>52.21</v>
      </c>
      <c r="L450" s="28" t="n">
        <v>52.21</v>
      </c>
      <c r="M450" s="27" t="n">
        <v>46309.79143518519</v>
      </c>
      <c r="N450" s="29">
        <f>IFERROR(IF(OR(ISBLANK(M450), M450="", ISBLANK(C450), C450=""), 0, MAX(0, ROUND((C450-M450)*86400, 0))), 0)</f>
        <v/>
      </c>
      <c r="O450" s="14">
        <f>IF(H450="Post-Bill Void", IF(AND(G450="M-904", I450="Cash"), "EXCEPTION: Concurrent Cash Void", IF(AND(I450="Cash", N450&gt;120), "CRITICAL: Delayed Cash Void", IF(N450&gt;120, "EXCEPTION: Delayed Void", "Standard Void"))), IF(H450="Line Item Void", IF(I450="Cash", "EXCEPTION: Cash Line Void", "Standard Line Void"), IF(H450="No-Sale Drawer Opening", "DRAWER OPENING", "Standard Sale")))</f>
        <v/>
      </c>
    </row>
    <row r="451" ht="18" customHeight="1">
      <c r="A451" s="12" t="inlineStr">
        <is>
          <t>EVT-10374</t>
        </is>
      </c>
      <c r="B451" s="12" t="inlineStr">
        <is>
          <t>TX-80374</t>
        </is>
      </c>
      <c r="C451" s="24" t="n">
        <v>46309.79923611111</v>
      </c>
      <c r="D451" s="12" t="inlineStr">
        <is>
          <t>BR-03</t>
        </is>
      </c>
      <c r="E451" s="12" t="inlineStr">
        <is>
          <t>T-01</t>
        </is>
      </c>
      <c r="F451" s="12" t="inlineStr">
        <is>
          <t>C-110</t>
        </is>
      </c>
      <c r="G451" s="12" t="inlineStr">
        <is>
          <t>NONE</t>
        </is>
      </c>
      <c r="H451" s="11" t="inlineStr">
        <is>
          <t>Sale Tender</t>
        </is>
      </c>
      <c r="I451" s="12" t="inlineStr">
        <is>
          <t>Cash</t>
        </is>
      </c>
      <c r="J451" s="20" t="n">
        <v>4</v>
      </c>
      <c r="K451" s="25" t="n">
        <v>42.87</v>
      </c>
      <c r="L451" s="25" t="n">
        <v>42.87</v>
      </c>
      <c r="M451" s="24" t="n">
        <v>46309.79819444445</v>
      </c>
      <c r="N451" s="26">
        <f>IFERROR(IF(OR(ISBLANK(M451), M451="", ISBLANK(C451), C451=""), 0, MAX(0, ROUND((C451-M451)*86400, 0))), 0)</f>
        <v/>
      </c>
      <c r="O451" s="11">
        <f>IF(H451="Post-Bill Void", IF(AND(G451="M-904", I451="Cash"), "EXCEPTION: Concurrent Cash Void", IF(AND(I451="Cash", N451&gt;120), "CRITICAL: Delayed Cash Void", IF(N451&gt;120, "EXCEPTION: Delayed Void", "Standard Void"))), IF(H451="Line Item Void", IF(I451="Cash", "EXCEPTION: Cash Line Void", "Standard Line Void"), IF(H451="No-Sale Drawer Opening", "DRAWER OPENING", "Standard Sale")))</f>
        <v/>
      </c>
    </row>
    <row r="452" ht="18" customHeight="1">
      <c r="A452" s="15" t="inlineStr">
        <is>
          <t>EVT-10375</t>
        </is>
      </c>
      <c r="B452" s="15" t="inlineStr">
        <is>
          <t>TX-80375</t>
        </is>
      </c>
      <c r="C452" s="27" t="n">
        <v>46309.80559027778</v>
      </c>
      <c r="D452" s="15" t="inlineStr">
        <is>
          <t>BR-02</t>
        </is>
      </c>
      <c r="E452" s="15" t="inlineStr">
        <is>
          <t>T-01</t>
        </is>
      </c>
      <c r="F452" s="15" t="inlineStr">
        <is>
          <t>C-108</t>
        </is>
      </c>
      <c r="G452" s="15" t="inlineStr">
        <is>
          <t>NONE</t>
        </is>
      </c>
      <c r="H452" s="14" t="inlineStr">
        <is>
          <t>Sale Tender</t>
        </is>
      </c>
      <c r="I452" s="15" t="inlineStr">
        <is>
          <t>Card</t>
        </is>
      </c>
      <c r="J452" s="17" t="n">
        <v>5</v>
      </c>
      <c r="K452" s="28" t="n">
        <v>45.16</v>
      </c>
      <c r="L452" s="28" t="n">
        <v>45.16</v>
      </c>
      <c r="M452" s="27" t="n">
        <v>46309.8049537037</v>
      </c>
      <c r="N452" s="29">
        <f>IFERROR(IF(OR(ISBLANK(M452), M452="", ISBLANK(C452), C452=""), 0, MAX(0, ROUND((C452-M452)*86400, 0))), 0)</f>
        <v/>
      </c>
      <c r="O452" s="14">
        <f>IF(H452="Post-Bill Void", IF(AND(G452="M-904", I452="Cash"), "EXCEPTION: Concurrent Cash Void", IF(AND(I452="Cash", N452&gt;120), "CRITICAL: Delayed Cash Void", IF(N452&gt;120, "EXCEPTION: Delayed Void", "Standard Void"))), IF(H452="Line Item Void", IF(I452="Cash", "EXCEPTION: Cash Line Void", "Standard Line Void"), IF(H452="No-Sale Drawer Opening", "DRAWER OPENING", "Standard Sale")))</f>
        <v/>
      </c>
    </row>
    <row r="453" ht="18" customHeight="1">
      <c r="A453" s="12" t="inlineStr">
        <is>
          <t>EVT-10376</t>
        </is>
      </c>
      <c r="B453" s="12" t="inlineStr">
        <is>
          <t>TX-80376</t>
        </is>
      </c>
      <c r="C453" s="24" t="n">
        <v>46309.81314814815</v>
      </c>
      <c r="D453" s="12" t="inlineStr">
        <is>
          <t>BR-01</t>
        </is>
      </c>
      <c r="E453" s="12" t="inlineStr">
        <is>
          <t>T-02</t>
        </is>
      </c>
      <c r="F453" s="12" t="inlineStr">
        <is>
          <t>C-103</t>
        </is>
      </c>
      <c r="G453" s="12" t="inlineStr">
        <is>
          <t>NONE</t>
        </is>
      </c>
      <c r="H453" s="11" t="inlineStr">
        <is>
          <t>Sale Tender</t>
        </is>
      </c>
      <c r="I453" s="12" t="inlineStr">
        <is>
          <t>Card</t>
        </is>
      </c>
      <c r="J453" s="20" t="n">
        <v>5</v>
      </c>
      <c r="K453" s="25" t="n">
        <v>58.28</v>
      </c>
      <c r="L453" s="25" t="n">
        <v>58.28</v>
      </c>
      <c r="M453" s="24" t="n">
        <v>46309.81267361111</v>
      </c>
      <c r="N453" s="26">
        <f>IFERROR(IF(OR(ISBLANK(M453), M453="", ISBLANK(C453), C453=""), 0, MAX(0, ROUND((C453-M453)*86400, 0))), 0)</f>
        <v/>
      </c>
      <c r="O453" s="11">
        <f>IF(H453="Post-Bill Void", IF(AND(G453="M-904", I453="Cash"), "EXCEPTION: Concurrent Cash Void", IF(AND(I453="Cash", N453&gt;120), "CRITICAL: Delayed Cash Void", IF(N453&gt;120, "EXCEPTION: Delayed Void", "Standard Void"))), IF(H453="Line Item Void", IF(I453="Cash", "EXCEPTION: Cash Line Void", "Standard Line Void"), IF(H453="No-Sale Drawer Opening", "DRAWER OPENING", "Standard Sale")))</f>
        <v/>
      </c>
    </row>
    <row r="454" ht="18" customHeight="1">
      <c r="A454" s="15" t="inlineStr">
        <is>
          <t>EVT-10377</t>
        </is>
      </c>
      <c r="B454" s="15" t="inlineStr">
        <is>
          <t>TX-80377</t>
        </is>
      </c>
      <c r="C454" s="27" t="n">
        <v>46309.81983796296</v>
      </c>
      <c r="D454" s="15" t="inlineStr">
        <is>
          <t>BR-02</t>
        </is>
      </c>
      <c r="E454" s="15" t="inlineStr">
        <is>
          <t>T-02</t>
        </is>
      </c>
      <c r="F454" s="15" t="inlineStr">
        <is>
          <t>C-108</t>
        </is>
      </c>
      <c r="G454" s="15" t="inlineStr">
        <is>
          <t>NONE</t>
        </is>
      </c>
      <c r="H454" s="14" t="inlineStr">
        <is>
          <t>Sale Tender</t>
        </is>
      </c>
      <c r="I454" s="15" t="inlineStr">
        <is>
          <t>Cash</t>
        </is>
      </c>
      <c r="J454" s="17" t="n">
        <v>1</v>
      </c>
      <c r="K454" s="28" t="n">
        <v>8.6</v>
      </c>
      <c r="L454" s="28" t="n">
        <v>8.6</v>
      </c>
      <c r="M454" s="27" t="n">
        <v>46309.81944444445</v>
      </c>
      <c r="N454" s="29">
        <f>IFERROR(IF(OR(ISBLANK(M454), M454="", ISBLANK(C454), C454=""), 0, MAX(0, ROUND((C454-M454)*86400, 0))), 0)</f>
        <v/>
      </c>
      <c r="O454" s="14">
        <f>IF(H454="Post-Bill Void", IF(AND(G454="M-904", I454="Cash"), "EXCEPTION: Concurrent Cash Void", IF(AND(I454="Cash", N454&gt;120), "CRITICAL: Delayed Cash Void", IF(N454&gt;120, "EXCEPTION: Delayed Void", "Standard Void"))), IF(H454="Line Item Void", IF(I454="Cash", "EXCEPTION: Cash Line Void", "Standard Line Void"), IF(H454="No-Sale Drawer Opening", "DRAWER OPENING", "Standard Sale")))</f>
        <v/>
      </c>
    </row>
    <row r="455" ht="18" customHeight="1">
      <c r="A455" s="12" t="inlineStr">
        <is>
          <t>EVT-10378</t>
        </is>
      </c>
      <c r="B455" s="12" t="inlineStr">
        <is>
          <t>TX-80378</t>
        </is>
      </c>
      <c r="C455" s="24" t="n">
        <v>46309.82653935185</v>
      </c>
      <c r="D455" s="12" t="inlineStr">
        <is>
          <t>BR-01</t>
        </is>
      </c>
      <c r="E455" s="12" t="inlineStr">
        <is>
          <t>T-02</t>
        </is>
      </c>
      <c r="F455" s="12" t="inlineStr">
        <is>
          <t>C-101</t>
        </is>
      </c>
      <c r="G455" s="12" t="inlineStr">
        <is>
          <t>NONE</t>
        </is>
      </c>
      <c r="H455" s="11" t="inlineStr">
        <is>
          <t>Sale Tender</t>
        </is>
      </c>
      <c r="I455" s="12" t="inlineStr">
        <is>
          <t>Card</t>
        </is>
      </c>
      <c r="J455" s="20" t="n">
        <v>6</v>
      </c>
      <c r="K455" s="25" t="n">
        <v>83.06999999999999</v>
      </c>
      <c r="L455" s="25" t="n">
        <v>83.06999999999999</v>
      </c>
      <c r="M455" s="24" t="n">
        <v>46309.8256712963</v>
      </c>
      <c r="N455" s="26">
        <f>IFERROR(IF(OR(ISBLANK(M455), M455="", ISBLANK(C455), C455=""), 0, MAX(0, ROUND((C455-M455)*86400, 0))), 0)</f>
        <v/>
      </c>
      <c r="O455" s="11">
        <f>IF(H455="Post-Bill Void", IF(AND(G455="M-904", I455="Cash"), "EXCEPTION: Concurrent Cash Void", IF(AND(I455="Cash", N455&gt;120), "CRITICAL: Delayed Cash Void", IF(N455&gt;120, "EXCEPTION: Delayed Void", "Standard Void"))), IF(H455="Line Item Void", IF(I455="Cash", "EXCEPTION: Cash Line Void", "Standard Line Void"), IF(H455="No-Sale Drawer Opening", "DRAWER OPENING", "Standard Sale")))</f>
        <v/>
      </c>
    </row>
    <row r="456" ht="18" customHeight="1">
      <c r="A456" s="15" t="inlineStr">
        <is>
          <t>EVT-10379</t>
        </is>
      </c>
      <c r="B456" s="15" t="inlineStr">
        <is>
          <t>TX-80379</t>
        </is>
      </c>
      <c r="C456" s="27" t="n">
        <v>46309.83390046296</v>
      </c>
      <c r="D456" s="15" t="inlineStr">
        <is>
          <t>BR-04</t>
        </is>
      </c>
      <c r="E456" s="15" t="inlineStr">
        <is>
          <t>T-02</t>
        </is>
      </c>
      <c r="F456" s="15" t="inlineStr">
        <is>
          <t>C-114</t>
        </is>
      </c>
      <c r="G456" s="15" t="inlineStr">
        <is>
          <t>NONE</t>
        </is>
      </c>
      <c r="H456" s="14" t="inlineStr">
        <is>
          <t>Sale Tender</t>
        </is>
      </c>
      <c r="I456" s="15" t="inlineStr">
        <is>
          <t>Card</t>
        </is>
      </c>
      <c r="J456" s="17" t="n">
        <v>5</v>
      </c>
      <c r="K456" s="28" t="n">
        <v>65.59999999999999</v>
      </c>
      <c r="L456" s="28" t="n">
        <v>65.59999999999999</v>
      </c>
      <c r="M456" s="27" t="n">
        <v>46309.83349537037</v>
      </c>
      <c r="N456" s="29">
        <f>IFERROR(IF(OR(ISBLANK(M456), M456="", ISBLANK(C456), C456=""), 0, MAX(0, ROUND((C456-M456)*86400, 0))), 0)</f>
        <v/>
      </c>
      <c r="O456" s="14">
        <f>IF(H456="Post-Bill Void", IF(AND(G456="M-904", I456="Cash"), "EXCEPTION: Concurrent Cash Void", IF(AND(I456="Cash", N456&gt;120), "CRITICAL: Delayed Cash Void", IF(N456&gt;120, "EXCEPTION: Delayed Void", "Standard Void"))), IF(H456="Line Item Void", IF(I456="Cash", "EXCEPTION: Cash Line Void", "Standard Line Void"), IF(H456="No-Sale Drawer Opening", "DRAWER OPENING", "Standard Sale")))</f>
        <v/>
      </c>
    </row>
    <row r="457" ht="18" customHeight="1">
      <c r="A457" s="12" t="inlineStr">
        <is>
          <t>EVT-10380</t>
        </is>
      </c>
      <c r="B457" s="12" t="inlineStr">
        <is>
          <t>TX-80380</t>
        </is>
      </c>
      <c r="C457" s="24" t="n">
        <v>46309.84047453704</v>
      </c>
      <c r="D457" s="12" t="inlineStr">
        <is>
          <t>BR-01</t>
        </is>
      </c>
      <c r="E457" s="12" t="inlineStr">
        <is>
          <t>T-01</t>
        </is>
      </c>
      <c r="F457" s="12" t="inlineStr">
        <is>
          <t>C-103</t>
        </is>
      </c>
      <c r="G457" s="12" t="inlineStr">
        <is>
          <t>NONE</t>
        </is>
      </c>
      <c r="H457" s="11" t="inlineStr">
        <is>
          <t>Sale Tender</t>
        </is>
      </c>
      <c r="I457" s="12" t="inlineStr">
        <is>
          <t>Delivery Aggregator</t>
        </is>
      </c>
      <c r="J457" s="20" t="n">
        <v>2</v>
      </c>
      <c r="K457" s="25" t="n">
        <v>25.05</v>
      </c>
      <c r="L457" s="25" t="n">
        <v>25.05</v>
      </c>
      <c r="M457" s="24" t="n">
        <v>46309.83988425926</v>
      </c>
      <c r="N457" s="26">
        <f>IFERROR(IF(OR(ISBLANK(M457), M457="", ISBLANK(C457), C457=""), 0, MAX(0, ROUND((C457-M457)*86400, 0))), 0)</f>
        <v/>
      </c>
      <c r="O457" s="11">
        <f>IF(H457="Post-Bill Void", IF(AND(G457="M-904", I457="Cash"), "EXCEPTION: Concurrent Cash Void", IF(AND(I457="Cash", N457&gt;120), "CRITICAL: Delayed Cash Void", IF(N457&gt;120, "EXCEPTION: Delayed Void", "Standard Void"))), IF(H457="Line Item Void", IF(I457="Cash", "EXCEPTION: Cash Line Void", "Standard Line Void"), IF(H457="No-Sale Drawer Opening", "DRAWER OPENING", "Standard Sale")))</f>
        <v/>
      </c>
    </row>
    <row r="458" ht="18" customHeight="1">
      <c r="A458" s="15" t="inlineStr">
        <is>
          <t>EVT-10381</t>
        </is>
      </c>
      <c r="B458" s="15" t="inlineStr">
        <is>
          <t>TX-80381</t>
        </is>
      </c>
      <c r="C458" s="27" t="n">
        <v>46309.84751157407</v>
      </c>
      <c r="D458" s="15" t="inlineStr">
        <is>
          <t>BR-01</t>
        </is>
      </c>
      <c r="E458" s="15" t="inlineStr">
        <is>
          <t>T-02</t>
        </is>
      </c>
      <c r="F458" s="15" t="inlineStr">
        <is>
          <t>C-103</t>
        </is>
      </c>
      <c r="G458" s="15" t="inlineStr">
        <is>
          <t>NONE</t>
        </is>
      </c>
      <c r="H458" s="14" t="inlineStr">
        <is>
          <t>Sale Tender</t>
        </is>
      </c>
      <c r="I458" s="15" t="inlineStr">
        <is>
          <t>Cash</t>
        </is>
      </c>
      <c r="J458" s="17" t="n">
        <v>1</v>
      </c>
      <c r="K458" s="28" t="n">
        <v>15.43</v>
      </c>
      <c r="L458" s="28" t="n">
        <v>15.43</v>
      </c>
      <c r="M458" s="27" t="n">
        <v>46309.846875</v>
      </c>
      <c r="N458" s="29">
        <f>IFERROR(IF(OR(ISBLANK(M458), M458="", ISBLANK(C458), C458=""), 0, MAX(0, ROUND((C458-M458)*86400, 0))), 0)</f>
        <v/>
      </c>
      <c r="O458" s="14">
        <f>IF(H458="Post-Bill Void", IF(AND(G458="M-904", I458="Cash"), "EXCEPTION: Concurrent Cash Void", IF(AND(I458="Cash", N458&gt;120), "CRITICAL: Delayed Cash Void", IF(N458&gt;120, "EXCEPTION: Delayed Void", "Standard Void"))), IF(H458="Line Item Void", IF(I458="Cash", "EXCEPTION: Cash Line Void", "Standard Line Void"), IF(H458="No-Sale Drawer Opening", "DRAWER OPENING", "Standard Sale")))</f>
        <v/>
      </c>
    </row>
    <row r="459" ht="18" customHeight="1">
      <c r="A459" s="12" t="inlineStr">
        <is>
          <t>EVT-10382</t>
        </is>
      </c>
      <c r="B459" s="12" t="inlineStr">
        <is>
          <t>TX-80382</t>
        </is>
      </c>
      <c r="C459" s="24" t="n">
        <v>46309.85424768519</v>
      </c>
      <c r="D459" s="12" t="inlineStr">
        <is>
          <t>BR-04</t>
        </is>
      </c>
      <c r="E459" s="12" t="inlineStr">
        <is>
          <t>T-02</t>
        </is>
      </c>
      <c r="F459" s="12" t="inlineStr">
        <is>
          <t>C-115</t>
        </is>
      </c>
      <c r="G459" s="12" t="inlineStr">
        <is>
          <t>NONE</t>
        </is>
      </c>
      <c r="H459" s="11" t="inlineStr">
        <is>
          <t>Sale Tender</t>
        </is>
      </c>
      <c r="I459" s="12" t="inlineStr">
        <is>
          <t>Card</t>
        </is>
      </c>
      <c r="J459" s="20" t="n">
        <v>6</v>
      </c>
      <c r="K459" s="25" t="n">
        <v>84.33</v>
      </c>
      <c r="L459" s="25" t="n">
        <v>84.33</v>
      </c>
      <c r="M459" s="24" t="n">
        <v>46309.85350694445</v>
      </c>
      <c r="N459" s="26">
        <f>IFERROR(IF(OR(ISBLANK(M459), M459="", ISBLANK(C459), C459=""), 0, MAX(0, ROUND((C459-M459)*86400, 0))), 0)</f>
        <v/>
      </c>
      <c r="O459" s="11">
        <f>IF(H459="Post-Bill Void", IF(AND(G459="M-904", I459="Cash"), "EXCEPTION: Concurrent Cash Void", IF(AND(I459="Cash", N459&gt;120), "CRITICAL: Delayed Cash Void", IF(N459&gt;120, "EXCEPTION: Delayed Void", "Standard Void"))), IF(H459="Line Item Void", IF(I459="Cash", "EXCEPTION: Cash Line Void", "Standard Line Void"), IF(H459="No-Sale Drawer Opening", "DRAWER OPENING", "Standard Sale")))</f>
        <v/>
      </c>
    </row>
    <row r="460" ht="18" customHeight="1">
      <c r="A460" s="15" t="inlineStr">
        <is>
          <t>EVT-10383</t>
        </is>
      </c>
      <c r="B460" s="15" t="inlineStr">
        <is>
          <t>TX-80383</t>
        </is>
      </c>
      <c r="C460" s="27" t="n">
        <v>46309.86119212963</v>
      </c>
      <c r="D460" s="15" t="inlineStr">
        <is>
          <t>BR-01</t>
        </is>
      </c>
      <c r="E460" s="15" t="inlineStr">
        <is>
          <t>T-02</t>
        </is>
      </c>
      <c r="F460" s="15" t="inlineStr">
        <is>
          <t>C-102</t>
        </is>
      </c>
      <c r="G460" s="15" t="inlineStr">
        <is>
          <t>NONE</t>
        </is>
      </c>
      <c r="H460" s="14" t="inlineStr">
        <is>
          <t>Sale Tender</t>
        </is>
      </c>
      <c r="I460" s="15" t="inlineStr">
        <is>
          <t>Card</t>
        </is>
      </c>
      <c r="J460" s="17" t="n">
        <v>3</v>
      </c>
      <c r="K460" s="28" t="n">
        <v>37.27</v>
      </c>
      <c r="L460" s="28" t="n">
        <v>37.27</v>
      </c>
      <c r="M460" s="27" t="n">
        <v>46309.86067129629</v>
      </c>
      <c r="N460" s="29">
        <f>IFERROR(IF(OR(ISBLANK(M460), M460="", ISBLANK(C460), C460=""), 0, MAX(0, ROUND((C460-M460)*86400, 0))), 0)</f>
        <v/>
      </c>
      <c r="O460" s="14">
        <f>IF(H460="Post-Bill Void", IF(AND(G460="M-904", I460="Cash"), "EXCEPTION: Concurrent Cash Void", IF(AND(I460="Cash", N460&gt;120), "CRITICAL: Delayed Cash Void", IF(N460&gt;120, "EXCEPTION: Delayed Void", "Standard Void"))), IF(H460="Line Item Void", IF(I460="Cash", "EXCEPTION: Cash Line Void", "Standard Line Void"), IF(H460="No-Sale Drawer Opening", "DRAWER OPENING", "Standard Sale")))</f>
        <v/>
      </c>
    </row>
    <row r="461" ht="18" customHeight="1">
      <c r="A461" s="12" t="inlineStr">
        <is>
          <t>EVT-10384</t>
        </is>
      </c>
      <c r="B461" s="12" t="inlineStr">
        <is>
          <t>TX-80384</t>
        </is>
      </c>
      <c r="C461" s="24" t="n">
        <v>46309.86863425926</v>
      </c>
      <c r="D461" s="12" t="inlineStr">
        <is>
          <t>BR-03</t>
        </is>
      </c>
      <c r="E461" s="12" t="inlineStr">
        <is>
          <t>T-01</t>
        </is>
      </c>
      <c r="F461" s="12" t="inlineStr">
        <is>
          <t>C-110</t>
        </is>
      </c>
      <c r="G461" s="12" t="inlineStr">
        <is>
          <t>NONE</t>
        </is>
      </c>
      <c r="H461" s="11" t="inlineStr">
        <is>
          <t>Sale Tender</t>
        </is>
      </c>
      <c r="I461" s="12" t="inlineStr">
        <is>
          <t>Card</t>
        </is>
      </c>
      <c r="J461" s="20" t="n">
        <v>1</v>
      </c>
      <c r="K461" s="25" t="n">
        <v>14.29</v>
      </c>
      <c r="L461" s="25" t="n">
        <v>14.29</v>
      </c>
      <c r="M461" s="24" t="n">
        <v>46309.86795138889</v>
      </c>
      <c r="N461" s="26">
        <f>IFERROR(IF(OR(ISBLANK(M461), M461="", ISBLANK(C461), C461=""), 0, MAX(0, ROUND((C461-M461)*86400, 0))), 0)</f>
        <v/>
      </c>
      <c r="O461" s="11">
        <f>IF(H461="Post-Bill Void", IF(AND(G461="M-904", I461="Cash"), "EXCEPTION: Concurrent Cash Void", IF(AND(I461="Cash", N461&gt;120), "CRITICAL: Delayed Cash Void", IF(N461&gt;120, "EXCEPTION: Delayed Void", "Standard Void"))), IF(H461="Line Item Void", IF(I461="Cash", "EXCEPTION: Cash Line Void", "Standard Line Void"), IF(H461="No-Sale Drawer Opening", "DRAWER OPENING", "Standard Sale")))</f>
        <v/>
      </c>
    </row>
    <row r="462" ht="18" customHeight="1">
      <c r="A462" s="15" t="inlineStr">
        <is>
          <t>EVT-10385</t>
        </is>
      </c>
      <c r="B462" s="15" t="inlineStr">
        <is>
          <t>TX-80385</t>
        </is>
      </c>
      <c r="C462" s="27" t="n">
        <v>46309.87501157408</v>
      </c>
      <c r="D462" s="15" t="inlineStr">
        <is>
          <t>BR-03</t>
        </is>
      </c>
      <c r="E462" s="15" t="inlineStr">
        <is>
          <t>T-01</t>
        </is>
      </c>
      <c r="F462" s="15" t="inlineStr">
        <is>
          <t>C-112</t>
        </is>
      </c>
      <c r="G462" s="15" t="inlineStr">
        <is>
          <t>NONE</t>
        </is>
      </c>
      <c r="H462" s="14" t="inlineStr">
        <is>
          <t>Sale Tender</t>
        </is>
      </c>
      <c r="I462" s="15" t="inlineStr">
        <is>
          <t>Cash</t>
        </is>
      </c>
      <c r="J462" s="17" t="n">
        <v>5</v>
      </c>
      <c r="K462" s="28" t="n">
        <v>66.03</v>
      </c>
      <c r="L462" s="28" t="n">
        <v>66.03</v>
      </c>
      <c r="M462" s="27" t="n">
        <v>46309.87462962963</v>
      </c>
      <c r="N462" s="29">
        <f>IFERROR(IF(OR(ISBLANK(M462), M462="", ISBLANK(C462), C462=""), 0, MAX(0, ROUND((C462-M462)*86400, 0))), 0)</f>
        <v/>
      </c>
      <c r="O462" s="14">
        <f>IF(H462="Post-Bill Void", IF(AND(G462="M-904", I462="Cash"), "EXCEPTION: Concurrent Cash Void", IF(AND(I462="Cash", N462&gt;120), "CRITICAL: Delayed Cash Void", IF(N462&gt;120, "EXCEPTION: Delayed Void", "Standard Void"))), IF(H462="Line Item Void", IF(I462="Cash", "EXCEPTION: Cash Line Void", "Standard Line Void"), IF(H462="No-Sale Drawer Opening", "DRAWER OPENING", "Standard Sale")))</f>
        <v/>
      </c>
    </row>
    <row r="463" ht="18" customHeight="1">
      <c r="A463" s="12" t="inlineStr">
        <is>
          <t>EVT-10386</t>
        </is>
      </c>
      <c r="B463" s="12" t="inlineStr">
        <is>
          <t>TX-80386</t>
        </is>
      </c>
      <c r="C463" s="24" t="n">
        <v>46309.88230324074</v>
      </c>
      <c r="D463" s="12" t="inlineStr">
        <is>
          <t>BR-04</t>
        </is>
      </c>
      <c r="E463" s="12" t="inlineStr">
        <is>
          <t>T-01</t>
        </is>
      </c>
      <c r="F463" s="12" t="inlineStr">
        <is>
          <t>C-115</t>
        </is>
      </c>
      <c r="G463" s="12" t="inlineStr">
        <is>
          <t>NONE</t>
        </is>
      </c>
      <c r="H463" s="11" t="inlineStr">
        <is>
          <t>Sale Tender</t>
        </is>
      </c>
      <c r="I463" s="12" t="inlineStr">
        <is>
          <t>Delivery Aggregator</t>
        </is>
      </c>
      <c r="J463" s="20" t="n">
        <v>2</v>
      </c>
      <c r="K463" s="25" t="n">
        <v>22.52</v>
      </c>
      <c r="L463" s="25" t="n">
        <v>22.52</v>
      </c>
      <c r="M463" s="24" t="n">
        <v>46309.88128472222</v>
      </c>
      <c r="N463" s="26">
        <f>IFERROR(IF(OR(ISBLANK(M463), M463="", ISBLANK(C463), C463=""), 0, MAX(0, ROUND((C463-M463)*86400, 0))), 0)</f>
        <v/>
      </c>
      <c r="O463" s="11">
        <f>IF(H463="Post-Bill Void", IF(AND(G463="M-904", I463="Cash"), "EXCEPTION: Concurrent Cash Void", IF(AND(I463="Cash", N463&gt;120), "CRITICAL: Delayed Cash Void", IF(N463&gt;120, "EXCEPTION: Delayed Void", "Standard Void"))), IF(H463="Line Item Void", IF(I463="Cash", "EXCEPTION: Cash Line Void", "Standard Line Void"), IF(H463="No-Sale Drawer Opening", "DRAWER OPENING", "Standard Sale")))</f>
        <v/>
      </c>
    </row>
    <row r="464" ht="18" customHeight="1">
      <c r="A464" s="15" t="inlineStr">
        <is>
          <t>EVT-10387</t>
        </is>
      </c>
      <c r="B464" s="15" t="inlineStr">
        <is>
          <t>TX-80387</t>
        </is>
      </c>
      <c r="C464" s="27" t="n">
        <v>46309.88907407408</v>
      </c>
      <c r="D464" s="15" t="inlineStr">
        <is>
          <t>BR-01</t>
        </is>
      </c>
      <c r="E464" s="15" t="inlineStr">
        <is>
          <t>T-01</t>
        </is>
      </c>
      <c r="F464" s="15" t="inlineStr">
        <is>
          <t>C-101</t>
        </is>
      </c>
      <c r="G464" s="15" t="inlineStr">
        <is>
          <t>NONE</t>
        </is>
      </c>
      <c r="H464" s="14" t="inlineStr">
        <is>
          <t>Sale Tender</t>
        </is>
      </c>
      <c r="I464" s="15" t="inlineStr">
        <is>
          <t>Cash</t>
        </is>
      </c>
      <c r="J464" s="17" t="n">
        <v>1</v>
      </c>
      <c r="K464" s="28" t="n">
        <v>10.33</v>
      </c>
      <c r="L464" s="28" t="n">
        <v>10.33</v>
      </c>
      <c r="M464" s="27" t="n">
        <v>46309.88803240741</v>
      </c>
      <c r="N464" s="29">
        <f>IFERROR(IF(OR(ISBLANK(M464), M464="", ISBLANK(C464), C464=""), 0, MAX(0, ROUND((C464-M464)*86400, 0))), 0)</f>
        <v/>
      </c>
      <c r="O464" s="14">
        <f>IF(H464="Post-Bill Void", IF(AND(G464="M-904", I464="Cash"), "EXCEPTION: Concurrent Cash Void", IF(AND(I464="Cash", N464&gt;120), "CRITICAL: Delayed Cash Void", IF(N464&gt;120, "EXCEPTION: Delayed Void", "Standard Void"))), IF(H464="Line Item Void", IF(I464="Cash", "EXCEPTION: Cash Line Void", "Standard Line Void"), IF(H464="No-Sale Drawer Opening", "DRAWER OPENING", "Standard Sale")))</f>
        <v/>
      </c>
    </row>
    <row r="465" ht="18" customHeight="1">
      <c r="A465" s="12" t="inlineStr">
        <is>
          <t>EVT-10388</t>
        </is>
      </c>
      <c r="B465" s="12" t="inlineStr">
        <is>
          <t>TX-80388</t>
        </is>
      </c>
      <c r="C465" s="24" t="n">
        <v>46309.89618055556</v>
      </c>
      <c r="D465" s="12" t="inlineStr">
        <is>
          <t>BR-03</t>
        </is>
      </c>
      <c r="E465" s="12" t="inlineStr">
        <is>
          <t>T-02</t>
        </is>
      </c>
      <c r="F465" s="12" t="inlineStr">
        <is>
          <t>C-112</t>
        </is>
      </c>
      <c r="G465" s="12" t="inlineStr">
        <is>
          <t>NONE</t>
        </is>
      </c>
      <c r="H465" s="11" t="inlineStr">
        <is>
          <t>Sale Tender</t>
        </is>
      </c>
      <c r="I465" s="12" t="inlineStr">
        <is>
          <t>Delivery Aggregator</t>
        </is>
      </c>
      <c r="J465" s="20" t="n">
        <v>1</v>
      </c>
      <c r="K465" s="25" t="n">
        <v>12.65</v>
      </c>
      <c r="L465" s="25" t="n">
        <v>12.65</v>
      </c>
      <c r="M465" s="24" t="n">
        <v>46309.89563657407</v>
      </c>
      <c r="N465" s="26">
        <f>IFERROR(IF(OR(ISBLANK(M465), M465="", ISBLANK(C465), C465=""), 0, MAX(0, ROUND((C465-M465)*86400, 0))), 0)</f>
        <v/>
      </c>
      <c r="O465" s="11">
        <f>IF(H465="Post-Bill Void", IF(AND(G465="M-904", I465="Cash"), "EXCEPTION: Concurrent Cash Void", IF(AND(I465="Cash", N465&gt;120), "CRITICAL: Delayed Cash Void", IF(N465&gt;120, "EXCEPTION: Delayed Void", "Standard Void"))), IF(H465="Line Item Void", IF(I465="Cash", "EXCEPTION: Cash Line Void", "Standard Line Void"), IF(H465="No-Sale Drawer Opening", "DRAWER OPENING", "Standard Sale")))</f>
        <v/>
      </c>
    </row>
    <row r="466" ht="18" customHeight="1">
      <c r="A466" s="15" t="inlineStr">
        <is>
          <t>EVT-10389</t>
        </is>
      </c>
      <c r="B466" s="15" t="inlineStr">
        <is>
          <t>TX-80389</t>
        </is>
      </c>
      <c r="C466" s="27" t="n">
        <v>46309.90344907407</v>
      </c>
      <c r="D466" s="15" t="inlineStr">
        <is>
          <t>BR-04</t>
        </is>
      </c>
      <c r="E466" s="15" t="inlineStr">
        <is>
          <t>T-01</t>
        </is>
      </c>
      <c r="F466" s="15" t="inlineStr">
        <is>
          <t>C-113</t>
        </is>
      </c>
      <c r="G466" s="15" t="inlineStr">
        <is>
          <t>NONE</t>
        </is>
      </c>
      <c r="H466" s="14" t="inlineStr">
        <is>
          <t>Sale Tender</t>
        </is>
      </c>
      <c r="I466" s="15" t="inlineStr">
        <is>
          <t>Delivery Aggregator</t>
        </is>
      </c>
      <c r="J466" s="17" t="n">
        <v>3</v>
      </c>
      <c r="K466" s="28" t="n">
        <v>31.6</v>
      </c>
      <c r="L466" s="28" t="n">
        <v>31.6</v>
      </c>
      <c r="M466" s="27" t="n">
        <v>46309.9025462963</v>
      </c>
      <c r="N466" s="29">
        <f>IFERROR(IF(OR(ISBLANK(M466), M466="", ISBLANK(C466), C466=""), 0, MAX(0, ROUND((C466-M466)*86400, 0))), 0)</f>
        <v/>
      </c>
      <c r="O466" s="14">
        <f>IF(H466="Post-Bill Void", IF(AND(G466="M-904", I466="Cash"), "EXCEPTION: Concurrent Cash Void", IF(AND(I466="Cash", N466&gt;120), "CRITICAL: Delayed Cash Void", IF(N466&gt;120, "EXCEPTION: Delayed Void", "Standard Void"))), IF(H466="Line Item Void", IF(I466="Cash", "EXCEPTION: Cash Line Void", "Standard Line Void"), IF(H466="No-Sale Drawer Opening", "DRAWER OPENING", "Standard Sale")))</f>
        <v/>
      </c>
    </row>
    <row r="467" ht="18" customHeight="1">
      <c r="A467" s="12" t="inlineStr">
        <is>
          <t>EVT-10592</t>
        </is>
      </c>
      <c r="B467" s="12" t="inlineStr">
        <is>
          <t>N/A - NO SALE</t>
        </is>
      </c>
      <c r="C467" s="24" t="n">
        <v>46309.90555555555</v>
      </c>
      <c r="D467" s="12" t="inlineStr">
        <is>
          <t>BR-03</t>
        </is>
      </c>
      <c r="E467" s="12" t="inlineStr">
        <is>
          <t>T-02</t>
        </is>
      </c>
      <c r="F467" s="12" t="inlineStr">
        <is>
          <t>C-112</t>
        </is>
      </c>
      <c r="G467" s="12" t="inlineStr">
        <is>
          <t>NONE</t>
        </is>
      </c>
      <c r="H467" s="11" t="inlineStr">
        <is>
          <t>No-Sale Drawer Opening</t>
        </is>
      </c>
      <c r="I467" s="12" t="inlineStr">
        <is>
          <t>N/A</t>
        </is>
      </c>
      <c r="J467" s="20" t="n">
        <v>0</v>
      </c>
      <c r="K467" s="25" t="n">
        <v>0</v>
      </c>
      <c r="L467" s="25" t="n">
        <v>0</v>
      </c>
      <c r="M467" s="24" t="n">
        <v>46309.90555555555</v>
      </c>
      <c r="N467" s="26">
        <f>IFERROR(IF(OR(ISBLANK(M467), M467="", ISBLANK(C467), C467=""), 0, MAX(0, ROUND((C467-M467)*86400, 0))), 0)</f>
        <v/>
      </c>
      <c r="O467" s="11">
        <f>IF(H467="Post-Bill Void", IF(AND(G467="M-904", I467="Cash"), "EXCEPTION: Concurrent Cash Void", IF(AND(I467="Cash", N467&gt;120), "CRITICAL: Delayed Cash Void", IF(N467&gt;120, "EXCEPTION: Delayed Void", "Standard Void"))), IF(H467="Line Item Void", IF(I467="Cash", "EXCEPTION: Cash Line Void", "Standard Line Void"), IF(H467="No-Sale Drawer Opening", "DRAWER OPENING", "Standard Sale")))</f>
        <v/>
      </c>
    </row>
    <row r="468" ht="18" customHeight="1">
      <c r="A468" s="15" t="inlineStr">
        <is>
          <t>EVT-10616</t>
        </is>
      </c>
      <c r="B468" s="15" t="inlineStr">
        <is>
          <t>N/A - NO SALE</t>
        </is>
      </c>
      <c r="C468" s="27" t="n">
        <v>46309.90694444445</v>
      </c>
      <c r="D468" s="15" t="inlineStr">
        <is>
          <t>BR-03</t>
        </is>
      </c>
      <c r="E468" s="15" t="inlineStr">
        <is>
          <t>T-02</t>
        </is>
      </c>
      <c r="F468" s="15" t="inlineStr">
        <is>
          <t>C-112</t>
        </is>
      </c>
      <c r="G468" s="15" t="inlineStr">
        <is>
          <t>NONE</t>
        </is>
      </c>
      <c r="H468" s="14" t="inlineStr">
        <is>
          <t>No-Sale Drawer Opening</t>
        </is>
      </c>
      <c r="I468" s="15" t="inlineStr">
        <is>
          <t>N/A</t>
        </is>
      </c>
      <c r="J468" s="17" t="n">
        <v>0</v>
      </c>
      <c r="K468" s="28" t="n">
        <v>0</v>
      </c>
      <c r="L468" s="28" t="n">
        <v>0</v>
      </c>
      <c r="M468" s="27" t="n">
        <v>46309.90694444445</v>
      </c>
      <c r="N468" s="29">
        <f>IFERROR(IF(OR(ISBLANK(M468), M468="", ISBLANK(C468), C468=""), 0, MAX(0, ROUND((C468-M468)*86400, 0))), 0)</f>
        <v/>
      </c>
      <c r="O468" s="14">
        <f>IF(H468="Post-Bill Void", IF(AND(G468="M-904", I468="Cash"), "EXCEPTION: Concurrent Cash Void", IF(AND(I468="Cash", N468&gt;120), "CRITICAL: Delayed Cash Void", IF(N468&gt;120, "EXCEPTION: Delayed Void", "Standard Void"))), IF(H468="Line Item Void", IF(I468="Cash", "EXCEPTION: Cash Line Void", "Standard Line Void"), IF(H468="No-Sale Drawer Opening", "DRAWER OPENING", "Standard Sale")))</f>
        <v/>
      </c>
    </row>
    <row r="469" ht="18" customHeight="1">
      <c r="A469" s="12" t="inlineStr">
        <is>
          <t>EVT-10390</t>
        </is>
      </c>
      <c r="B469" s="12" t="inlineStr">
        <is>
          <t>TX-80390</t>
        </is>
      </c>
      <c r="C469" s="24" t="n">
        <v>46309.90976851852</v>
      </c>
      <c r="D469" s="12" t="inlineStr">
        <is>
          <t>BR-03</t>
        </is>
      </c>
      <c r="E469" s="12" t="inlineStr">
        <is>
          <t>T-01</t>
        </is>
      </c>
      <c r="F469" s="12" t="inlineStr">
        <is>
          <t>C-109</t>
        </is>
      </c>
      <c r="G469" s="12" t="inlineStr">
        <is>
          <t>NONE</t>
        </is>
      </c>
      <c r="H469" s="11" t="inlineStr">
        <is>
          <t>Sale Tender</t>
        </is>
      </c>
      <c r="I469" s="12" t="inlineStr">
        <is>
          <t>Cash</t>
        </is>
      </c>
      <c r="J469" s="20" t="n">
        <v>5</v>
      </c>
      <c r="K469" s="25" t="n">
        <v>79.3</v>
      </c>
      <c r="L469" s="25" t="n">
        <v>79.3</v>
      </c>
      <c r="M469" s="24" t="n">
        <v>46309.90940972222</v>
      </c>
      <c r="N469" s="26">
        <f>IFERROR(IF(OR(ISBLANK(M469), M469="", ISBLANK(C469), C469=""), 0, MAX(0, ROUND((C469-M469)*86400, 0))), 0)</f>
        <v/>
      </c>
      <c r="O469" s="11">
        <f>IF(H469="Post-Bill Void", IF(AND(G469="M-904", I469="Cash"), "EXCEPTION: Concurrent Cash Void", IF(AND(I469="Cash", N469&gt;120), "CRITICAL: Delayed Cash Void", IF(N469&gt;120, "EXCEPTION: Delayed Void", "Standard Void"))), IF(H469="Line Item Void", IF(I469="Cash", "EXCEPTION: Cash Line Void", "Standard Line Void"), IF(H469="No-Sale Drawer Opening", "DRAWER OPENING", "Standard Sale")))</f>
        <v/>
      </c>
    </row>
    <row r="470" ht="18" customHeight="1">
      <c r="A470" s="15" t="inlineStr">
        <is>
          <t>EVT-10636</t>
        </is>
      </c>
      <c r="B470" s="15" t="inlineStr">
        <is>
          <t>N/A - NO SALE</t>
        </is>
      </c>
      <c r="C470" s="27" t="n">
        <v>46309.91875</v>
      </c>
      <c r="D470" s="15" t="inlineStr">
        <is>
          <t>BR-02</t>
        </is>
      </c>
      <c r="E470" s="15" t="inlineStr">
        <is>
          <t>T-01</t>
        </is>
      </c>
      <c r="F470" s="15" t="inlineStr">
        <is>
          <t>C-105</t>
        </is>
      </c>
      <c r="G470" s="15" t="inlineStr">
        <is>
          <t>NONE</t>
        </is>
      </c>
      <c r="H470" s="14" t="inlineStr">
        <is>
          <t>No-Sale Drawer Opening</t>
        </is>
      </c>
      <c r="I470" s="15" t="inlineStr">
        <is>
          <t>N/A</t>
        </is>
      </c>
      <c r="J470" s="17" t="n">
        <v>0</v>
      </c>
      <c r="K470" s="28" t="n">
        <v>0</v>
      </c>
      <c r="L470" s="28" t="n">
        <v>0</v>
      </c>
      <c r="M470" s="27" t="n">
        <v>46309.91875</v>
      </c>
      <c r="N470" s="29">
        <f>IFERROR(IF(OR(ISBLANK(M470), M470="", ISBLANK(C470), C470=""), 0, MAX(0, ROUND((C470-M470)*86400, 0))), 0)</f>
        <v/>
      </c>
      <c r="O470" s="14">
        <f>IF(H470="Post-Bill Void", IF(AND(G470="M-904", I470="Cash"), "EXCEPTION: Concurrent Cash Void", IF(AND(I470="Cash", N470&gt;120), "CRITICAL: Delayed Cash Void", IF(N470&gt;120, "EXCEPTION: Delayed Void", "Standard Void"))), IF(H470="Line Item Void", IF(I470="Cash", "EXCEPTION: Cash Line Void", "Standard Line Void"), IF(H470="No-Sale Drawer Opening", "DRAWER OPENING", "Standard Sale")))</f>
        <v/>
      </c>
    </row>
    <row r="471" ht="18" customHeight="1">
      <c r="A471" s="12" t="inlineStr">
        <is>
          <t>EVT-10610</t>
        </is>
      </c>
      <c r="B471" s="12" t="inlineStr">
        <is>
          <t>N/A - NO SALE</t>
        </is>
      </c>
      <c r="C471" s="24" t="n">
        <v>46309.92083333333</v>
      </c>
      <c r="D471" s="12" t="inlineStr">
        <is>
          <t>BR-03</t>
        </is>
      </c>
      <c r="E471" s="12" t="inlineStr">
        <is>
          <t>T-02</t>
        </is>
      </c>
      <c r="F471" s="12" t="inlineStr">
        <is>
          <t>C-112</t>
        </is>
      </c>
      <c r="G471" s="12" t="inlineStr">
        <is>
          <t>NONE</t>
        </is>
      </c>
      <c r="H471" s="11" t="inlineStr">
        <is>
          <t>No-Sale Drawer Opening</t>
        </is>
      </c>
      <c r="I471" s="12" t="inlineStr">
        <is>
          <t>N/A</t>
        </is>
      </c>
      <c r="J471" s="20" t="n">
        <v>0</v>
      </c>
      <c r="K471" s="25" t="n">
        <v>0</v>
      </c>
      <c r="L471" s="25" t="n">
        <v>0</v>
      </c>
      <c r="M471" s="24" t="n">
        <v>46309.92083333333</v>
      </c>
      <c r="N471" s="26">
        <f>IFERROR(IF(OR(ISBLANK(M471), M471="", ISBLANK(C471), C471=""), 0, MAX(0, ROUND((C471-M471)*86400, 0))), 0)</f>
        <v/>
      </c>
      <c r="O471" s="11">
        <f>IF(H471="Post-Bill Void", IF(AND(G471="M-904", I471="Cash"), "EXCEPTION: Concurrent Cash Void", IF(AND(I471="Cash", N471&gt;120), "CRITICAL: Delayed Cash Void", IF(N471&gt;120, "EXCEPTION: Delayed Void", "Standard Void"))), IF(H471="Line Item Void", IF(I471="Cash", "EXCEPTION: Cash Line Void", "Standard Line Void"), IF(H471="No-Sale Drawer Opening", "DRAWER OPENING", "Standard Sale")))</f>
        <v/>
      </c>
    </row>
    <row r="472" ht="18" customHeight="1">
      <c r="A472" s="15" t="inlineStr">
        <is>
          <t>EVT-10600</t>
        </is>
      </c>
      <c r="B472" s="15" t="inlineStr">
        <is>
          <t>N/A - NO SALE</t>
        </is>
      </c>
      <c r="C472" s="27" t="n">
        <v>46309.95555555556</v>
      </c>
      <c r="D472" s="15" t="inlineStr">
        <is>
          <t>BR-03</t>
        </is>
      </c>
      <c r="E472" s="15" t="inlineStr">
        <is>
          <t>T-02</t>
        </is>
      </c>
      <c r="F472" s="15" t="inlineStr">
        <is>
          <t>C-112</t>
        </is>
      </c>
      <c r="G472" s="15" t="inlineStr">
        <is>
          <t>NONE</t>
        </is>
      </c>
      <c r="H472" s="14" t="inlineStr">
        <is>
          <t>No-Sale Drawer Opening</t>
        </is>
      </c>
      <c r="I472" s="15" t="inlineStr">
        <is>
          <t>N/A</t>
        </is>
      </c>
      <c r="J472" s="17" t="n">
        <v>0</v>
      </c>
      <c r="K472" s="28" t="n">
        <v>0</v>
      </c>
      <c r="L472" s="28" t="n">
        <v>0</v>
      </c>
      <c r="M472" s="27" t="n">
        <v>46309.95555555556</v>
      </c>
      <c r="N472" s="29">
        <f>IFERROR(IF(OR(ISBLANK(M472), M472="", ISBLANK(C472), C472=""), 0, MAX(0, ROUND((C472-M472)*86400, 0))), 0)</f>
        <v/>
      </c>
      <c r="O472" s="14">
        <f>IF(H472="Post-Bill Void", IF(AND(G472="M-904", I472="Cash"), "EXCEPTION: Concurrent Cash Void", IF(AND(I472="Cash", N472&gt;120), "CRITICAL: Delayed Cash Void", IF(N472&gt;120, "EXCEPTION: Delayed Void", "Standard Void"))), IF(H472="Line Item Void", IF(I472="Cash", "EXCEPTION: Cash Line Void", "Standard Line Void"), IF(H472="No-Sale Drawer Opening", "DRAWER OPENING", "Standard Sale")))</f>
        <v/>
      </c>
    </row>
    <row r="473" ht="18" customHeight="1">
      <c r="A473" s="12" t="inlineStr">
        <is>
          <t>EVT-10625</t>
        </is>
      </c>
      <c r="B473" s="12" t="inlineStr">
        <is>
          <t>N/A - NO SALE</t>
        </is>
      </c>
      <c r="C473" s="24" t="n">
        <v>46309.96805555555</v>
      </c>
      <c r="D473" s="12" t="inlineStr">
        <is>
          <t>BR-03</t>
        </is>
      </c>
      <c r="E473" s="12" t="inlineStr">
        <is>
          <t>T-02</t>
        </is>
      </c>
      <c r="F473" s="12" t="inlineStr">
        <is>
          <t>C-112</t>
        </is>
      </c>
      <c r="G473" s="12" t="inlineStr">
        <is>
          <t>NONE</t>
        </is>
      </c>
      <c r="H473" s="11" t="inlineStr">
        <is>
          <t>No-Sale Drawer Opening</t>
        </is>
      </c>
      <c r="I473" s="12" t="inlineStr">
        <is>
          <t>N/A</t>
        </is>
      </c>
      <c r="J473" s="20" t="n">
        <v>0</v>
      </c>
      <c r="K473" s="25" t="n">
        <v>0</v>
      </c>
      <c r="L473" s="25" t="n">
        <v>0</v>
      </c>
      <c r="M473" s="24" t="n">
        <v>46309.96805555555</v>
      </c>
      <c r="N473" s="26">
        <f>IFERROR(IF(OR(ISBLANK(M473), M473="", ISBLANK(C473), C473=""), 0, MAX(0, ROUND((C473-M473)*86400, 0))), 0)</f>
        <v/>
      </c>
      <c r="O473" s="11">
        <f>IF(H473="Post-Bill Void", IF(AND(G473="M-904", I473="Cash"), "EXCEPTION: Concurrent Cash Void", IF(AND(I473="Cash", N473&gt;120), "CRITICAL: Delayed Cash Void", IF(N473&gt;120, "EXCEPTION: Delayed Void", "Standard Void"))), IF(H473="Line Item Void", IF(I473="Cash", "EXCEPTION: Cash Line Void", "Standard Line Void"), IF(H473="No-Sale Drawer Opening", "DRAWER OPENING", "Standard Sale")))</f>
        <v/>
      </c>
    </row>
    <row r="474" ht="18" customHeight="1">
      <c r="A474" s="15" t="inlineStr">
        <is>
          <t>EVT-10638</t>
        </is>
      </c>
      <c r="B474" s="15" t="inlineStr">
        <is>
          <t>TX-80594</t>
        </is>
      </c>
      <c r="C474" s="27" t="n">
        <v>46309.96944444445</v>
      </c>
      <c r="D474" s="15" t="inlineStr">
        <is>
          <t>BR-02</t>
        </is>
      </c>
      <c r="E474" s="15" t="inlineStr">
        <is>
          <t>T-01</t>
        </is>
      </c>
      <c r="F474" s="15" t="inlineStr">
        <is>
          <t>C-106</t>
        </is>
      </c>
      <c r="G474" s="15" t="inlineStr">
        <is>
          <t>M-902</t>
        </is>
      </c>
      <c r="H474" s="14" t="inlineStr">
        <is>
          <t>Post-Bill Void</t>
        </is>
      </c>
      <c r="I474" s="15" t="inlineStr">
        <is>
          <t>Cash</t>
        </is>
      </c>
      <c r="J474" s="17" t="n">
        <v>1</v>
      </c>
      <c r="K474" s="28" t="n">
        <v>16.52</v>
      </c>
      <c r="L474" s="28" t="n">
        <v>0</v>
      </c>
      <c r="M474" s="27" t="n">
        <v>46309.96892361111</v>
      </c>
      <c r="N474" s="29">
        <f>IFERROR(IF(OR(ISBLANK(M474), M474="", ISBLANK(C474), C474=""), 0, MAX(0, ROUND((C474-M474)*86400, 0))), 0)</f>
        <v/>
      </c>
      <c r="O474" s="14">
        <f>IF(H474="Post-Bill Void", IF(AND(G474="M-904", I474="Cash"), "EXCEPTION: Concurrent Cash Void", IF(AND(I474="Cash", N474&gt;120), "CRITICAL: Delayed Cash Void", IF(N474&gt;120, "EXCEPTION: Delayed Void", "Standard Void"))), IF(H474="Line Item Void", IF(I474="Cash", "EXCEPTION: Cash Line Void", "Standard Line Void"), IF(H474="No-Sale Drawer Opening", "DRAWER OPENING", "Standard Sale")))</f>
        <v/>
      </c>
    </row>
    <row r="475" ht="18" customHeight="1">
      <c r="A475" s="12" t="inlineStr">
        <is>
          <t>EVT-10643</t>
        </is>
      </c>
      <c r="B475" s="12" t="inlineStr">
        <is>
          <t>N/A - NO SALE</t>
        </is>
      </c>
      <c r="C475" s="24" t="n">
        <v>46309.97638888889</v>
      </c>
      <c r="D475" s="12" t="inlineStr">
        <is>
          <t>BR-02</t>
        </is>
      </c>
      <c r="E475" s="12" t="inlineStr">
        <is>
          <t>T-01</t>
        </is>
      </c>
      <c r="F475" s="12" t="inlineStr">
        <is>
          <t>C-107</t>
        </is>
      </c>
      <c r="G475" s="12" t="inlineStr">
        <is>
          <t>NONE</t>
        </is>
      </c>
      <c r="H475" s="11" t="inlineStr">
        <is>
          <t>No-Sale Drawer Opening</t>
        </is>
      </c>
      <c r="I475" s="12" t="inlineStr">
        <is>
          <t>N/A</t>
        </is>
      </c>
      <c r="J475" s="20" t="n">
        <v>0</v>
      </c>
      <c r="K475" s="25" t="n">
        <v>0</v>
      </c>
      <c r="L475" s="25" t="n">
        <v>0</v>
      </c>
      <c r="M475" s="24" t="n">
        <v>46309.97638888889</v>
      </c>
      <c r="N475" s="26">
        <f>IFERROR(IF(OR(ISBLANK(M475), M475="", ISBLANK(C475), C475=""), 0, MAX(0, ROUND((C475-M475)*86400, 0))), 0)</f>
        <v/>
      </c>
      <c r="O475" s="11">
        <f>IF(H475="Post-Bill Void", IF(AND(G475="M-904", I475="Cash"), "EXCEPTION: Concurrent Cash Void", IF(AND(I475="Cash", N475&gt;120), "CRITICAL: Delayed Cash Void", IF(N475&gt;120, "EXCEPTION: Delayed Void", "Standard Void"))), IF(H475="Line Item Void", IF(I475="Cash", "EXCEPTION: Cash Line Void", "Standard Line Void"), IF(H475="No-Sale Drawer Opening", "DRAWER OPENING", "Standard Sale")))</f>
        <v/>
      </c>
    </row>
    <row r="476" ht="18" customHeight="1">
      <c r="A476" s="15" t="inlineStr">
        <is>
          <t>EVT-10595</t>
        </is>
      </c>
      <c r="B476" s="15" t="inlineStr">
        <is>
          <t>N/A - NO SALE</t>
        </is>
      </c>
      <c r="C476" s="27" t="n">
        <v>46309.97777777778</v>
      </c>
      <c r="D476" s="15" t="inlineStr">
        <is>
          <t>BR-03</t>
        </is>
      </c>
      <c r="E476" s="15" t="inlineStr">
        <is>
          <t>T-02</t>
        </is>
      </c>
      <c r="F476" s="15" t="inlineStr">
        <is>
          <t>C-112</t>
        </is>
      </c>
      <c r="G476" s="15" t="inlineStr">
        <is>
          <t>NONE</t>
        </is>
      </c>
      <c r="H476" s="14" t="inlineStr">
        <is>
          <t>No-Sale Drawer Opening</t>
        </is>
      </c>
      <c r="I476" s="15" t="inlineStr">
        <is>
          <t>N/A</t>
        </is>
      </c>
      <c r="J476" s="17" t="n">
        <v>0</v>
      </c>
      <c r="K476" s="28" t="n">
        <v>0</v>
      </c>
      <c r="L476" s="28" t="n">
        <v>0</v>
      </c>
      <c r="M476" s="27" t="n">
        <v>46309.97777777778</v>
      </c>
      <c r="N476" s="29">
        <f>IFERROR(IF(OR(ISBLANK(M476), M476="", ISBLANK(C476), C476=""), 0, MAX(0, ROUND((C476-M476)*86400, 0))), 0)</f>
        <v/>
      </c>
      <c r="O476" s="14">
        <f>IF(H476="Post-Bill Void", IF(AND(G476="M-904", I476="Cash"), "EXCEPTION: Concurrent Cash Void", IF(AND(I476="Cash", N476&gt;120), "CRITICAL: Delayed Cash Void", IF(N476&gt;120, "EXCEPTION: Delayed Void", "Standard Void"))), IF(H476="Line Item Void", IF(I476="Cash", "EXCEPTION: Cash Line Void", "Standard Line Void"), IF(H476="No-Sale Drawer Opening", "DRAWER OPENING", "Standard Sale")))</f>
        <v/>
      </c>
    </row>
    <row r="477" ht="18" customHeight="1">
      <c r="A477" s="12" t="inlineStr">
        <is>
          <t>EVT-10582</t>
        </is>
      </c>
      <c r="B477" s="12" t="inlineStr">
        <is>
          <t>TX-80582</t>
        </is>
      </c>
      <c r="C477" s="24" t="n">
        <v>46310.02777777778</v>
      </c>
      <c r="D477" s="12" t="inlineStr">
        <is>
          <t>BR-02</t>
        </is>
      </c>
      <c r="E477" s="12" t="inlineStr">
        <is>
          <t>T-01</t>
        </is>
      </c>
      <c r="F477" s="12" t="inlineStr">
        <is>
          <t>C-108</t>
        </is>
      </c>
      <c r="G477" s="12" t="inlineStr">
        <is>
          <t>M-902</t>
        </is>
      </c>
      <c r="H477" s="11" t="inlineStr">
        <is>
          <t>Line Item Void</t>
        </is>
      </c>
      <c r="I477" s="12" t="inlineStr">
        <is>
          <t>Cash</t>
        </is>
      </c>
      <c r="J477" s="20" t="n">
        <v>2</v>
      </c>
      <c r="K477" s="25" t="n">
        <v>45.98</v>
      </c>
      <c r="L477" s="25" t="n">
        <v>0</v>
      </c>
      <c r="M477" s="24" t="n">
        <v>46310.02707175926</v>
      </c>
      <c r="N477" s="26">
        <f>IFERROR(IF(OR(ISBLANK(M477), M477="", ISBLANK(C477), C477=""), 0, MAX(0, ROUND((C477-M477)*86400, 0))), 0)</f>
        <v/>
      </c>
      <c r="O477" s="11">
        <f>IF(H477="Post-Bill Void", IF(AND(G477="M-904", I477="Cash"), "EXCEPTION: Concurrent Cash Void", IF(AND(I477="Cash", N477&gt;120), "CRITICAL: Delayed Cash Void", IF(N477&gt;120, "EXCEPTION: Delayed Void", "Standard Void"))), IF(H477="Line Item Void", IF(I477="Cash", "EXCEPTION: Cash Line Void", "Standard Line Void"), IF(H477="No-Sale Drawer Opening", "DRAWER OPENING", "Standard Sale")))</f>
        <v/>
      </c>
    </row>
    <row r="478" ht="18" customHeight="1">
      <c r="A478" s="15" t="inlineStr">
        <is>
          <t>EVT-10585</t>
        </is>
      </c>
      <c r="B478" s="15" t="inlineStr">
        <is>
          <t>TX-80585</t>
        </is>
      </c>
      <c r="C478" s="27" t="n">
        <v>46310.14027777778</v>
      </c>
      <c r="D478" s="15" t="inlineStr">
        <is>
          <t>BR-02</t>
        </is>
      </c>
      <c r="E478" s="15" t="inlineStr">
        <is>
          <t>T-01</t>
        </is>
      </c>
      <c r="F478" s="15" t="inlineStr">
        <is>
          <t>C-108</t>
        </is>
      </c>
      <c r="G478" s="15" t="inlineStr">
        <is>
          <t>M-902</t>
        </is>
      </c>
      <c r="H478" s="14" t="inlineStr">
        <is>
          <t>Line Item Void</t>
        </is>
      </c>
      <c r="I478" s="15" t="inlineStr">
        <is>
          <t>Cash</t>
        </is>
      </c>
      <c r="J478" s="17" t="n">
        <v>2</v>
      </c>
      <c r="K478" s="28" t="n">
        <v>37.74</v>
      </c>
      <c r="L478" s="28" t="n">
        <v>0</v>
      </c>
      <c r="M478" s="27" t="n">
        <v>46310.13971064815</v>
      </c>
      <c r="N478" s="29">
        <f>IFERROR(IF(OR(ISBLANK(M478), M478="", ISBLANK(C478), C478=""), 0, MAX(0, ROUND((C478-M478)*86400, 0))), 0)</f>
        <v/>
      </c>
      <c r="O478" s="14">
        <f>IF(H478="Post-Bill Void", IF(AND(G478="M-904", I478="Cash"), "EXCEPTION: Concurrent Cash Void", IF(AND(I478="Cash", N478&gt;120), "CRITICAL: Delayed Cash Void", IF(N478&gt;120, "EXCEPTION: Delayed Void", "Standard Void"))), IF(H478="Line Item Void", IF(I478="Cash", "EXCEPTION: Cash Line Void", "Standard Line Void"), IF(H478="No-Sale Drawer Opening", "DRAWER OPENING", "Standard Sale")))</f>
        <v/>
      </c>
    </row>
    <row r="479" ht="18" customHeight="1">
      <c r="A479" s="12" t="inlineStr">
        <is>
          <t>EVT-10670</t>
        </is>
      </c>
      <c r="B479" s="12" t="inlineStr">
        <is>
          <t>TX-80614</t>
        </is>
      </c>
      <c r="C479" s="24" t="n">
        <v>46310.14166666667</v>
      </c>
      <c r="D479" s="12" t="inlineStr">
        <is>
          <t>BR-04</t>
        </is>
      </c>
      <c r="E479" s="12" t="inlineStr">
        <is>
          <t>T-02</t>
        </is>
      </c>
      <c r="F479" s="12" t="inlineStr">
        <is>
          <t>C-115</t>
        </is>
      </c>
      <c r="G479" s="12" t="inlineStr">
        <is>
          <t>M-904</t>
        </is>
      </c>
      <c r="H479" s="11" t="inlineStr">
        <is>
          <t>Post-Bill Void</t>
        </is>
      </c>
      <c r="I479" s="12" t="inlineStr">
        <is>
          <t>Cash</t>
        </is>
      </c>
      <c r="J479" s="20" t="n">
        <v>2</v>
      </c>
      <c r="K479" s="25" t="n">
        <v>33.29</v>
      </c>
      <c r="L479" s="25" t="n">
        <v>0</v>
      </c>
      <c r="M479" s="24" t="n">
        <v>46310.14104166667</v>
      </c>
      <c r="N479" s="26">
        <f>IFERROR(IF(OR(ISBLANK(M479), M479="", ISBLANK(C479), C479=""), 0, MAX(0, ROUND((C479-M479)*86400, 0))), 0)</f>
        <v/>
      </c>
      <c r="O479" s="11">
        <f>IF(H479="Post-Bill Void", IF(AND(G479="M-904", I479="Cash"), "EXCEPTION: Concurrent Cash Void", IF(AND(I479="Cash", N479&gt;120), "CRITICAL: Delayed Cash Void", IF(N479&gt;120, "EXCEPTION: Delayed Void", "Standard Void"))), IF(H479="Line Item Void", IF(I479="Cash", "EXCEPTION: Cash Line Void", "Standard Line Void"), IF(H479="No-Sale Drawer Opening", "DRAWER OPENING", "Standard Sale")))</f>
        <v/>
      </c>
    </row>
    <row r="480" ht="18" customHeight="1">
      <c r="A480" s="15" t="inlineStr">
        <is>
          <t>EVT-10583</t>
        </is>
      </c>
      <c r="B480" s="15" t="inlineStr">
        <is>
          <t>TX-80583</t>
        </is>
      </c>
      <c r="C480" s="27" t="n">
        <v>46310.23194444444</v>
      </c>
      <c r="D480" s="15" t="inlineStr">
        <is>
          <t>BR-02</t>
        </is>
      </c>
      <c r="E480" s="15" t="inlineStr">
        <is>
          <t>T-01</t>
        </is>
      </c>
      <c r="F480" s="15" t="inlineStr">
        <is>
          <t>C-108</t>
        </is>
      </c>
      <c r="G480" s="15" t="inlineStr">
        <is>
          <t>M-902</t>
        </is>
      </c>
      <c r="H480" s="14" t="inlineStr">
        <is>
          <t>Line Item Void</t>
        </is>
      </c>
      <c r="I480" s="15" t="inlineStr">
        <is>
          <t>Cash</t>
        </is>
      </c>
      <c r="J480" s="17" t="n">
        <v>2</v>
      </c>
      <c r="K480" s="28" t="n">
        <v>31.83</v>
      </c>
      <c r="L480" s="28" t="n">
        <v>0</v>
      </c>
      <c r="M480" s="27" t="n">
        <v>46310.23131944444</v>
      </c>
      <c r="N480" s="29">
        <f>IFERROR(IF(OR(ISBLANK(M480), M480="", ISBLANK(C480), C480=""), 0, MAX(0, ROUND((C480-M480)*86400, 0))), 0)</f>
        <v/>
      </c>
      <c r="O480" s="14">
        <f>IF(H480="Post-Bill Void", IF(AND(G480="M-904", I480="Cash"), "EXCEPTION: Concurrent Cash Void", IF(AND(I480="Cash", N480&gt;120), "CRITICAL: Delayed Cash Void", IF(N480&gt;120, "EXCEPTION: Delayed Void", "Standard Void"))), IF(H480="Line Item Void", IF(I480="Cash", "EXCEPTION: Cash Line Void", "Standard Line Void"), IF(H480="No-Sale Drawer Opening", "DRAWER OPENING", "Standard Sale")))</f>
        <v/>
      </c>
    </row>
    <row r="481" ht="18" customHeight="1">
      <c r="A481" s="12" t="inlineStr">
        <is>
          <t>EVT-10557</t>
        </is>
      </c>
      <c r="B481" s="12" t="inlineStr">
        <is>
          <t>TX-80557</t>
        </is>
      </c>
      <c r="C481" s="24" t="n">
        <v>46310.23263888889</v>
      </c>
      <c r="D481" s="12" t="inlineStr">
        <is>
          <t>BR-01</t>
        </is>
      </c>
      <c r="E481" s="12" t="inlineStr">
        <is>
          <t>T-02</t>
        </is>
      </c>
      <c r="F481" s="12" t="inlineStr">
        <is>
          <t>C-104</t>
        </is>
      </c>
      <c r="G481" s="12" t="inlineStr">
        <is>
          <t>M-901</t>
        </is>
      </c>
      <c r="H481" s="11" t="inlineStr">
        <is>
          <t>Post-Bill Void</t>
        </is>
      </c>
      <c r="I481" s="12" t="inlineStr">
        <is>
          <t>Cash</t>
        </is>
      </c>
      <c r="J481" s="20" t="n">
        <v>4</v>
      </c>
      <c r="K481" s="25" t="n">
        <v>72.06999999999999</v>
      </c>
      <c r="L481" s="25" t="n">
        <v>0</v>
      </c>
      <c r="M481" s="24" t="n">
        <v>46310.22956018519</v>
      </c>
      <c r="N481" s="26">
        <f>IFERROR(IF(OR(ISBLANK(M481), M481="", ISBLANK(C481), C481=""), 0, MAX(0, ROUND((C481-M481)*86400, 0))), 0)</f>
        <v/>
      </c>
      <c r="O481" s="11">
        <f>IF(H481="Post-Bill Void", IF(AND(G481="M-904", I481="Cash"), "EXCEPTION: Concurrent Cash Void", IF(AND(I481="Cash", N481&gt;120), "CRITICAL: Delayed Cash Void", IF(N481&gt;120, "EXCEPTION: Delayed Void", "Standard Void"))), IF(H481="Line Item Void", IF(I481="Cash", "EXCEPTION: Cash Line Void", "Standard Line Void"), IF(H481="No-Sale Drawer Opening", "DRAWER OPENING", "Standard Sale")))</f>
        <v/>
      </c>
    </row>
    <row r="482" ht="18" customHeight="1">
      <c r="A482" s="15" t="inlineStr">
        <is>
          <t>EVT-10575</t>
        </is>
      </c>
      <c r="B482" s="15" t="inlineStr">
        <is>
          <t>TX-80575</t>
        </is>
      </c>
      <c r="C482" s="27" t="n">
        <v>46310.23611111111</v>
      </c>
      <c r="D482" s="15" t="inlineStr">
        <is>
          <t>BR-02</t>
        </is>
      </c>
      <c r="E482" s="15" t="inlineStr">
        <is>
          <t>T-01</t>
        </is>
      </c>
      <c r="F482" s="15" t="inlineStr">
        <is>
          <t>C-108</t>
        </is>
      </c>
      <c r="G482" s="15" t="inlineStr">
        <is>
          <t>M-902</t>
        </is>
      </c>
      <c r="H482" s="14" t="inlineStr">
        <is>
          <t>Line Item Void</t>
        </is>
      </c>
      <c r="I482" s="15" t="inlineStr">
        <is>
          <t>Cash</t>
        </is>
      </c>
      <c r="J482" s="17" t="n">
        <v>2</v>
      </c>
      <c r="K482" s="28" t="n">
        <v>38.37</v>
      </c>
      <c r="L482" s="28" t="n">
        <v>0</v>
      </c>
      <c r="M482" s="27" t="n">
        <v>46310.23555555556</v>
      </c>
      <c r="N482" s="29">
        <f>IFERROR(IF(OR(ISBLANK(M482), M482="", ISBLANK(C482), C482=""), 0, MAX(0, ROUND((C482-M482)*86400, 0))), 0)</f>
        <v/>
      </c>
      <c r="O482" s="14">
        <f>IF(H482="Post-Bill Void", IF(AND(G482="M-904", I482="Cash"), "EXCEPTION: Concurrent Cash Void", IF(AND(I482="Cash", N482&gt;120), "CRITICAL: Delayed Cash Void", IF(N482&gt;120, "EXCEPTION: Delayed Void", "Standard Void"))), IF(H482="Line Item Void", IF(I482="Cash", "EXCEPTION: Cash Line Void", "Standard Line Void"), IF(H482="No-Sale Drawer Opening", "DRAWER OPENING", "Standard Sale")))</f>
        <v/>
      </c>
    </row>
    <row r="483" ht="18" customHeight="1">
      <c r="A483" s="12" t="inlineStr">
        <is>
          <t>EVT-10391</t>
        </is>
      </c>
      <c r="B483" s="12" t="inlineStr">
        <is>
          <t>TX-80391</t>
        </is>
      </c>
      <c r="C483" s="24" t="n">
        <v>46310.37528935185</v>
      </c>
      <c r="D483" s="12" t="inlineStr">
        <is>
          <t>BR-01</t>
        </is>
      </c>
      <c r="E483" s="12" t="inlineStr">
        <is>
          <t>T-02</t>
        </is>
      </c>
      <c r="F483" s="12" t="inlineStr">
        <is>
          <t>C-104</t>
        </is>
      </c>
      <c r="G483" s="12" t="inlineStr">
        <is>
          <t>NONE</t>
        </is>
      </c>
      <c r="H483" s="11" t="inlineStr">
        <is>
          <t>Sale Tender</t>
        </is>
      </c>
      <c r="I483" s="12" t="inlineStr">
        <is>
          <t>Cash</t>
        </is>
      </c>
      <c r="J483" s="20" t="n">
        <v>5</v>
      </c>
      <c r="K483" s="25" t="n">
        <v>59.63</v>
      </c>
      <c r="L483" s="25" t="n">
        <v>59.63</v>
      </c>
      <c r="M483" s="24" t="n">
        <v>46310.37454861111</v>
      </c>
      <c r="N483" s="26">
        <f>IFERROR(IF(OR(ISBLANK(M483), M483="", ISBLANK(C483), C483=""), 0, MAX(0, ROUND((C483-M483)*86400, 0))), 0)</f>
        <v/>
      </c>
      <c r="O483" s="11">
        <f>IF(H483="Post-Bill Void", IF(AND(G483="M-904", I483="Cash"), "EXCEPTION: Concurrent Cash Void", IF(AND(I483="Cash", N483&gt;120), "CRITICAL: Delayed Cash Void", IF(N483&gt;120, "EXCEPTION: Delayed Void", "Standard Void"))), IF(H483="Line Item Void", IF(I483="Cash", "EXCEPTION: Cash Line Void", "Standard Line Void"), IF(H483="No-Sale Drawer Opening", "DRAWER OPENING", "Standard Sale")))</f>
        <v/>
      </c>
    </row>
    <row r="484" ht="18" customHeight="1">
      <c r="A484" s="15" t="inlineStr">
        <is>
          <t>EVT-10392</t>
        </is>
      </c>
      <c r="B484" s="15" t="inlineStr">
        <is>
          <t>TX-80392</t>
        </is>
      </c>
      <c r="C484" s="27" t="n">
        <v>46310.38221064815</v>
      </c>
      <c r="D484" s="15" t="inlineStr">
        <is>
          <t>BR-02</t>
        </is>
      </c>
      <c r="E484" s="15" t="inlineStr">
        <is>
          <t>T-01</t>
        </is>
      </c>
      <c r="F484" s="15" t="inlineStr">
        <is>
          <t>C-107</t>
        </is>
      </c>
      <c r="G484" s="15" t="inlineStr">
        <is>
          <t>NONE</t>
        </is>
      </c>
      <c r="H484" s="14" t="inlineStr">
        <is>
          <t>Sale Tender</t>
        </is>
      </c>
      <c r="I484" s="15" t="inlineStr">
        <is>
          <t>Card</t>
        </is>
      </c>
      <c r="J484" s="17" t="n">
        <v>2</v>
      </c>
      <c r="K484" s="28" t="n">
        <v>23.96</v>
      </c>
      <c r="L484" s="28" t="n">
        <v>23.96</v>
      </c>
      <c r="M484" s="27" t="n">
        <v>46310.38148148148</v>
      </c>
      <c r="N484" s="29">
        <f>IFERROR(IF(OR(ISBLANK(M484), M484="", ISBLANK(C484), C484=""), 0, MAX(0, ROUND((C484-M484)*86400, 0))), 0)</f>
        <v/>
      </c>
      <c r="O484" s="14">
        <f>IF(H484="Post-Bill Void", IF(AND(G484="M-904", I484="Cash"), "EXCEPTION: Concurrent Cash Void", IF(AND(I484="Cash", N484&gt;120), "CRITICAL: Delayed Cash Void", IF(N484&gt;120, "EXCEPTION: Delayed Void", "Standard Void"))), IF(H484="Line Item Void", IF(I484="Cash", "EXCEPTION: Cash Line Void", "Standard Line Void"), IF(H484="No-Sale Drawer Opening", "DRAWER OPENING", "Standard Sale")))</f>
        <v/>
      </c>
    </row>
    <row r="485" ht="18" customHeight="1">
      <c r="A485" s="12" t="inlineStr">
        <is>
          <t>EVT-10393</t>
        </is>
      </c>
      <c r="B485" s="12" t="inlineStr">
        <is>
          <t>TX-80393</t>
        </is>
      </c>
      <c r="C485" s="24" t="n">
        <v>46310.38931712963</v>
      </c>
      <c r="D485" s="12" t="inlineStr">
        <is>
          <t>BR-04</t>
        </is>
      </c>
      <c r="E485" s="12" t="inlineStr">
        <is>
          <t>T-02</t>
        </is>
      </c>
      <c r="F485" s="12" t="inlineStr">
        <is>
          <t>C-113</t>
        </is>
      </c>
      <c r="G485" s="12" t="inlineStr">
        <is>
          <t>NONE</t>
        </is>
      </c>
      <c r="H485" s="11" t="inlineStr">
        <is>
          <t>Sale Tender</t>
        </is>
      </c>
      <c r="I485" s="12" t="inlineStr">
        <is>
          <t>Card</t>
        </is>
      </c>
      <c r="J485" s="20" t="n">
        <v>2</v>
      </c>
      <c r="K485" s="25" t="n">
        <v>19.26</v>
      </c>
      <c r="L485" s="25" t="n">
        <v>19.26</v>
      </c>
      <c r="M485" s="24" t="n">
        <v>46310.38822916667</v>
      </c>
      <c r="N485" s="26">
        <f>IFERROR(IF(OR(ISBLANK(M485), M485="", ISBLANK(C485), C485=""), 0, MAX(0, ROUND((C485-M485)*86400, 0))), 0)</f>
        <v/>
      </c>
      <c r="O485" s="11">
        <f>IF(H485="Post-Bill Void", IF(AND(G485="M-904", I485="Cash"), "EXCEPTION: Concurrent Cash Void", IF(AND(I485="Cash", N485&gt;120), "CRITICAL: Delayed Cash Void", IF(N485&gt;120, "EXCEPTION: Delayed Void", "Standard Void"))), IF(H485="Line Item Void", IF(I485="Cash", "EXCEPTION: Cash Line Void", "Standard Line Void"), IF(H485="No-Sale Drawer Opening", "DRAWER OPENING", "Standard Sale")))</f>
        <v/>
      </c>
    </row>
    <row r="486" ht="18" customHeight="1">
      <c r="A486" s="15" t="inlineStr">
        <is>
          <t>EVT-10394</t>
        </is>
      </c>
      <c r="B486" s="15" t="inlineStr">
        <is>
          <t>TX-80394</t>
        </is>
      </c>
      <c r="C486" s="27" t="n">
        <v>46310.39651620371</v>
      </c>
      <c r="D486" s="15" t="inlineStr">
        <is>
          <t>BR-04</t>
        </is>
      </c>
      <c r="E486" s="15" t="inlineStr">
        <is>
          <t>T-01</t>
        </is>
      </c>
      <c r="F486" s="15" t="inlineStr">
        <is>
          <t>C-113</t>
        </is>
      </c>
      <c r="G486" s="15" t="inlineStr">
        <is>
          <t>NONE</t>
        </is>
      </c>
      <c r="H486" s="14" t="inlineStr">
        <is>
          <t>Sale Tender</t>
        </is>
      </c>
      <c r="I486" s="15" t="inlineStr">
        <is>
          <t>Card</t>
        </is>
      </c>
      <c r="J486" s="17" t="n">
        <v>6</v>
      </c>
      <c r="K486" s="28" t="n">
        <v>90.47</v>
      </c>
      <c r="L486" s="28" t="n">
        <v>90.47</v>
      </c>
      <c r="M486" s="27" t="n">
        <v>46310.39571759259</v>
      </c>
      <c r="N486" s="29">
        <f>IFERROR(IF(OR(ISBLANK(M486), M486="", ISBLANK(C486), C486=""), 0, MAX(0, ROUND((C486-M486)*86400, 0))), 0)</f>
        <v/>
      </c>
      <c r="O486" s="14">
        <f>IF(H486="Post-Bill Void", IF(AND(G486="M-904", I486="Cash"), "EXCEPTION: Concurrent Cash Void", IF(AND(I486="Cash", N486&gt;120), "CRITICAL: Delayed Cash Void", IF(N486&gt;120, "EXCEPTION: Delayed Void", "Standard Void"))), IF(H486="Line Item Void", IF(I486="Cash", "EXCEPTION: Cash Line Void", "Standard Line Void"), IF(H486="No-Sale Drawer Opening", "DRAWER OPENING", "Standard Sale")))</f>
        <v/>
      </c>
    </row>
    <row r="487" ht="18" customHeight="1">
      <c r="A487" s="12" t="inlineStr">
        <is>
          <t>EVT-10395</t>
        </is>
      </c>
      <c r="B487" s="12" t="inlineStr">
        <is>
          <t>TX-80395</t>
        </is>
      </c>
      <c r="C487" s="24" t="n">
        <v>46310.40302083334</v>
      </c>
      <c r="D487" s="12" t="inlineStr">
        <is>
          <t>BR-01</t>
        </is>
      </c>
      <c r="E487" s="12" t="inlineStr">
        <is>
          <t>T-02</t>
        </is>
      </c>
      <c r="F487" s="12" t="inlineStr">
        <is>
          <t>C-104</t>
        </is>
      </c>
      <c r="G487" s="12" t="inlineStr">
        <is>
          <t>NONE</t>
        </is>
      </c>
      <c r="H487" s="11" t="inlineStr">
        <is>
          <t>Sale Tender</t>
        </is>
      </c>
      <c r="I487" s="12" t="inlineStr">
        <is>
          <t>Cash</t>
        </is>
      </c>
      <c r="J487" s="20" t="n">
        <v>5</v>
      </c>
      <c r="K487" s="25" t="n">
        <v>79.37</v>
      </c>
      <c r="L487" s="25" t="n">
        <v>79.37</v>
      </c>
      <c r="M487" s="24" t="n">
        <v>46310.4022800926</v>
      </c>
      <c r="N487" s="26">
        <f>IFERROR(IF(OR(ISBLANK(M487), M487="", ISBLANK(C487), C487=""), 0, MAX(0, ROUND((C487-M487)*86400, 0))), 0)</f>
        <v/>
      </c>
      <c r="O487" s="11">
        <f>IF(H487="Post-Bill Void", IF(AND(G487="M-904", I487="Cash"), "EXCEPTION: Concurrent Cash Void", IF(AND(I487="Cash", N487&gt;120), "CRITICAL: Delayed Cash Void", IF(N487&gt;120, "EXCEPTION: Delayed Void", "Standard Void"))), IF(H487="Line Item Void", IF(I487="Cash", "EXCEPTION: Cash Line Void", "Standard Line Void"), IF(H487="No-Sale Drawer Opening", "DRAWER OPENING", "Standard Sale")))</f>
        <v/>
      </c>
    </row>
    <row r="488" ht="18" customHeight="1">
      <c r="A488" s="15" t="inlineStr">
        <is>
          <t>EVT-10396</t>
        </is>
      </c>
      <c r="B488" s="15" t="inlineStr">
        <is>
          <t>TX-80396</t>
        </is>
      </c>
      <c r="C488" s="27" t="n">
        <v>46310.41002314815</v>
      </c>
      <c r="D488" s="15" t="inlineStr">
        <is>
          <t>BR-04</t>
        </is>
      </c>
      <c r="E488" s="15" t="inlineStr">
        <is>
          <t>T-02</t>
        </is>
      </c>
      <c r="F488" s="15" t="inlineStr">
        <is>
          <t>C-113</t>
        </is>
      </c>
      <c r="G488" s="15" t="inlineStr">
        <is>
          <t>NONE</t>
        </is>
      </c>
      <c r="H488" s="14" t="inlineStr">
        <is>
          <t>Sale Tender</t>
        </is>
      </c>
      <c r="I488" s="15" t="inlineStr">
        <is>
          <t>Card</t>
        </is>
      </c>
      <c r="J488" s="17" t="n">
        <v>1</v>
      </c>
      <c r="K488" s="28" t="n">
        <v>8.83</v>
      </c>
      <c r="L488" s="28" t="n">
        <v>8.83</v>
      </c>
      <c r="M488" s="27" t="n">
        <v>46310.40952546296</v>
      </c>
      <c r="N488" s="29">
        <f>IFERROR(IF(OR(ISBLANK(M488), M488="", ISBLANK(C488), C488=""), 0, MAX(0, ROUND((C488-M488)*86400, 0))), 0)</f>
        <v/>
      </c>
      <c r="O488" s="14">
        <f>IF(H488="Post-Bill Void", IF(AND(G488="M-904", I488="Cash"), "EXCEPTION: Concurrent Cash Void", IF(AND(I488="Cash", N488&gt;120), "CRITICAL: Delayed Cash Void", IF(N488&gt;120, "EXCEPTION: Delayed Void", "Standard Void"))), IF(H488="Line Item Void", IF(I488="Cash", "EXCEPTION: Cash Line Void", "Standard Line Void"), IF(H488="No-Sale Drawer Opening", "DRAWER OPENING", "Standard Sale")))</f>
        <v/>
      </c>
    </row>
    <row r="489" ht="18" customHeight="1">
      <c r="A489" s="12" t="inlineStr">
        <is>
          <t>EVT-10397</t>
        </is>
      </c>
      <c r="B489" s="12" t="inlineStr">
        <is>
          <t>TX-80397</t>
        </is>
      </c>
      <c r="C489" s="24" t="n">
        <v>46310.4168287037</v>
      </c>
      <c r="D489" s="12" t="inlineStr">
        <is>
          <t>BR-04</t>
        </is>
      </c>
      <c r="E489" s="12" t="inlineStr">
        <is>
          <t>T-02</t>
        </is>
      </c>
      <c r="F489" s="12" t="inlineStr">
        <is>
          <t>C-115</t>
        </is>
      </c>
      <c r="G489" s="12" t="inlineStr">
        <is>
          <t>NONE</t>
        </is>
      </c>
      <c r="H489" s="11" t="inlineStr">
        <is>
          <t>Sale Tender</t>
        </is>
      </c>
      <c r="I489" s="12" t="inlineStr">
        <is>
          <t>Delivery Aggregator</t>
        </is>
      </c>
      <c r="J489" s="20" t="n">
        <v>1</v>
      </c>
      <c r="K489" s="25" t="n">
        <v>12.86</v>
      </c>
      <c r="L489" s="25" t="n">
        <v>12.86</v>
      </c>
      <c r="M489" s="24" t="n">
        <v>46310.41586805556</v>
      </c>
      <c r="N489" s="26">
        <f>IFERROR(IF(OR(ISBLANK(M489), M489="", ISBLANK(C489), C489=""), 0, MAX(0, ROUND((C489-M489)*86400, 0))), 0)</f>
        <v/>
      </c>
      <c r="O489" s="11">
        <f>IF(H489="Post-Bill Void", IF(AND(G489="M-904", I489="Cash"), "EXCEPTION: Concurrent Cash Void", IF(AND(I489="Cash", N489&gt;120), "CRITICAL: Delayed Cash Void", IF(N489&gt;120, "EXCEPTION: Delayed Void", "Standard Void"))), IF(H489="Line Item Void", IF(I489="Cash", "EXCEPTION: Cash Line Void", "Standard Line Void"), IF(H489="No-Sale Drawer Opening", "DRAWER OPENING", "Standard Sale")))</f>
        <v/>
      </c>
    </row>
    <row r="490" ht="18" customHeight="1">
      <c r="A490" s="15" t="inlineStr">
        <is>
          <t>EVT-10398</t>
        </is>
      </c>
      <c r="B490" s="15" t="inlineStr">
        <is>
          <t>TX-80398</t>
        </is>
      </c>
      <c r="C490" s="27" t="n">
        <v>46310.42398148148</v>
      </c>
      <c r="D490" s="15" t="inlineStr">
        <is>
          <t>BR-02</t>
        </is>
      </c>
      <c r="E490" s="15" t="inlineStr">
        <is>
          <t>T-01</t>
        </is>
      </c>
      <c r="F490" s="15" t="inlineStr">
        <is>
          <t>C-108</t>
        </is>
      </c>
      <c r="G490" s="15" t="inlineStr">
        <is>
          <t>NONE</t>
        </is>
      </c>
      <c r="H490" s="14" t="inlineStr">
        <is>
          <t>Sale Tender</t>
        </is>
      </c>
      <c r="I490" s="15" t="inlineStr">
        <is>
          <t>Card</t>
        </is>
      </c>
      <c r="J490" s="17" t="n">
        <v>2</v>
      </c>
      <c r="K490" s="28" t="n">
        <v>20.55</v>
      </c>
      <c r="L490" s="28" t="n">
        <v>20.55</v>
      </c>
      <c r="M490" s="27" t="n">
        <v>46310.42361111111</v>
      </c>
      <c r="N490" s="29">
        <f>IFERROR(IF(OR(ISBLANK(M490), M490="", ISBLANK(C490), C490=""), 0, MAX(0, ROUND((C490-M490)*86400, 0))), 0)</f>
        <v/>
      </c>
      <c r="O490" s="14">
        <f>IF(H490="Post-Bill Void", IF(AND(G490="M-904", I490="Cash"), "EXCEPTION: Concurrent Cash Void", IF(AND(I490="Cash", N490&gt;120), "CRITICAL: Delayed Cash Void", IF(N490&gt;120, "EXCEPTION: Delayed Void", "Standard Void"))), IF(H490="Line Item Void", IF(I490="Cash", "EXCEPTION: Cash Line Void", "Standard Line Void"), IF(H490="No-Sale Drawer Opening", "DRAWER OPENING", "Standard Sale")))</f>
        <v/>
      </c>
    </row>
    <row r="491" ht="18" customHeight="1">
      <c r="A491" s="12" t="inlineStr">
        <is>
          <t>EVT-10399</t>
        </is>
      </c>
      <c r="B491" s="12" t="inlineStr">
        <is>
          <t>TX-80399</t>
        </is>
      </c>
      <c r="C491" s="24" t="n">
        <v>46310.43074074074</v>
      </c>
      <c r="D491" s="12" t="inlineStr">
        <is>
          <t>BR-03</t>
        </is>
      </c>
      <c r="E491" s="12" t="inlineStr">
        <is>
          <t>T-02</t>
        </is>
      </c>
      <c r="F491" s="12" t="inlineStr">
        <is>
          <t>C-112</t>
        </is>
      </c>
      <c r="G491" s="12" t="inlineStr">
        <is>
          <t>NONE</t>
        </is>
      </c>
      <c r="H491" s="11" t="inlineStr">
        <is>
          <t>Sale Tender</t>
        </is>
      </c>
      <c r="I491" s="12" t="inlineStr">
        <is>
          <t>Cash</t>
        </is>
      </c>
      <c r="J491" s="20" t="n">
        <v>3</v>
      </c>
      <c r="K491" s="25" t="n">
        <v>30.76</v>
      </c>
      <c r="L491" s="25" t="n">
        <v>30.76</v>
      </c>
      <c r="M491" s="24" t="n">
        <v>46310.42997685185</v>
      </c>
      <c r="N491" s="26">
        <f>IFERROR(IF(OR(ISBLANK(M491), M491="", ISBLANK(C491), C491=""), 0, MAX(0, ROUND((C491-M491)*86400, 0))), 0)</f>
        <v/>
      </c>
      <c r="O491" s="11">
        <f>IF(H491="Post-Bill Void", IF(AND(G491="M-904", I491="Cash"), "EXCEPTION: Concurrent Cash Void", IF(AND(I491="Cash", N491&gt;120), "CRITICAL: Delayed Cash Void", IF(N491&gt;120, "EXCEPTION: Delayed Void", "Standard Void"))), IF(H491="Line Item Void", IF(I491="Cash", "EXCEPTION: Cash Line Void", "Standard Line Void"), IF(H491="No-Sale Drawer Opening", "DRAWER OPENING", "Standard Sale")))</f>
        <v/>
      </c>
    </row>
    <row r="492" ht="18" customHeight="1">
      <c r="A492" s="15" t="inlineStr">
        <is>
          <t>EVT-10400</t>
        </is>
      </c>
      <c r="B492" s="15" t="inlineStr">
        <is>
          <t>TX-80400</t>
        </is>
      </c>
      <c r="C492" s="27" t="n">
        <v>46310.43763888889</v>
      </c>
      <c r="D492" s="15" t="inlineStr">
        <is>
          <t>BR-02</t>
        </is>
      </c>
      <c r="E492" s="15" t="inlineStr">
        <is>
          <t>T-01</t>
        </is>
      </c>
      <c r="F492" s="15" t="inlineStr">
        <is>
          <t>C-105</t>
        </is>
      </c>
      <c r="G492" s="15" t="inlineStr">
        <is>
          <t>NONE</t>
        </is>
      </c>
      <c r="H492" s="14" t="inlineStr">
        <is>
          <t>Sale Tender</t>
        </is>
      </c>
      <c r="I492" s="15" t="inlineStr">
        <is>
          <t>Card</t>
        </is>
      </c>
      <c r="J492" s="17" t="n">
        <v>3</v>
      </c>
      <c r="K492" s="28" t="n">
        <v>34.65</v>
      </c>
      <c r="L492" s="28" t="n">
        <v>34.65</v>
      </c>
      <c r="M492" s="27" t="n">
        <v>46310.43710648148</v>
      </c>
      <c r="N492" s="29">
        <f>IFERROR(IF(OR(ISBLANK(M492), M492="", ISBLANK(C492), C492=""), 0, MAX(0, ROUND((C492-M492)*86400, 0))), 0)</f>
        <v/>
      </c>
      <c r="O492" s="14">
        <f>IF(H492="Post-Bill Void", IF(AND(G492="M-904", I492="Cash"), "EXCEPTION: Concurrent Cash Void", IF(AND(I492="Cash", N492&gt;120), "CRITICAL: Delayed Cash Void", IF(N492&gt;120, "EXCEPTION: Delayed Void", "Standard Void"))), IF(H492="Line Item Void", IF(I492="Cash", "EXCEPTION: Cash Line Void", "Standard Line Void"), IF(H492="No-Sale Drawer Opening", "DRAWER OPENING", "Standard Sale")))</f>
        <v/>
      </c>
    </row>
    <row r="493" ht="18" customHeight="1">
      <c r="A493" s="12" t="inlineStr">
        <is>
          <t>EVT-10401</t>
        </is>
      </c>
      <c r="B493" s="12" t="inlineStr">
        <is>
          <t>TX-80401</t>
        </is>
      </c>
      <c r="C493" s="24" t="n">
        <v>46310.44483796296</v>
      </c>
      <c r="D493" s="12" t="inlineStr">
        <is>
          <t>BR-03</t>
        </is>
      </c>
      <c r="E493" s="12" t="inlineStr">
        <is>
          <t>T-01</t>
        </is>
      </c>
      <c r="F493" s="12" t="inlineStr">
        <is>
          <t>C-110</t>
        </is>
      </c>
      <c r="G493" s="12" t="inlineStr">
        <is>
          <t>NONE</t>
        </is>
      </c>
      <c r="H493" s="11" t="inlineStr">
        <is>
          <t>Sale Tender</t>
        </is>
      </c>
      <c r="I493" s="12" t="inlineStr">
        <is>
          <t>Cash</t>
        </is>
      </c>
      <c r="J493" s="20" t="n">
        <v>1</v>
      </c>
      <c r="K493" s="25" t="n">
        <v>9.18</v>
      </c>
      <c r="L493" s="25" t="n">
        <v>9.18</v>
      </c>
      <c r="M493" s="24" t="n">
        <v>46310.44386574074</v>
      </c>
      <c r="N493" s="26">
        <f>IFERROR(IF(OR(ISBLANK(M493), M493="", ISBLANK(C493), C493=""), 0, MAX(0, ROUND((C493-M493)*86400, 0))), 0)</f>
        <v/>
      </c>
      <c r="O493" s="11">
        <f>IF(H493="Post-Bill Void", IF(AND(G493="M-904", I493="Cash"), "EXCEPTION: Concurrent Cash Void", IF(AND(I493="Cash", N493&gt;120), "CRITICAL: Delayed Cash Void", IF(N493&gt;120, "EXCEPTION: Delayed Void", "Standard Void"))), IF(H493="Line Item Void", IF(I493="Cash", "EXCEPTION: Cash Line Void", "Standard Line Void"), IF(H493="No-Sale Drawer Opening", "DRAWER OPENING", "Standard Sale")))</f>
        <v/>
      </c>
    </row>
    <row r="494" ht="18" customHeight="1">
      <c r="A494" s="15" t="inlineStr">
        <is>
          <t>EVT-10402</t>
        </is>
      </c>
      <c r="B494" s="15" t="inlineStr">
        <is>
          <t>TX-80402</t>
        </is>
      </c>
      <c r="C494" s="27" t="n">
        <v>46310.45197916667</v>
      </c>
      <c r="D494" s="15" t="inlineStr">
        <is>
          <t>BR-03</t>
        </is>
      </c>
      <c r="E494" s="15" t="inlineStr">
        <is>
          <t>T-01</t>
        </is>
      </c>
      <c r="F494" s="15" t="inlineStr">
        <is>
          <t>C-109</t>
        </is>
      </c>
      <c r="G494" s="15" t="inlineStr">
        <is>
          <t>NONE</t>
        </is>
      </c>
      <c r="H494" s="14" t="inlineStr">
        <is>
          <t>Sale Tender</t>
        </is>
      </c>
      <c r="I494" s="15" t="inlineStr">
        <is>
          <t>Cash</t>
        </is>
      </c>
      <c r="J494" s="17" t="n">
        <v>6</v>
      </c>
      <c r="K494" s="28" t="n">
        <v>62.17</v>
      </c>
      <c r="L494" s="28" t="n">
        <v>62.17</v>
      </c>
      <c r="M494" s="27" t="n">
        <v>46310.45121527778</v>
      </c>
      <c r="N494" s="29">
        <f>IFERROR(IF(OR(ISBLANK(M494), M494="", ISBLANK(C494), C494=""), 0, MAX(0, ROUND((C494-M494)*86400, 0))), 0)</f>
        <v/>
      </c>
      <c r="O494" s="14">
        <f>IF(H494="Post-Bill Void", IF(AND(G494="M-904", I494="Cash"), "EXCEPTION: Concurrent Cash Void", IF(AND(I494="Cash", N494&gt;120), "CRITICAL: Delayed Cash Void", IF(N494&gt;120, "EXCEPTION: Delayed Void", "Standard Void"))), IF(H494="Line Item Void", IF(I494="Cash", "EXCEPTION: Cash Line Void", "Standard Line Void"), IF(H494="No-Sale Drawer Opening", "DRAWER OPENING", "Standard Sale")))</f>
        <v/>
      </c>
    </row>
    <row r="495" ht="18" customHeight="1">
      <c r="A495" s="12" t="inlineStr">
        <is>
          <t>EVT-10403</t>
        </is>
      </c>
      <c r="B495" s="12" t="inlineStr">
        <is>
          <t>TX-80403</t>
        </is>
      </c>
      <c r="C495" s="24" t="n">
        <v>46310.45858796296</v>
      </c>
      <c r="D495" s="12" t="inlineStr">
        <is>
          <t>BR-04</t>
        </is>
      </c>
      <c r="E495" s="12" t="inlineStr">
        <is>
          <t>T-01</t>
        </is>
      </c>
      <c r="F495" s="12" t="inlineStr">
        <is>
          <t>C-115</t>
        </is>
      </c>
      <c r="G495" s="12" t="inlineStr">
        <is>
          <t>NONE</t>
        </is>
      </c>
      <c r="H495" s="11" t="inlineStr">
        <is>
          <t>Sale Tender</t>
        </is>
      </c>
      <c r="I495" s="12" t="inlineStr">
        <is>
          <t>Cash</t>
        </is>
      </c>
      <c r="J495" s="20" t="n">
        <v>2</v>
      </c>
      <c r="K495" s="25" t="n">
        <v>17.47</v>
      </c>
      <c r="L495" s="25" t="n">
        <v>17.47</v>
      </c>
      <c r="M495" s="24" t="n">
        <v>46310.4578587963</v>
      </c>
      <c r="N495" s="26">
        <f>IFERROR(IF(OR(ISBLANK(M495), M495="", ISBLANK(C495), C495=""), 0, MAX(0, ROUND((C495-M495)*86400, 0))), 0)</f>
        <v/>
      </c>
      <c r="O495" s="11">
        <f>IF(H495="Post-Bill Void", IF(AND(G495="M-904", I495="Cash"), "EXCEPTION: Concurrent Cash Void", IF(AND(I495="Cash", N495&gt;120), "CRITICAL: Delayed Cash Void", IF(N495&gt;120, "EXCEPTION: Delayed Void", "Standard Void"))), IF(H495="Line Item Void", IF(I495="Cash", "EXCEPTION: Cash Line Void", "Standard Line Void"), IF(H495="No-Sale Drawer Opening", "DRAWER OPENING", "Standard Sale")))</f>
        <v/>
      </c>
    </row>
    <row r="496" ht="18" customHeight="1">
      <c r="A496" s="15" t="inlineStr">
        <is>
          <t>EVT-10404</t>
        </is>
      </c>
      <c r="B496" s="15" t="inlineStr">
        <is>
          <t>TX-80404</t>
        </is>
      </c>
      <c r="C496" s="27" t="n">
        <v>46310.46556712963</v>
      </c>
      <c r="D496" s="15" t="inlineStr">
        <is>
          <t>BR-04</t>
        </is>
      </c>
      <c r="E496" s="15" t="inlineStr">
        <is>
          <t>T-02</t>
        </is>
      </c>
      <c r="F496" s="15" t="inlineStr">
        <is>
          <t>C-115</t>
        </is>
      </c>
      <c r="G496" s="15" t="inlineStr">
        <is>
          <t>NONE</t>
        </is>
      </c>
      <c r="H496" s="14" t="inlineStr">
        <is>
          <t>Sale Tender</t>
        </is>
      </c>
      <c r="I496" s="15" t="inlineStr">
        <is>
          <t>Cash</t>
        </is>
      </c>
      <c r="J496" s="17" t="n">
        <v>1</v>
      </c>
      <c r="K496" s="28" t="n">
        <v>14.53</v>
      </c>
      <c r="L496" s="28" t="n">
        <v>14.53</v>
      </c>
      <c r="M496" s="27" t="n">
        <v>46310.46491898148</v>
      </c>
      <c r="N496" s="29">
        <f>IFERROR(IF(OR(ISBLANK(M496), M496="", ISBLANK(C496), C496=""), 0, MAX(0, ROUND((C496-M496)*86400, 0))), 0)</f>
        <v/>
      </c>
      <c r="O496" s="14">
        <f>IF(H496="Post-Bill Void", IF(AND(G496="M-904", I496="Cash"), "EXCEPTION: Concurrent Cash Void", IF(AND(I496="Cash", N496&gt;120), "CRITICAL: Delayed Cash Void", IF(N496&gt;120, "EXCEPTION: Delayed Void", "Standard Void"))), IF(H496="Line Item Void", IF(I496="Cash", "EXCEPTION: Cash Line Void", "Standard Line Void"), IF(H496="No-Sale Drawer Opening", "DRAWER OPENING", "Standard Sale")))</f>
        <v/>
      </c>
    </row>
    <row r="497" ht="18" customHeight="1">
      <c r="A497" s="12" t="inlineStr">
        <is>
          <t>EVT-10405</t>
        </is>
      </c>
      <c r="B497" s="12" t="inlineStr">
        <is>
          <t>TX-80405</t>
        </is>
      </c>
      <c r="C497" s="24" t="n">
        <v>46310.47231481481</v>
      </c>
      <c r="D497" s="12" t="inlineStr">
        <is>
          <t>BR-01</t>
        </is>
      </c>
      <c r="E497" s="12" t="inlineStr">
        <is>
          <t>T-01</t>
        </is>
      </c>
      <c r="F497" s="12" t="inlineStr">
        <is>
          <t>C-101</t>
        </is>
      </c>
      <c r="G497" s="12" t="inlineStr">
        <is>
          <t>NONE</t>
        </is>
      </c>
      <c r="H497" s="11" t="inlineStr">
        <is>
          <t>Sale Tender</t>
        </is>
      </c>
      <c r="I497" s="12" t="inlineStr">
        <is>
          <t>Cash</t>
        </is>
      </c>
      <c r="J497" s="20" t="n">
        <v>4</v>
      </c>
      <c r="K497" s="25" t="n">
        <v>45.17</v>
      </c>
      <c r="L497" s="25" t="n">
        <v>45.17</v>
      </c>
      <c r="M497" s="24" t="n">
        <v>46310.47170138889</v>
      </c>
      <c r="N497" s="26">
        <f>IFERROR(IF(OR(ISBLANK(M497), M497="", ISBLANK(C497), C497=""), 0, MAX(0, ROUND((C497-M497)*86400, 0))), 0)</f>
        <v/>
      </c>
      <c r="O497" s="11">
        <f>IF(H497="Post-Bill Void", IF(AND(G497="M-904", I497="Cash"), "EXCEPTION: Concurrent Cash Void", IF(AND(I497="Cash", N497&gt;120), "CRITICAL: Delayed Cash Void", IF(N497&gt;120, "EXCEPTION: Delayed Void", "Standard Void"))), IF(H497="Line Item Void", IF(I497="Cash", "EXCEPTION: Cash Line Void", "Standard Line Void"), IF(H497="No-Sale Drawer Opening", "DRAWER OPENING", "Standard Sale")))</f>
        <v/>
      </c>
    </row>
    <row r="498" ht="18" customHeight="1">
      <c r="A498" s="15" t="inlineStr">
        <is>
          <t>EVT-10406</t>
        </is>
      </c>
      <c r="B498" s="15" t="inlineStr">
        <is>
          <t>TX-80406</t>
        </is>
      </c>
      <c r="C498" s="27" t="n">
        <v>46310.47962962963</v>
      </c>
      <c r="D498" s="15" t="inlineStr">
        <is>
          <t>BR-01</t>
        </is>
      </c>
      <c r="E498" s="15" t="inlineStr">
        <is>
          <t>T-02</t>
        </is>
      </c>
      <c r="F498" s="15" t="inlineStr">
        <is>
          <t>C-103</t>
        </is>
      </c>
      <c r="G498" s="15" t="inlineStr">
        <is>
          <t>NONE</t>
        </is>
      </c>
      <c r="H498" s="14" t="inlineStr">
        <is>
          <t>Sale Tender</t>
        </is>
      </c>
      <c r="I498" s="15" t="inlineStr">
        <is>
          <t>Cash</t>
        </is>
      </c>
      <c r="J498" s="17" t="n">
        <v>1</v>
      </c>
      <c r="K498" s="28" t="n">
        <v>9.98</v>
      </c>
      <c r="L498" s="28" t="n">
        <v>9.98</v>
      </c>
      <c r="M498" s="27" t="n">
        <v>46310.47923611111</v>
      </c>
      <c r="N498" s="29">
        <f>IFERROR(IF(OR(ISBLANK(M498), M498="", ISBLANK(C498), C498=""), 0, MAX(0, ROUND((C498-M498)*86400, 0))), 0)</f>
        <v/>
      </c>
      <c r="O498" s="14">
        <f>IF(H498="Post-Bill Void", IF(AND(G498="M-904", I498="Cash"), "EXCEPTION: Concurrent Cash Void", IF(AND(I498="Cash", N498&gt;120), "CRITICAL: Delayed Cash Void", IF(N498&gt;120, "EXCEPTION: Delayed Void", "Standard Void"))), IF(H498="Line Item Void", IF(I498="Cash", "EXCEPTION: Cash Line Void", "Standard Line Void"), IF(H498="No-Sale Drawer Opening", "DRAWER OPENING", "Standard Sale")))</f>
        <v/>
      </c>
    </row>
    <row r="499" ht="18" customHeight="1">
      <c r="A499" s="12" t="inlineStr">
        <is>
          <t>EVT-10407</t>
        </is>
      </c>
      <c r="B499" s="12" t="inlineStr">
        <is>
          <t>TX-80407</t>
        </is>
      </c>
      <c r="C499" s="24" t="n">
        <v>46310.48658564815</v>
      </c>
      <c r="D499" s="12" t="inlineStr">
        <is>
          <t>BR-04</t>
        </is>
      </c>
      <c r="E499" s="12" t="inlineStr">
        <is>
          <t>T-01</t>
        </is>
      </c>
      <c r="F499" s="12" t="inlineStr">
        <is>
          <t>C-113</t>
        </is>
      </c>
      <c r="G499" s="12" t="inlineStr">
        <is>
          <t>NONE</t>
        </is>
      </c>
      <c r="H499" s="11" t="inlineStr">
        <is>
          <t>Sale Tender</t>
        </is>
      </c>
      <c r="I499" s="12" t="inlineStr">
        <is>
          <t>Cash</t>
        </is>
      </c>
      <c r="J499" s="20" t="n">
        <v>4</v>
      </c>
      <c r="K499" s="25" t="n">
        <v>35.52</v>
      </c>
      <c r="L499" s="25" t="n">
        <v>35.52</v>
      </c>
      <c r="M499" s="24" t="n">
        <v>46310.48581018519</v>
      </c>
      <c r="N499" s="26">
        <f>IFERROR(IF(OR(ISBLANK(M499), M499="", ISBLANK(C499), C499=""), 0, MAX(0, ROUND((C499-M499)*86400, 0))), 0)</f>
        <v/>
      </c>
      <c r="O499" s="11">
        <f>IF(H499="Post-Bill Void", IF(AND(G499="M-904", I499="Cash"), "EXCEPTION: Concurrent Cash Void", IF(AND(I499="Cash", N499&gt;120), "CRITICAL: Delayed Cash Void", IF(N499&gt;120, "EXCEPTION: Delayed Void", "Standard Void"))), IF(H499="Line Item Void", IF(I499="Cash", "EXCEPTION: Cash Line Void", "Standard Line Void"), IF(H499="No-Sale Drawer Opening", "DRAWER OPENING", "Standard Sale")))</f>
        <v/>
      </c>
    </row>
    <row r="500" ht="18" customHeight="1">
      <c r="A500" s="15" t="inlineStr">
        <is>
          <t>EVT-10408</t>
        </is>
      </c>
      <c r="B500" s="15" t="inlineStr">
        <is>
          <t>TX-80408</t>
        </is>
      </c>
      <c r="C500" s="27" t="n">
        <v>46310.49373842592</v>
      </c>
      <c r="D500" s="15" t="inlineStr">
        <is>
          <t>BR-04</t>
        </is>
      </c>
      <c r="E500" s="15" t="inlineStr">
        <is>
          <t>T-01</t>
        </is>
      </c>
      <c r="F500" s="15" t="inlineStr">
        <is>
          <t>C-115</t>
        </is>
      </c>
      <c r="G500" s="15" t="inlineStr">
        <is>
          <t>NONE</t>
        </is>
      </c>
      <c r="H500" s="14" t="inlineStr">
        <is>
          <t>Sale Tender</t>
        </is>
      </c>
      <c r="I500" s="15" t="inlineStr">
        <is>
          <t>Card</t>
        </is>
      </c>
      <c r="J500" s="17" t="n">
        <v>4</v>
      </c>
      <c r="K500" s="28" t="n">
        <v>39.18</v>
      </c>
      <c r="L500" s="28" t="n">
        <v>39.18</v>
      </c>
      <c r="M500" s="27" t="n">
        <v>46310.49341435185</v>
      </c>
      <c r="N500" s="29">
        <f>IFERROR(IF(OR(ISBLANK(M500), M500="", ISBLANK(C500), C500=""), 0, MAX(0, ROUND((C500-M500)*86400, 0))), 0)</f>
        <v/>
      </c>
      <c r="O500" s="14">
        <f>IF(H500="Post-Bill Void", IF(AND(G500="M-904", I500="Cash"), "EXCEPTION: Concurrent Cash Void", IF(AND(I500="Cash", N500&gt;120), "CRITICAL: Delayed Cash Void", IF(N500&gt;120, "EXCEPTION: Delayed Void", "Standard Void"))), IF(H500="Line Item Void", IF(I500="Cash", "EXCEPTION: Cash Line Void", "Standard Line Void"), IF(H500="No-Sale Drawer Opening", "DRAWER OPENING", "Standard Sale")))</f>
        <v/>
      </c>
    </row>
    <row r="501" ht="18" customHeight="1">
      <c r="A501" s="12" t="inlineStr">
        <is>
          <t>EVT-10409</t>
        </is>
      </c>
      <c r="B501" s="12" t="inlineStr">
        <is>
          <t>TX-80409</t>
        </is>
      </c>
      <c r="C501" s="24" t="n">
        <v>46310.50015046296</v>
      </c>
      <c r="D501" s="12" t="inlineStr">
        <is>
          <t>BR-02</t>
        </is>
      </c>
      <c r="E501" s="12" t="inlineStr">
        <is>
          <t>T-01</t>
        </is>
      </c>
      <c r="F501" s="12" t="inlineStr">
        <is>
          <t>C-107</t>
        </is>
      </c>
      <c r="G501" s="12" t="inlineStr">
        <is>
          <t>NONE</t>
        </is>
      </c>
      <c r="H501" s="11" t="inlineStr">
        <is>
          <t>Sale Tender</t>
        </is>
      </c>
      <c r="I501" s="12" t="inlineStr">
        <is>
          <t>Cash</t>
        </is>
      </c>
      <c r="J501" s="20" t="n">
        <v>5</v>
      </c>
      <c r="K501" s="25" t="n">
        <v>65.64</v>
      </c>
      <c r="L501" s="25" t="n">
        <v>65.64</v>
      </c>
      <c r="M501" s="24" t="n">
        <v>46310.49964120371</v>
      </c>
      <c r="N501" s="26">
        <f>IFERROR(IF(OR(ISBLANK(M501), M501="", ISBLANK(C501), C501=""), 0, MAX(0, ROUND((C501-M501)*86400, 0))), 0)</f>
        <v/>
      </c>
      <c r="O501" s="11">
        <f>IF(H501="Post-Bill Void", IF(AND(G501="M-904", I501="Cash"), "EXCEPTION: Concurrent Cash Void", IF(AND(I501="Cash", N501&gt;120), "CRITICAL: Delayed Cash Void", IF(N501&gt;120, "EXCEPTION: Delayed Void", "Standard Void"))), IF(H501="Line Item Void", IF(I501="Cash", "EXCEPTION: Cash Line Void", "Standard Line Void"), IF(H501="No-Sale Drawer Opening", "DRAWER OPENING", "Standard Sale")))</f>
        <v/>
      </c>
    </row>
    <row r="502" ht="18" customHeight="1">
      <c r="A502" s="15" t="inlineStr">
        <is>
          <t>EVT-10410</t>
        </is>
      </c>
      <c r="B502" s="15" t="inlineStr">
        <is>
          <t>TX-80410</t>
        </is>
      </c>
      <c r="C502" s="27" t="n">
        <v>46310.50741898148</v>
      </c>
      <c r="D502" s="15" t="inlineStr">
        <is>
          <t>BR-03</t>
        </is>
      </c>
      <c r="E502" s="15" t="inlineStr">
        <is>
          <t>T-01</t>
        </is>
      </c>
      <c r="F502" s="15" t="inlineStr">
        <is>
          <t>C-112</t>
        </is>
      </c>
      <c r="G502" s="15" t="inlineStr">
        <is>
          <t>NONE</t>
        </is>
      </c>
      <c r="H502" s="14" t="inlineStr">
        <is>
          <t>Sale Tender</t>
        </is>
      </c>
      <c r="I502" s="15" t="inlineStr">
        <is>
          <t>Card</t>
        </is>
      </c>
      <c r="J502" s="17" t="n">
        <v>1</v>
      </c>
      <c r="K502" s="28" t="n">
        <v>10.6</v>
      </c>
      <c r="L502" s="28" t="n">
        <v>10.6</v>
      </c>
      <c r="M502" s="27" t="n">
        <v>46310.50631944444</v>
      </c>
      <c r="N502" s="29">
        <f>IFERROR(IF(OR(ISBLANK(M502), M502="", ISBLANK(C502), C502=""), 0, MAX(0, ROUND((C502-M502)*86400, 0))), 0)</f>
        <v/>
      </c>
      <c r="O502" s="14">
        <f>IF(H502="Post-Bill Void", IF(AND(G502="M-904", I502="Cash"), "EXCEPTION: Concurrent Cash Void", IF(AND(I502="Cash", N502&gt;120), "CRITICAL: Delayed Cash Void", IF(N502&gt;120, "EXCEPTION: Delayed Void", "Standard Void"))), IF(H502="Line Item Void", IF(I502="Cash", "EXCEPTION: Cash Line Void", "Standard Line Void"), IF(H502="No-Sale Drawer Opening", "DRAWER OPENING", "Standard Sale")))</f>
        <v/>
      </c>
    </row>
    <row r="503" ht="18" customHeight="1">
      <c r="A503" s="12" t="inlineStr">
        <is>
          <t>EVT-10411</t>
        </is>
      </c>
      <c r="B503" s="12" t="inlineStr">
        <is>
          <t>TX-80411</t>
        </is>
      </c>
      <c r="C503" s="24" t="n">
        <v>46310.51398148148</v>
      </c>
      <c r="D503" s="12" t="inlineStr">
        <is>
          <t>BR-04</t>
        </is>
      </c>
      <c r="E503" s="12" t="inlineStr">
        <is>
          <t>T-02</t>
        </is>
      </c>
      <c r="F503" s="12" t="inlineStr">
        <is>
          <t>C-113</t>
        </is>
      </c>
      <c r="G503" s="12" t="inlineStr">
        <is>
          <t>NONE</t>
        </is>
      </c>
      <c r="H503" s="11" t="inlineStr">
        <is>
          <t>Sale Tender</t>
        </is>
      </c>
      <c r="I503" s="12" t="inlineStr">
        <is>
          <t>Cash</t>
        </is>
      </c>
      <c r="J503" s="20" t="n">
        <v>5</v>
      </c>
      <c r="K503" s="25" t="n">
        <v>72.31</v>
      </c>
      <c r="L503" s="25" t="n">
        <v>72.31</v>
      </c>
      <c r="M503" s="24" t="n">
        <v>46310.51291666667</v>
      </c>
      <c r="N503" s="26">
        <f>IFERROR(IF(OR(ISBLANK(M503), M503="", ISBLANK(C503), C503=""), 0, MAX(0, ROUND((C503-M503)*86400, 0))), 0)</f>
        <v/>
      </c>
      <c r="O503" s="11">
        <f>IF(H503="Post-Bill Void", IF(AND(G503="M-904", I503="Cash"), "EXCEPTION: Concurrent Cash Void", IF(AND(I503="Cash", N503&gt;120), "CRITICAL: Delayed Cash Void", IF(N503&gt;120, "EXCEPTION: Delayed Void", "Standard Void"))), IF(H503="Line Item Void", IF(I503="Cash", "EXCEPTION: Cash Line Void", "Standard Line Void"), IF(H503="No-Sale Drawer Opening", "DRAWER OPENING", "Standard Sale")))</f>
        <v/>
      </c>
    </row>
    <row r="504" ht="18" customHeight="1">
      <c r="A504" s="15" t="inlineStr">
        <is>
          <t>EVT-10412</t>
        </is>
      </c>
      <c r="B504" s="15" t="inlineStr">
        <is>
          <t>TX-80412</t>
        </is>
      </c>
      <c r="C504" s="27" t="n">
        <v>46310.52111111111</v>
      </c>
      <c r="D504" s="15" t="inlineStr">
        <is>
          <t>BR-03</t>
        </is>
      </c>
      <c r="E504" s="15" t="inlineStr">
        <is>
          <t>T-01</t>
        </is>
      </c>
      <c r="F504" s="15" t="inlineStr">
        <is>
          <t>C-112</t>
        </is>
      </c>
      <c r="G504" s="15" t="inlineStr">
        <is>
          <t>NONE</t>
        </is>
      </c>
      <c r="H504" s="14" t="inlineStr">
        <is>
          <t>Sale Tender</t>
        </is>
      </c>
      <c r="I504" s="15" t="inlineStr">
        <is>
          <t>Cash</t>
        </is>
      </c>
      <c r="J504" s="17" t="n">
        <v>5</v>
      </c>
      <c r="K504" s="28" t="n">
        <v>61.34</v>
      </c>
      <c r="L504" s="28" t="n">
        <v>61.34</v>
      </c>
      <c r="M504" s="27" t="n">
        <v>46310.52010416667</v>
      </c>
      <c r="N504" s="29">
        <f>IFERROR(IF(OR(ISBLANK(M504), M504="", ISBLANK(C504), C504=""), 0, MAX(0, ROUND((C504-M504)*86400, 0))), 0)</f>
        <v/>
      </c>
      <c r="O504" s="14">
        <f>IF(H504="Post-Bill Void", IF(AND(G504="M-904", I504="Cash"), "EXCEPTION: Concurrent Cash Void", IF(AND(I504="Cash", N504&gt;120), "CRITICAL: Delayed Cash Void", IF(N504&gt;120, "EXCEPTION: Delayed Void", "Standard Void"))), IF(H504="Line Item Void", IF(I504="Cash", "EXCEPTION: Cash Line Void", "Standard Line Void"), IF(H504="No-Sale Drawer Opening", "DRAWER OPENING", "Standard Sale")))</f>
        <v/>
      </c>
    </row>
    <row r="505" ht="18" customHeight="1">
      <c r="A505" s="12" t="inlineStr">
        <is>
          <t>EVT-10413</t>
        </is>
      </c>
      <c r="B505" s="12" t="inlineStr">
        <is>
          <t>TX-80413</t>
        </is>
      </c>
      <c r="C505" s="24" t="n">
        <v>46310.52805555556</v>
      </c>
      <c r="D505" s="12" t="inlineStr">
        <is>
          <t>BR-03</t>
        </is>
      </c>
      <c r="E505" s="12" t="inlineStr">
        <is>
          <t>T-01</t>
        </is>
      </c>
      <c r="F505" s="12" t="inlineStr">
        <is>
          <t>C-110</t>
        </is>
      </c>
      <c r="G505" s="12" t="inlineStr">
        <is>
          <t>NONE</t>
        </is>
      </c>
      <c r="H505" s="11" t="inlineStr">
        <is>
          <t>Sale Tender</t>
        </is>
      </c>
      <c r="I505" s="12" t="inlineStr">
        <is>
          <t>Cash</t>
        </is>
      </c>
      <c r="J505" s="20" t="n">
        <v>3</v>
      </c>
      <c r="K505" s="25" t="n">
        <v>26.82</v>
      </c>
      <c r="L505" s="25" t="n">
        <v>26.82</v>
      </c>
      <c r="M505" s="24" t="n">
        <v>46310.52744212963</v>
      </c>
      <c r="N505" s="26">
        <f>IFERROR(IF(OR(ISBLANK(M505), M505="", ISBLANK(C505), C505=""), 0, MAX(0, ROUND((C505-M505)*86400, 0))), 0)</f>
        <v/>
      </c>
      <c r="O505" s="11">
        <f>IF(H505="Post-Bill Void", IF(AND(G505="M-904", I505="Cash"), "EXCEPTION: Concurrent Cash Void", IF(AND(I505="Cash", N505&gt;120), "CRITICAL: Delayed Cash Void", IF(N505&gt;120, "EXCEPTION: Delayed Void", "Standard Void"))), IF(H505="Line Item Void", IF(I505="Cash", "EXCEPTION: Cash Line Void", "Standard Line Void"), IF(H505="No-Sale Drawer Opening", "DRAWER OPENING", "Standard Sale")))</f>
        <v/>
      </c>
    </row>
    <row r="506" ht="18" customHeight="1">
      <c r="A506" s="15" t="inlineStr">
        <is>
          <t>EVT-10414</t>
        </is>
      </c>
      <c r="B506" s="15" t="inlineStr">
        <is>
          <t>TX-80414</t>
        </is>
      </c>
      <c r="C506" s="27" t="n">
        <v>46310.53506944444</v>
      </c>
      <c r="D506" s="15" t="inlineStr">
        <is>
          <t>BR-03</t>
        </is>
      </c>
      <c r="E506" s="15" t="inlineStr">
        <is>
          <t>T-02</t>
        </is>
      </c>
      <c r="F506" s="15" t="inlineStr">
        <is>
          <t>C-110</t>
        </is>
      </c>
      <c r="G506" s="15" t="inlineStr">
        <is>
          <t>NONE</t>
        </is>
      </c>
      <c r="H506" s="14" t="inlineStr">
        <is>
          <t>Sale Tender</t>
        </is>
      </c>
      <c r="I506" s="15" t="inlineStr">
        <is>
          <t>Cash</t>
        </is>
      </c>
      <c r="J506" s="17" t="n">
        <v>2</v>
      </c>
      <c r="K506" s="28" t="n">
        <v>21</v>
      </c>
      <c r="L506" s="28" t="n">
        <v>21</v>
      </c>
      <c r="M506" s="27" t="n">
        <v>46310.5346412037</v>
      </c>
      <c r="N506" s="29">
        <f>IFERROR(IF(OR(ISBLANK(M506), M506="", ISBLANK(C506), C506=""), 0, MAX(0, ROUND((C506-M506)*86400, 0))), 0)</f>
        <v/>
      </c>
      <c r="O506" s="14">
        <f>IF(H506="Post-Bill Void", IF(AND(G506="M-904", I506="Cash"), "EXCEPTION: Concurrent Cash Void", IF(AND(I506="Cash", N506&gt;120), "CRITICAL: Delayed Cash Void", IF(N506&gt;120, "EXCEPTION: Delayed Void", "Standard Void"))), IF(H506="Line Item Void", IF(I506="Cash", "EXCEPTION: Cash Line Void", "Standard Line Void"), IF(H506="No-Sale Drawer Opening", "DRAWER OPENING", "Standard Sale")))</f>
        <v/>
      </c>
    </row>
    <row r="507" ht="18" customHeight="1">
      <c r="A507" s="12" t="inlineStr">
        <is>
          <t>EVT-10415</t>
        </is>
      </c>
      <c r="B507" s="12" t="inlineStr">
        <is>
          <t>TX-80415</t>
        </is>
      </c>
      <c r="C507" s="24" t="n">
        <v>46310.54226851852</v>
      </c>
      <c r="D507" s="12" t="inlineStr">
        <is>
          <t>BR-01</t>
        </is>
      </c>
      <c r="E507" s="12" t="inlineStr">
        <is>
          <t>T-01</t>
        </is>
      </c>
      <c r="F507" s="12" t="inlineStr">
        <is>
          <t>C-102</t>
        </is>
      </c>
      <c r="G507" s="12" t="inlineStr">
        <is>
          <t>NONE</t>
        </is>
      </c>
      <c r="H507" s="11" t="inlineStr">
        <is>
          <t>Sale Tender</t>
        </is>
      </c>
      <c r="I507" s="12" t="inlineStr">
        <is>
          <t>Card</t>
        </is>
      </c>
      <c r="J507" s="20" t="n">
        <v>2</v>
      </c>
      <c r="K507" s="25" t="n">
        <v>19.64</v>
      </c>
      <c r="L507" s="25" t="n">
        <v>19.64</v>
      </c>
      <c r="M507" s="24" t="n">
        <v>46310.54141203704</v>
      </c>
      <c r="N507" s="26">
        <f>IFERROR(IF(OR(ISBLANK(M507), M507="", ISBLANK(C507), C507=""), 0, MAX(0, ROUND((C507-M507)*86400, 0))), 0)</f>
        <v/>
      </c>
      <c r="O507" s="11">
        <f>IF(H507="Post-Bill Void", IF(AND(G507="M-904", I507="Cash"), "EXCEPTION: Concurrent Cash Void", IF(AND(I507="Cash", N507&gt;120), "CRITICAL: Delayed Cash Void", IF(N507&gt;120, "EXCEPTION: Delayed Void", "Standard Void"))), IF(H507="Line Item Void", IF(I507="Cash", "EXCEPTION: Cash Line Void", "Standard Line Void"), IF(H507="No-Sale Drawer Opening", "DRAWER OPENING", "Standard Sale")))</f>
        <v/>
      </c>
    </row>
    <row r="508" ht="18" customHeight="1">
      <c r="A508" s="15" t="inlineStr">
        <is>
          <t>EVT-10416</t>
        </is>
      </c>
      <c r="B508" s="15" t="inlineStr">
        <is>
          <t>TX-80416</t>
        </is>
      </c>
      <c r="C508" s="27" t="n">
        <v>46310.54903935185</v>
      </c>
      <c r="D508" s="15" t="inlineStr">
        <is>
          <t>BR-03</t>
        </is>
      </c>
      <c r="E508" s="15" t="inlineStr">
        <is>
          <t>T-02</t>
        </is>
      </c>
      <c r="F508" s="15" t="inlineStr">
        <is>
          <t>C-111</t>
        </is>
      </c>
      <c r="G508" s="15" t="inlineStr">
        <is>
          <t>NONE</t>
        </is>
      </c>
      <c r="H508" s="14" t="inlineStr">
        <is>
          <t>Sale Tender</t>
        </is>
      </c>
      <c r="I508" s="15" t="inlineStr">
        <is>
          <t>Card</t>
        </is>
      </c>
      <c r="J508" s="17" t="n">
        <v>3</v>
      </c>
      <c r="K508" s="28" t="n">
        <v>46.82</v>
      </c>
      <c r="L508" s="28" t="n">
        <v>46.82</v>
      </c>
      <c r="M508" s="27" t="n">
        <v>46310.54871527778</v>
      </c>
      <c r="N508" s="29">
        <f>IFERROR(IF(OR(ISBLANK(M508), M508="", ISBLANK(C508), C508=""), 0, MAX(0, ROUND((C508-M508)*86400, 0))), 0)</f>
        <v/>
      </c>
      <c r="O508" s="14">
        <f>IF(H508="Post-Bill Void", IF(AND(G508="M-904", I508="Cash"), "EXCEPTION: Concurrent Cash Void", IF(AND(I508="Cash", N508&gt;120), "CRITICAL: Delayed Cash Void", IF(N508&gt;120, "EXCEPTION: Delayed Void", "Standard Void"))), IF(H508="Line Item Void", IF(I508="Cash", "EXCEPTION: Cash Line Void", "Standard Line Void"), IF(H508="No-Sale Drawer Opening", "DRAWER OPENING", "Standard Sale")))</f>
        <v/>
      </c>
    </row>
    <row r="509" ht="18" customHeight="1">
      <c r="A509" s="12" t="inlineStr">
        <is>
          <t>EVT-10417</t>
        </is>
      </c>
      <c r="B509" s="12" t="inlineStr">
        <is>
          <t>TX-80417</t>
        </is>
      </c>
      <c r="C509" s="24" t="n">
        <v>46310.55597222222</v>
      </c>
      <c r="D509" s="12" t="inlineStr">
        <is>
          <t>BR-02</t>
        </is>
      </c>
      <c r="E509" s="12" t="inlineStr">
        <is>
          <t>T-02</t>
        </is>
      </c>
      <c r="F509" s="12" t="inlineStr">
        <is>
          <t>C-106</t>
        </is>
      </c>
      <c r="G509" s="12" t="inlineStr">
        <is>
          <t>NONE</t>
        </is>
      </c>
      <c r="H509" s="11" t="inlineStr">
        <is>
          <t>Sale Tender</t>
        </is>
      </c>
      <c r="I509" s="12" t="inlineStr">
        <is>
          <t>Card</t>
        </is>
      </c>
      <c r="J509" s="20" t="n">
        <v>2</v>
      </c>
      <c r="K509" s="25" t="n">
        <v>24.36</v>
      </c>
      <c r="L509" s="25" t="n">
        <v>24.36</v>
      </c>
      <c r="M509" s="24" t="n">
        <v>46310.5549537037</v>
      </c>
      <c r="N509" s="26">
        <f>IFERROR(IF(OR(ISBLANK(M509), M509="", ISBLANK(C509), C509=""), 0, MAX(0, ROUND((C509-M509)*86400, 0))), 0)</f>
        <v/>
      </c>
      <c r="O509" s="11">
        <f>IF(H509="Post-Bill Void", IF(AND(G509="M-904", I509="Cash"), "EXCEPTION: Concurrent Cash Void", IF(AND(I509="Cash", N509&gt;120), "CRITICAL: Delayed Cash Void", IF(N509&gt;120, "EXCEPTION: Delayed Void", "Standard Void"))), IF(H509="Line Item Void", IF(I509="Cash", "EXCEPTION: Cash Line Void", "Standard Line Void"), IF(H509="No-Sale Drawer Opening", "DRAWER OPENING", "Standard Sale")))</f>
        <v/>
      </c>
    </row>
    <row r="510" ht="18" customHeight="1">
      <c r="A510" s="15" t="inlineStr">
        <is>
          <t>EVT-10418</t>
        </is>
      </c>
      <c r="B510" s="15" t="inlineStr">
        <is>
          <t>TX-80418</t>
        </is>
      </c>
      <c r="C510" s="27" t="n">
        <v>46310.56255787037</v>
      </c>
      <c r="D510" s="15" t="inlineStr">
        <is>
          <t>BR-01</t>
        </is>
      </c>
      <c r="E510" s="15" t="inlineStr">
        <is>
          <t>T-02</t>
        </is>
      </c>
      <c r="F510" s="15" t="inlineStr">
        <is>
          <t>C-102</t>
        </is>
      </c>
      <c r="G510" s="15" t="inlineStr">
        <is>
          <t>NONE</t>
        </is>
      </c>
      <c r="H510" s="14" t="inlineStr">
        <is>
          <t>Sale Tender</t>
        </is>
      </c>
      <c r="I510" s="15" t="inlineStr">
        <is>
          <t>Card</t>
        </is>
      </c>
      <c r="J510" s="17" t="n">
        <v>1</v>
      </c>
      <c r="K510" s="28" t="n">
        <v>10.99</v>
      </c>
      <c r="L510" s="28" t="n">
        <v>10.99</v>
      </c>
      <c r="M510" s="27" t="n">
        <v>46310.56224537037</v>
      </c>
      <c r="N510" s="29">
        <f>IFERROR(IF(OR(ISBLANK(M510), M510="", ISBLANK(C510), C510=""), 0, MAX(0, ROUND((C510-M510)*86400, 0))), 0)</f>
        <v/>
      </c>
      <c r="O510" s="14">
        <f>IF(H510="Post-Bill Void", IF(AND(G510="M-904", I510="Cash"), "EXCEPTION: Concurrent Cash Void", IF(AND(I510="Cash", N510&gt;120), "CRITICAL: Delayed Cash Void", IF(N510&gt;120, "EXCEPTION: Delayed Void", "Standard Void"))), IF(H510="Line Item Void", IF(I510="Cash", "EXCEPTION: Cash Line Void", "Standard Line Void"), IF(H510="No-Sale Drawer Opening", "DRAWER OPENING", "Standard Sale")))</f>
        <v/>
      </c>
    </row>
    <row r="511" ht="18" customHeight="1">
      <c r="A511" s="12" t="inlineStr">
        <is>
          <t>EVT-10419</t>
        </is>
      </c>
      <c r="B511" s="12" t="inlineStr">
        <is>
          <t>TX-80419</t>
        </is>
      </c>
      <c r="C511" s="24" t="n">
        <v>46310.56989583333</v>
      </c>
      <c r="D511" s="12" t="inlineStr">
        <is>
          <t>BR-02</t>
        </is>
      </c>
      <c r="E511" s="12" t="inlineStr">
        <is>
          <t>T-01</t>
        </is>
      </c>
      <c r="F511" s="12" t="inlineStr">
        <is>
          <t>C-106</t>
        </is>
      </c>
      <c r="G511" s="12" t="inlineStr">
        <is>
          <t>NONE</t>
        </is>
      </c>
      <c r="H511" s="11" t="inlineStr">
        <is>
          <t>Sale Tender</t>
        </is>
      </c>
      <c r="I511" s="12" t="inlineStr">
        <is>
          <t>Delivery Aggregator</t>
        </is>
      </c>
      <c r="J511" s="20" t="n">
        <v>3</v>
      </c>
      <c r="K511" s="25" t="n">
        <v>26.84</v>
      </c>
      <c r="L511" s="25" t="n">
        <v>26.84</v>
      </c>
      <c r="M511" s="24" t="n">
        <v>46310.56935185185</v>
      </c>
      <c r="N511" s="26">
        <f>IFERROR(IF(OR(ISBLANK(M511), M511="", ISBLANK(C511), C511=""), 0, MAX(0, ROUND((C511-M511)*86400, 0))), 0)</f>
        <v/>
      </c>
      <c r="O511" s="11">
        <f>IF(H511="Post-Bill Void", IF(AND(G511="M-904", I511="Cash"), "EXCEPTION: Concurrent Cash Void", IF(AND(I511="Cash", N511&gt;120), "CRITICAL: Delayed Cash Void", IF(N511&gt;120, "EXCEPTION: Delayed Void", "Standard Void"))), IF(H511="Line Item Void", IF(I511="Cash", "EXCEPTION: Cash Line Void", "Standard Line Void"), IF(H511="No-Sale Drawer Opening", "DRAWER OPENING", "Standard Sale")))</f>
        <v/>
      </c>
    </row>
    <row r="512" ht="18" customHeight="1">
      <c r="A512" s="15" t="inlineStr">
        <is>
          <t>EVT-10420</t>
        </is>
      </c>
      <c r="B512" s="15" t="inlineStr">
        <is>
          <t>TX-80420</t>
        </is>
      </c>
      <c r="C512" s="27" t="n">
        <v>46310.57649305555</v>
      </c>
      <c r="D512" s="15" t="inlineStr">
        <is>
          <t>BR-02</t>
        </is>
      </c>
      <c r="E512" s="15" t="inlineStr">
        <is>
          <t>T-02</t>
        </is>
      </c>
      <c r="F512" s="15" t="inlineStr">
        <is>
          <t>C-105</t>
        </is>
      </c>
      <c r="G512" s="15" t="inlineStr">
        <is>
          <t>NONE</t>
        </is>
      </c>
      <c r="H512" s="14" t="inlineStr">
        <is>
          <t>Sale Tender</t>
        </is>
      </c>
      <c r="I512" s="15" t="inlineStr">
        <is>
          <t>Delivery Aggregator</t>
        </is>
      </c>
      <c r="J512" s="17" t="n">
        <v>3</v>
      </c>
      <c r="K512" s="28" t="n">
        <v>41.35</v>
      </c>
      <c r="L512" s="28" t="n">
        <v>41.35</v>
      </c>
      <c r="M512" s="27" t="n">
        <v>46310.5756712963</v>
      </c>
      <c r="N512" s="29">
        <f>IFERROR(IF(OR(ISBLANK(M512), M512="", ISBLANK(C512), C512=""), 0, MAX(0, ROUND((C512-M512)*86400, 0))), 0)</f>
        <v/>
      </c>
      <c r="O512" s="14">
        <f>IF(H512="Post-Bill Void", IF(AND(G512="M-904", I512="Cash"), "EXCEPTION: Concurrent Cash Void", IF(AND(I512="Cash", N512&gt;120), "CRITICAL: Delayed Cash Void", IF(N512&gt;120, "EXCEPTION: Delayed Void", "Standard Void"))), IF(H512="Line Item Void", IF(I512="Cash", "EXCEPTION: Cash Line Void", "Standard Line Void"), IF(H512="No-Sale Drawer Opening", "DRAWER OPENING", "Standard Sale")))</f>
        <v/>
      </c>
    </row>
    <row r="513" ht="18" customHeight="1">
      <c r="A513" s="12" t="inlineStr">
        <is>
          <t>EVT-10421</t>
        </is>
      </c>
      <c r="B513" s="12" t="inlineStr">
        <is>
          <t>TX-80421</t>
        </is>
      </c>
      <c r="C513" s="24" t="n">
        <v>46310.58381944444</v>
      </c>
      <c r="D513" s="12" t="inlineStr">
        <is>
          <t>BR-04</t>
        </is>
      </c>
      <c r="E513" s="12" t="inlineStr">
        <is>
          <t>T-01</t>
        </is>
      </c>
      <c r="F513" s="12" t="inlineStr">
        <is>
          <t>C-115</t>
        </is>
      </c>
      <c r="G513" s="12" t="inlineStr">
        <is>
          <t>NONE</t>
        </is>
      </c>
      <c r="H513" s="11" t="inlineStr">
        <is>
          <t>Sale Tender</t>
        </is>
      </c>
      <c r="I513" s="12" t="inlineStr">
        <is>
          <t>Cash</t>
        </is>
      </c>
      <c r="J513" s="20" t="n">
        <v>2</v>
      </c>
      <c r="K513" s="25" t="n">
        <v>27.99</v>
      </c>
      <c r="L513" s="25" t="n">
        <v>27.99</v>
      </c>
      <c r="M513" s="24" t="n">
        <v>46310.58309027777</v>
      </c>
      <c r="N513" s="26">
        <f>IFERROR(IF(OR(ISBLANK(M513), M513="", ISBLANK(C513), C513=""), 0, MAX(0, ROUND((C513-M513)*86400, 0))), 0)</f>
        <v/>
      </c>
      <c r="O513" s="11">
        <f>IF(H513="Post-Bill Void", IF(AND(G513="M-904", I513="Cash"), "EXCEPTION: Concurrent Cash Void", IF(AND(I513="Cash", N513&gt;120), "CRITICAL: Delayed Cash Void", IF(N513&gt;120, "EXCEPTION: Delayed Void", "Standard Void"))), IF(H513="Line Item Void", IF(I513="Cash", "EXCEPTION: Cash Line Void", "Standard Line Void"), IF(H513="No-Sale Drawer Opening", "DRAWER OPENING", "Standard Sale")))</f>
        <v/>
      </c>
    </row>
    <row r="514" ht="18" customHeight="1">
      <c r="A514" s="15" t="inlineStr">
        <is>
          <t>EVT-10422</t>
        </is>
      </c>
      <c r="B514" s="15" t="inlineStr">
        <is>
          <t>TX-80422</t>
        </is>
      </c>
      <c r="C514" s="27" t="n">
        <v>46310.59059027778</v>
      </c>
      <c r="D514" s="15" t="inlineStr">
        <is>
          <t>BR-04</t>
        </is>
      </c>
      <c r="E514" s="15" t="inlineStr">
        <is>
          <t>T-01</t>
        </is>
      </c>
      <c r="F514" s="15" t="inlineStr">
        <is>
          <t>C-115</t>
        </is>
      </c>
      <c r="G514" s="15" t="inlineStr">
        <is>
          <t>NONE</t>
        </is>
      </c>
      <c r="H514" s="14" t="inlineStr">
        <is>
          <t>Sale Tender</t>
        </is>
      </c>
      <c r="I514" s="15" t="inlineStr">
        <is>
          <t>Cash</t>
        </is>
      </c>
      <c r="J514" s="17" t="n">
        <v>5</v>
      </c>
      <c r="K514" s="28" t="n">
        <v>73.04000000000001</v>
      </c>
      <c r="L514" s="28" t="n">
        <v>73.04000000000001</v>
      </c>
      <c r="M514" s="27" t="n">
        <v>46310.5897800926</v>
      </c>
      <c r="N514" s="29">
        <f>IFERROR(IF(OR(ISBLANK(M514), M514="", ISBLANK(C514), C514=""), 0, MAX(0, ROUND((C514-M514)*86400, 0))), 0)</f>
        <v/>
      </c>
      <c r="O514" s="14">
        <f>IF(H514="Post-Bill Void", IF(AND(G514="M-904", I514="Cash"), "EXCEPTION: Concurrent Cash Void", IF(AND(I514="Cash", N514&gt;120), "CRITICAL: Delayed Cash Void", IF(N514&gt;120, "EXCEPTION: Delayed Void", "Standard Void"))), IF(H514="Line Item Void", IF(I514="Cash", "EXCEPTION: Cash Line Void", "Standard Line Void"), IF(H514="No-Sale Drawer Opening", "DRAWER OPENING", "Standard Sale")))</f>
        <v/>
      </c>
    </row>
    <row r="515" ht="18" customHeight="1">
      <c r="A515" s="12" t="inlineStr">
        <is>
          <t>EVT-10423</t>
        </is>
      </c>
      <c r="B515" s="12" t="inlineStr">
        <is>
          <t>TX-80423</t>
        </is>
      </c>
      <c r="C515" s="24" t="n">
        <v>46310.5975</v>
      </c>
      <c r="D515" s="12" t="inlineStr">
        <is>
          <t>BR-03</t>
        </is>
      </c>
      <c r="E515" s="12" t="inlineStr">
        <is>
          <t>T-01</t>
        </is>
      </c>
      <c r="F515" s="12" t="inlineStr">
        <is>
          <t>C-111</t>
        </is>
      </c>
      <c r="G515" s="12" t="inlineStr">
        <is>
          <t>NONE</t>
        </is>
      </c>
      <c r="H515" s="11" t="inlineStr">
        <is>
          <t>Sale Tender</t>
        </is>
      </c>
      <c r="I515" s="12" t="inlineStr">
        <is>
          <t>Delivery Aggregator</t>
        </is>
      </c>
      <c r="J515" s="20" t="n">
        <v>5</v>
      </c>
      <c r="K515" s="25" t="n">
        <v>57.19</v>
      </c>
      <c r="L515" s="25" t="n">
        <v>57.19</v>
      </c>
      <c r="M515" s="24" t="n">
        <v>46310.59721064815</v>
      </c>
      <c r="N515" s="26">
        <f>IFERROR(IF(OR(ISBLANK(M515), M515="", ISBLANK(C515), C515=""), 0, MAX(0, ROUND((C515-M515)*86400, 0))), 0)</f>
        <v/>
      </c>
      <c r="O515" s="11">
        <f>IF(H515="Post-Bill Void", IF(AND(G515="M-904", I515="Cash"), "EXCEPTION: Concurrent Cash Void", IF(AND(I515="Cash", N515&gt;120), "CRITICAL: Delayed Cash Void", IF(N515&gt;120, "EXCEPTION: Delayed Void", "Standard Void"))), IF(H515="Line Item Void", IF(I515="Cash", "EXCEPTION: Cash Line Void", "Standard Line Void"), IF(H515="No-Sale Drawer Opening", "DRAWER OPENING", "Standard Sale")))</f>
        <v/>
      </c>
    </row>
    <row r="516" ht="18" customHeight="1">
      <c r="A516" s="15" t="inlineStr">
        <is>
          <t>EVT-10424</t>
        </is>
      </c>
      <c r="B516" s="15" t="inlineStr">
        <is>
          <t>TX-80424</t>
        </is>
      </c>
      <c r="C516" s="27" t="n">
        <v>46310.6047337963</v>
      </c>
      <c r="D516" s="15" t="inlineStr">
        <is>
          <t>BR-01</t>
        </is>
      </c>
      <c r="E516" s="15" t="inlineStr">
        <is>
          <t>T-02</t>
        </is>
      </c>
      <c r="F516" s="15" t="inlineStr">
        <is>
          <t>C-102</t>
        </is>
      </c>
      <c r="G516" s="15" t="inlineStr">
        <is>
          <t>NONE</t>
        </is>
      </c>
      <c r="H516" s="14" t="inlineStr">
        <is>
          <t>Sale Tender</t>
        </is>
      </c>
      <c r="I516" s="15" t="inlineStr">
        <is>
          <t>Card</t>
        </is>
      </c>
      <c r="J516" s="17" t="n">
        <v>1</v>
      </c>
      <c r="K516" s="28" t="n">
        <v>15.53</v>
      </c>
      <c r="L516" s="28" t="n">
        <v>15.53</v>
      </c>
      <c r="M516" s="27" t="n">
        <v>46310.60412037037</v>
      </c>
      <c r="N516" s="29">
        <f>IFERROR(IF(OR(ISBLANK(M516), M516="", ISBLANK(C516), C516=""), 0, MAX(0, ROUND((C516-M516)*86400, 0))), 0)</f>
        <v/>
      </c>
      <c r="O516" s="14">
        <f>IF(H516="Post-Bill Void", IF(AND(G516="M-904", I516="Cash"), "EXCEPTION: Concurrent Cash Void", IF(AND(I516="Cash", N516&gt;120), "CRITICAL: Delayed Cash Void", IF(N516&gt;120, "EXCEPTION: Delayed Void", "Standard Void"))), IF(H516="Line Item Void", IF(I516="Cash", "EXCEPTION: Cash Line Void", "Standard Line Void"), IF(H516="No-Sale Drawer Opening", "DRAWER OPENING", "Standard Sale")))</f>
        <v/>
      </c>
    </row>
    <row r="517" ht="18" customHeight="1">
      <c r="A517" s="12" t="inlineStr">
        <is>
          <t>EVT-10425</t>
        </is>
      </c>
      <c r="B517" s="12" t="inlineStr">
        <is>
          <t>TX-80425</t>
        </is>
      </c>
      <c r="C517" s="24" t="n">
        <v>46310.61121527778</v>
      </c>
      <c r="D517" s="12" t="inlineStr">
        <is>
          <t>BR-03</t>
        </is>
      </c>
      <c r="E517" s="12" t="inlineStr">
        <is>
          <t>T-01</t>
        </is>
      </c>
      <c r="F517" s="12" t="inlineStr">
        <is>
          <t>C-109</t>
        </is>
      </c>
      <c r="G517" s="12" t="inlineStr">
        <is>
          <t>NONE</t>
        </is>
      </c>
      <c r="H517" s="11" t="inlineStr">
        <is>
          <t>Sale Tender</t>
        </is>
      </c>
      <c r="I517" s="12" t="inlineStr">
        <is>
          <t>Cash</t>
        </is>
      </c>
      <c r="J517" s="20" t="n">
        <v>1</v>
      </c>
      <c r="K517" s="25" t="n">
        <v>14.66</v>
      </c>
      <c r="L517" s="25" t="n">
        <v>14.66</v>
      </c>
      <c r="M517" s="24" t="n">
        <v>46310.61046296296</v>
      </c>
      <c r="N517" s="26">
        <f>IFERROR(IF(OR(ISBLANK(M517), M517="", ISBLANK(C517), C517=""), 0, MAX(0, ROUND((C517-M517)*86400, 0))), 0)</f>
        <v/>
      </c>
      <c r="O517" s="11">
        <f>IF(H517="Post-Bill Void", IF(AND(G517="M-904", I517="Cash"), "EXCEPTION: Concurrent Cash Void", IF(AND(I517="Cash", N517&gt;120), "CRITICAL: Delayed Cash Void", IF(N517&gt;120, "EXCEPTION: Delayed Void", "Standard Void"))), IF(H517="Line Item Void", IF(I517="Cash", "EXCEPTION: Cash Line Void", "Standard Line Void"), IF(H517="No-Sale Drawer Opening", "DRAWER OPENING", "Standard Sale")))</f>
        <v/>
      </c>
    </row>
    <row r="518" ht="18" customHeight="1">
      <c r="A518" s="15" t="inlineStr">
        <is>
          <t>EVT-10426</t>
        </is>
      </c>
      <c r="B518" s="15" t="inlineStr">
        <is>
          <t>TX-80426</t>
        </is>
      </c>
      <c r="C518" s="27" t="n">
        <v>46310.61854166666</v>
      </c>
      <c r="D518" s="15" t="inlineStr">
        <is>
          <t>BR-03</t>
        </is>
      </c>
      <c r="E518" s="15" t="inlineStr">
        <is>
          <t>T-01</t>
        </is>
      </c>
      <c r="F518" s="15" t="inlineStr">
        <is>
          <t>C-112</t>
        </is>
      </c>
      <c r="G518" s="15" t="inlineStr">
        <is>
          <t>NONE</t>
        </is>
      </c>
      <c r="H518" s="14" t="inlineStr">
        <is>
          <t>Sale Tender</t>
        </is>
      </c>
      <c r="I518" s="15" t="inlineStr">
        <is>
          <t>Cash</t>
        </is>
      </c>
      <c r="J518" s="17" t="n">
        <v>1</v>
      </c>
      <c r="K518" s="28" t="n">
        <v>11.13</v>
      </c>
      <c r="L518" s="28" t="n">
        <v>11.13</v>
      </c>
      <c r="M518" s="27" t="n">
        <v>46310.61795138889</v>
      </c>
      <c r="N518" s="29">
        <f>IFERROR(IF(OR(ISBLANK(M518), M518="", ISBLANK(C518), C518=""), 0, MAX(0, ROUND((C518-M518)*86400, 0))), 0)</f>
        <v/>
      </c>
      <c r="O518" s="14">
        <f>IF(H518="Post-Bill Void", IF(AND(G518="M-904", I518="Cash"), "EXCEPTION: Concurrent Cash Void", IF(AND(I518="Cash", N518&gt;120), "CRITICAL: Delayed Cash Void", IF(N518&gt;120, "EXCEPTION: Delayed Void", "Standard Void"))), IF(H518="Line Item Void", IF(I518="Cash", "EXCEPTION: Cash Line Void", "Standard Line Void"), IF(H518="No-Sale Drawer Opening", "DRAWER OPENING", "Standard Sale")))</f>
        <v/>
      </c>
    </row>
    <row r="519" ht="18" customHeight="1">
      <c r="A519" s="12" t="inlineStr">
        <is>
          <t>EVT-10427</t>
        </is>
      </c>
      <c r="B519" s="12" t="inlineStr">
        <is>
          <t>TX-80427</t>
        </is>
      </c>
      <c r="C519" s="24" t="n">
        <v>46310.6255787037</v>
      </c>
      <c r="D519" s="12" t="inlineStr">
        <is>
          <t>BR-01</t>
        </is>
      </c>
      <c r="E519" s="12" t="inlineStr">
        <is>
          <t>T-01</t>
        </is>
      </c>
      <c r="F519" s="12" t="inlineStr">
        <is>
          <t>C-101</t>
        </is>
      </c>
      <c r="G519" s="12" t="inlineStr">
        <is>
          <t>NONE</t>
        </is>
      </c>
      <c r="H519" s="11" t="inlineStr">
        <is>
          <t>Sale Tender</t>
        </is>
      </c>
      <c r="I519" s="12" t="inlineStr">
        <is>
          <t>Card</t>
        </is>
      </c>
      <c r="J519" s="20" t="n">
        <v>2</v>
      </c>
      <c r="K519" s="25" t="n">
        <v>30.27</v>
      </c>
      <c r="L519" s="25" t="n">
        <v>30.27</v>
      </c>
      <c r="M519" s="24" t="n">
        <v>46310.62464120371</v>
      </c>
      <c r="N519" s="26">
        <f>IFERROR(IF(OR(ISBLANK(M519), M519="", ISBLANK(C519), C519=""), 0, MAX(0, ROUND((C519-M519)*86400, 0))), 0)</f>
        <v/>
      </c>
      <c r="O519" s="11">
        <f>IF(H519="Post-Bill Void", IF(AND(G519="M-904", I519="Cash"), "EXCEPTION: Concurrent Cash Void", IF(AND(I519="Cash", N519&gt;120), "CRITICAL: Delayed Cash Void", IF(N519&gt;120, "EXCEPTION: Delayed Void", "Standard Void"))), IF(H519="Line Item Void", IF(I519="Cash", "EXCEPTION: Cash Line Void", "Standard Line Void"), IF(H519="No-Sale Drawer Opening", "DRAWER OPENING", "Standard Sale")))</f>
        <v/>
      </c>
    </row>
    <row r="520" ht="18" customHeight="1">
      <c r="A520" s="15" t="inlineStr">
        <is>
          <t>EVT-10428</t>
        </is>
      </c>
      <c r="B520" s="15" t="inlineStr">
        <is>
          <t>TX-80428</t>
        </is>
      </c>
      <c r="C520" s="27" t="n">
        <v>46310.63230324074</v>
      </c>
      <c r="D520" s="15" t="inlineStr">
        <is>
          <t>BR-04</t>
        </is>
      </c>
      <c r="E520" s="15" t="inlineStr">
        <is>
          <t>T-01</t>
        </is>
      </c>
      <c r="F520" s="15" t="inlineStr">
        <is>
          <t>C-114</t>
        </is>
      </c>
      <c r="G520" s="15" t="inlineStr">
        <is>
          <t>NONE</t>
        </is>
      </c>
      <c r="H520" s="14" t="inlineStr">
        <is>
          <t>Sale Tender</t>
        </is>
      </c>
      <c r="I520" s="15" t="inlineStr">
        <is>
          <t>Card</t>
        </is>
      </c>
      <c r="J520" s="17" t="n">
        <v>5</v>
      </c>
      <c r="K520" s="28" t="n">
        <v>66.91</v>
      </c>
      <c r="L520" s="28" t="n">
        <v>66.91</v>
      </c>
      <c r="M520" s="27" t="n">
        <v>46310.631875</v>
      </c>
      <c r="N520" s="29">
        <f>IFERROR(IF(OR(ISBLANK(M520), M520="", ISBLANK(C520), C520=""), 0, MAX(0, ROUND((C520-M520)*86400, 0))), 0)</f>
        <v/>
      </c>
      <c r="O520" s="14">
        <f>IF(H520="Post-Bill Void", IF(AND(G520="M-904", I520="Cash"), "EXCEPTION: Concurrent Cash Void", IF(AND(I520="Cash", N520&gt;120), "CRITICAL: Delayed Cash Void", IF(N520&gt;120, "EXCEPTION: Delayed Void", "Standard Void"))), IF(H520="Line Item Void", IF(I520="Cash", "EXCEPTION: Cash Line Void", "Standard Line Void"), IF(H520="No-Sale Drawer Opening", "DRAWER OPENING", "Standard Sale")))</f>
        <v/>
      </c>
    </row>
    <row r="521" ht="18" customHeight="1">
      <c r="A521" s="12" t="inlineStr">
        <is>
          <t>EVT-10429</t>
        </is>
      </c>
      <c r="B521" s="12" t="inlineStr">
        <is>
          <t>TX-80429</t>
        </is>
      </c>
      <c r="C521" s="24" t="n">
        <v>46310.63938657408</v>
      </c>
      <c r="D521" s="12" t="inlineStr">
        <is>
          <t>BR-02</t>
        </is>
      </c>
      <c r="E521" s="12" t="inlineStr">
        <is>
          <t>T-01</t>
        </is>
      </c>
      <c r="F521" s="12" t="inlineStr">
        <is>
          <t>C-106</t>
        </is>
      </c>
      <c r="G521" s="12" t="inlineStr">
        <is>
          <t>NONE</t>
        </is>
      </c>
      <c r="H521" s="11" t="inlineStr">
        <is>
          <t>Sale Tender</t>
        </is>
      </c>
      <c r="I521" s="12" t="inlineStr">
        <is>
          <t>Cash</t>
        </is>
      </c>
      <c r="J521" s="20" t="n">
        <v>3</v>
      </c>
      <c r="K521" s="25" t="n">
        <v>31.38</v>
      </c>
      <c r="L521" s="25" t="n">
        <v>31.38</v>
      </c>
      <c r="M521" s="24" t="n">
        <v>46310.63905092593</v>
      </c>
      <c r="N521" s="26">
        <f>IFERROR(IF(OR(ISBLANK(M521), M521="", ISBLANK(C521), C521=""), 0, MAX(0, ROUND((C521-M521)*86400, 0))), 0)</f>
        <v/>
      </c>
      <c r="O521" s="11">
        <f>IF(H521="Post-Bill Void", IF(AND(G521="M-904", I521="Cash"), "EXCEPTION: Concurrent Cash Void", IF(AND(I521="Cash", N521&gt;120), "CRITICAL: Delayed Cash Void", IF(N521&gt;120, "EXCEPTION: Delayed Void", "Standard Void"))), IF(H521="Line Item Void", IF(I521="Cash", "EXCEPTION: Cash Line Void", "Standard Line Void"), IF(H521="No-Sale Drawer Opening", "DRAWER OPENING", "Standard Sale")))</f>
        <v/>
      </c>
    </row>
    <row r="522" ht="18" customHeight="1">
      <c r="A522" s="15" t="inlineStr">
        <is>
          <t>EVT-10430</t>
        </is>
      </c>
      <c r="B522" s="15" t="inlineStr">
        <is>
          <t>TX-80430</t>
        </is>
      </c>
      <c r="C522" s="27" t="n">
        <v>46310.64590277777</v>
      </c>
      <c r="D522" s="15" t="inlineStr">
        <is>
          <t>BR-01</t>
        </is>
      </c>
      <c r="E522" s="15" t="inlineStr">
        <is>
          <t>T-01</t>
        </is>
      </c>
      <c r="F522" s="15" t="inlineStr">
        <is>
          <t>C-103</t>
        </is>
      </c>
      <c r="G522" s="15" t="inlineStr">
        <is>
          <t>NONE</t>
        </is>
      </c>
      <c r="H522" s="14" t="inlineStr">
        <is>
          <t>Sale Tender</t>
        </is>
      </c>
      <c r="I522" s="15" t="inlineStr">
        <is>
          <t>Cash</t>
        </is>
      </c>
      <c r="J522" s="17" t="n">
        <v>1</v>
      </c>
      <c r="K522" s="28" t="n">
        <v>12.6</v>
      </c>
      <c r="L522" s="28" t="n">
        <v>12.6</v>
      </c>
      <c r="M522" s="27" t="n">
        <v>46310.64505787037</v>
      </c>
      <c r="N522" s="29">
        <f>IFERROR(IF(OR(ISBLANK(M522), M522="", ISBLANK(C522), C522=""), 0, MAX(0, ROUND((C522-M522)*86400, 0))), 0)</f>
        <v/>
      </c>
      <c r="O522" s="14">
        <f>IF(H522="Post-Bill Void", IF(AND(G522="M-904", I522="Cash"), "EXCEPTION: Concurrent Cash Void", IF(AND(I522="Cash", N522&gt;120), "CRITICAL: Delayed Cash Void", IF(N522&gt;120, "EXCEPTION: Delayed Void", "Standard Void"))), IF(H522="Line Item Void", IF(I522="Cash", "EXCEPTION: Cash Line Void", "Standard Line Void"), IF(H522="No-Sale Drawer Opening", "DRAWER OPENING", "Standard Sale")))</f>
        <v/>
      </c>
    </row>
    <row r="523" ht="18" customHeight="1">
      <c r="A523" s="12" t="inlineStr">
        <is>
          <t>EVT-10431</t>
        </is>
      </c>
      <c r="B523" s="12" t="inlineStr">
        <is>
          <t>TX-80431</t>
        </is>
      </c>
      <c r="C523" s="24" t="n">
        <v>46310.6534375</v>
      </c>
      <c r="D523" s="12" t="inlineStr">
        <is>
          <t>BR-01</t>
        </is>
      </c>
      <c r="E523" s="12" t="inlineStr">
        <is>
          <t>T-01</t>
        </is>
      </c>
      <c r="F523" s="12" t="inlineStr">
        <is>
          <t>C-103</t>
        </is>
      </c>
      <c r="G523" s="12" t="inlineStr">
        <is>
          <t>NONE</t>
        </is>
      </c>
      <c r="H523" s="11" t="inlineStr">
        <is>
          <t>Sale Tender</t>
        </is>
      </c>
      <c r="I523" s="12" t="inlineStr">
        <is>
          <t>Card</t>
        </is>
      </c>
      <c r="J523" s="20" t="n">
        <v>4</v>
      </c>
      <c r="K523" s="25" t="n">
        <v>62.27</v>
      </c>
      <c r="L523" s="25" t="n">
        <v>62.27</v>
      </c>
      <c r="M523" s="24" t="n">
        <v>46310.65244212963</v>
      </c>
      <c r="N523" s="26">
        <f>IFERROR(IF(OR(ISBLANK(M523), M523="", ISBLANK(C523), C523=""), 0, MAX(0, ROUND((C523-M523)*86400, 0))), 0)</f>
        <v/>
      </c>
      <c r="O523" s="11">
        <f>IF(H523="Post-Bill Void", IF(AND(G523="M-904", I523="Cash"), "EXCEPTION: Concurrent Cash Void", IF(AND(I523="Cash", N523&gt;120), "CRITICAL: Delayed Cash Void", IF(N523&gt;120, "EXCEPTION: Delayed Void", "Standard Void"))), IF(H523="Line Item Void", IF(I523="Cash", "EXCEPTION: Cash Line Void", "Standard Line Void"), IF(H523="No-Sale Drawer Opening", "DRAWER OPENING", "Standard Sale")))</f>
        <v/>
      </c>
    </row>
    <row r="524" ht="18" customHeight="1">
      <c r="A524" s="15" t="inlineStr">
        <is>
          <t>EVT-10432</t>
        </is>
      </c>
      <c r="B524" s="15" t="inlineStr">
        <is>
          <t>TX-80432</t>
        </is>
      </c>
      <c r="C524" s="27" t="n">
        <v>46310.65983796296</v>
      </c>
      <c r="D524" s="15" t="inlineStr">
        <is>
          <t>BR-04</t>
        </is>
      </c>
      <c r="E524" s="15" t="inlineStr">
        <is>
          <t>T-01</t>
        </is>
      </c>
      <c r="F524" s="15" t="inlineStr">
        <is>
          <t>C-113</t>
        </is>
      </c>
      <c r="G524" s="15" t="inlineStr">
        <is>
          <t>NONE</t>
        </is>
      </c>
      <c r="H524" s="14" t="inlineStr">
        <is>
          <t>Sale Tender</t>
        </is>
      </c>
      <c r="I524" s="15" t="inlineStr">
        <is>
          <t>Cash</t>
        </is>
      </c>
      <c r="J524" s="17" t="n">
        <v>2</v>
      </c>
      <c r="K524" s="28" t="n">
        <v>23.14</v>
      </c>
      <c r="L524" s="28" t="n">
        <v>23.14</v>
      </c>
      <c r="M524" s="27" t="n">
        <v>46310.6590625</v>
      </c>
      <c r="N524" s="29">
        <f>IFERROR(IF(OR(ISBLANK(M524), M524="", ISBLANK(C524), C524=""), 0, MAX(0, ROUND((C524-M524)*86400, 0))), 0)</f>
        <v/>
      </c>
      <c r="O524" s="14">
        <f>IF(H524="Post-Bill Void", IF(AND(G524="M-904", I524="Cash"), "EXCEPTION: Concurrent Cash Void", IF(AND(I524="Cash", N524&gt;120), "CRITICAL: Delayed Cash Void", IF(N524&gt;120, "EXCEPTION: Delayed Void", "Standard Void"))), IF(H524="Line Item Void", IF(I524="Cash", "EXCEPTION: Cash Line Void", "Standard Line Void"), IF(H524="No-Sale Drawer Opening", "DRAWER OPENING", "Standard Sale")))</f>
        <v/>
      </c>
    </row>
    <row r="525" ht="18" customHeight="1">
      <c r="A525" s="12" t="inlineStr">
        <is>
          <t>EVT-10433</t>
        </is>
      </c>
      <c r="B525" s="12" t="inlineStr">
        <is>
          <t>TX-80433</t>
        </is>
      </c>
      <c r="C525" s="24" t="n">
        <v>46310.66707175926</v>
      </c>
      <c r="D525" s="12" t="inlineStr">
        <is>
          <t>BR-03</t>
        </is>
      </c>
      <c r="E525" s="12" t="inlineStr">
        <is>
          <t>T-01</t>
        </is>
      </c>
      <c r="F525" s="12" t="inlineStr">
        <is>
          <t>C-111</t>
        </is>
      </c>
      <c r="G525" s="12" t="inlineStr">
        <is>
          <t>NONE</t>
        </is>
      </c>
      <c r="H525" s="11" t="inlineStr">
        <is>
          <t>Sale Tender</t>
        </is>
      </c>
      <c r="I525" s="12" t="inlineStr">
        <is>
          <t>Cash</t>
        </is>
      </c>
      <c r="J525" s="20" t="n">
        <v>5</v>
      </c>
      <c r="K525" s="25" t="n">
        <v>63.11</v>
      </c>
      <c r="L525" s="25" t="n">
        <v>63.11</v>
      </c>
      <c r="M525" s="24" t="n">
        <v>46310.66664351852</v>
      </c>
      <c r="N525" s="26">
        <f>IFERROR(IF(OR(ISBLANK(M525), M525="", ISBLANK(C525), C525=""), 0, MAX(0, ROUND((C525-M525)*86400, 0))), 0)</f>
        <v/>
      </c>
      <c r="O525" s="11">
        <f>IF(H525="Post-Bill Void", IF(AND(G525="M-904", I525="Cash"), "EXCEPTION: Concurrent Cash Void", IF(AND(I525="Cash", N525&gt;120), "CRITICAL: Delayed Cash Void", IF(N525&gt;120, "EXCEPTION: Delayed Void", "Standard Void"))), IF(H525="Line Item Void", IF(I525="Cash", "EXCEPTION: Cash Line Void", "Standard Line Void"), IF(H525="No-Sale Drawer Opening", "DRAWER OPENING", "Standard Sale")))</f>
        <v/>
      </c>
    </row>
    <row r="526" ht="18" customHeight="1">
      <c r="A526" s="15" t="inlineStr">
        <is>
          <t>EVT-10434</t>
        </is>
      </c>
      <c r="B526" s="15" t="inlineStr">
        <is>
          <t>TX-80434</t>
        </is>
      </c>
      <c r="C526" s="27" t="n">
        <v>46310.67396990741</v>
      </c>
      <c r="D526" s="15" t="inlineStr">
        <is>
          <t>BR-02</t>
        </is>
      </c>
      <c r="E526" s="15" t="inlineStr">
        <is>
          <t>T-01</t>
        </is>
      </c>
      <c r="F526" s="15" t="inlineStr">
        <is>
          <t>C-105</t>
        </is>
      </c>
      <c r="G526" s="15" t="inlineStr">
        <is>
          <t>NONE</t>
        </is>
      </c>
      <c r="H526" s="14" t="inlineStr">
        <is>
          <t>Sale Tender</t>
        </is>
      </c>
      <c r="I526" s="15" t="inlineStr">
        <is>
          <t>Cash</t>
        </is>
      </c>
      <c r="J526" s="17" t="n">
        <v>6</v>
      </c>
      <c r="K526" s="28" t="n">
        <v>79.13</v>
      </c>
      <c r="L526" s="28" t="n">
        <v>79.13</v>
      </c>
      <c r="M526" s="27" t="n">
        <v>46310.67305555556</v>
      </c>
      <c r="N526" s="29">
        <f>IFERROR(IF(OR(ISBLANK(M526), M526="", ISBLANK(C526), C526=""), 0, MAX(0, ROUND((C526-M526)*86400, 0))), 0)</f>
        <v/>
      </c>
      <c r="O526" s="14">
        <f>IF(H526="Post-Bill Void", IF(AND(G526="M-904", I526="Cash"), "EXCEPTION: Concurrent Cash Void", IF(AND(I526="Cash", N526&gt;120), "CRITICAL: Delayed Cash Void", IF(N526&gt;120, "EXCEPTION: Delayed Void", "Standard Void"))), IF(H526="Line Item Void", IF(I526="Cash", "EXCEPTION: Cash Line Void", "Standard Line Void"), IF(H526="No-Sale Drawer Opening", "DRAWER OPENING", "Standard Sale")))</f>
        <v/>
      </c>
    </row>
    <row r="527" ht="18" customHeight="1">
      <c r="A527" s="12" t="inlineStr">
        <is>
          <t>EVT-10435</t>
        </is>
      </c>
      <c r="B527" s="12" t="inlineStr">
        <is>
          <t>TX-80435</t>
        </is>
      </c>
      <c r="C527" s="24" t="n">
        <v>46310.68090277778</v>
      </c>
      <c r="D527" s="12" t="inlineStr">
        <is>
          <t>BR-02</t>
        </is>
      </c>
      <c r="E527" s="12" t="inlineStr">
        <is>
          <t>T-01</t>
        </is>
      </c>
      <c r="F527" s="12" t="inlineStr">
        <is>
          <t>C-105</t>
        </is>
      </c>
      <c r="G527" s="12" t="inlineStr">
        <is>
          <t>NONE</t>
        </is>
      </c>
      <c r="H527" s="11" t="inlineStr">
        <is>
          <t>Sale Tender</t>
        </is>
      </c>
      <c r="I527" s="12" t="inlineStr">
        <is>
          <t>Card</t>
        </is>
      </c>
      <c r="J527" s="20" t="n">
        <v>1</v>
      </c>
      <c r="K527" s="25" t="n">
        <v>12.05</v>
      </c>
      <c r="L527" s="25" t="n">
        <v>12.05</v>
      </c>
      <c r="M527" s="24" t="n">
        <v>46310.68037037037</v>
      </c>
      <c r="N527" s="26">
        <f>IFERROR(IF(OR(ISBLANK(M527), M527="", ISBLANK(C527), C527=""), 0, MAX(0, ROUND((C527-M527)*86400, 0))), 0)</f>
        <v/>
      </c>
      <c r="O527" s="11">
        <f>IF(H527="Post-Bill Void", IF(AND(G527="M-904", I527="Cash"), "EXCEPTION: Concurrent Cash Void", IF(AND(I527="Cash", N527&gt;120), "CRITICAL: Delayed Cash Void", IF(N527&gt;120, "EXCEPTION: Delayed Void", "Standard Void"))), IF(H527="Line Item Void", IF(I527="Cash", "EXCEPTION: Cash Line Void", "Standard Line Void"), IF(H527="No-Sale Drawer Opening", "DRAWER OPENING", "Standard Sale")))</f>
        <v/>
      </c>
    </row>
    <row r="528" ht="18" customHeight="1">
      <c r="A528" s="15" t="inlineStr">
        <is>
          <t>EVT-10436</t>
        </is>
      </c>
      <c r="B528" s="15" t="inlineStr">
        <is>
          <t>TX-80436</t>
        </is>
      </c>
      <c r="C528" s="27" t="n">
        <v>46310.68758101852</v>
      </c>
      <c r="D528" s="15" t="inlineStr">
        <is>
          <t>BR-03</t>
        </is>
      </c>
      <c r="E528" s="15" t="inlineStr">
        <is>
          <t>T-01</t>
        </is>
      </c>
      <c r="F528" s="15" t="inlineStr">
        <is>
          <t>C-112</t>
        </is>
      </c>
      <c r="G528" s="15" t="inlineStr">
        <is>
          <t>NONE</t>
        </is>
      </c>
      <c r="H528" s="14" t="inlineStr">
        <is>
          <t>Sale Tender</t>
        </is>
      </c>
      <c r="I528" s="15" t="inlineStr">
        <is>
          <t>Cash</t>
        </is>
      </c>
      <c r="J528" s="17" t="n">
        <v>5</v>
      </c>
      <c r="K528" s="28" t="n">
        <v>57.03</v>
      </c>
      <c r="L528" s="28" t="n">
        <v>57.03</v>
      </c>
      <c r="M528" s="27" t="n">
        <v>46310.68690972222</v>
      </c>
      <c r="N528" s="29">
        <f>IFERROR(IF(OR(ISBLANK(M528), M528="", ISBLANK(C528), C528=""), 0, MAX(0, ROUND((C528-M528)*86400, 0))), 0)</f>
        <v/>
      </c>
      <c r="O528" s="14">
        <f>IF(H528="Post-Bill Void", IF(AND(G528="M-904", I528="Cash"), "EXCEPTION: Concurrent Cash Void", IF(AND(I528="Cash", N528&gt;120), "CRITICAL: Delayed Cash Void", IF(N528&gt;120, "EXCEPTION: Delayed Void", "Standard Void"))), IF(H528="Line Item Void", IF(I528="Cash", "EXCEPTION: Cash Line Void", "Standard Line Void"), IF(H528="No-Sale Drawer Opening", "DRAWER OPENING", "Standard Sale")))</f>
        <v/>
      </c>
    </row>
    <row r="529" ht="18" customHeight="1">
      <c r="A529" s="12" t="inlineStr">
        <is>
          <t>EVT-10437</t>
        </is>
      </c>
      <c r="B529" s="12" t="inlineStr">
        <is>
          <t>TX-80437</t>
        </is>
      </c>
      <c r="C529" s="24" t="n">
        <v>46310.69471064815</v>
      </c>
      <c r="D529" s="12" t="inlineStr">
        <is>
          <t>BR-04</t>
        </is>
      </c>
      <c r="E529" s="12" t="inlineStr">
        <is>
          <t>T-01</t>
        </is>
      </c>
      <c r="F529" s="12" t="inlineStr">
        <is>
          <t>C-114</t>
        </is>
      </c>
      <c r="G529" s="12" t="inlineStr">
        <is>
          <t>NONE</t>
        </is>
      </c>
      <c r="H529" s="11" t="inlineStr">
        <is>
          <t>Sale Tender</t>
        </is>
      </c>
      <c r="I529" s="12" t="inlineStr">
        <is>
          <t>Cash</t>
        </is>
      </c>
      <c r="J529" s="20" t="n">
        <v>4</v>
      </c>
      <c r="K529" s="25" t="n">
        <v>41.9</v>
      </c>
      <c r="L529" s="25" t="n">
        <v>41.9</v>
      </c>
      <c r="M529" s="24" t="n">
        <v>46310.69436342592</v>
      </c>
      <c r="N529" s="26">
        <f>IFERROR(IF(OR(ISBLANK(M529), M529="", ISBLANK(C529), C529=""), 0, MAX(0, ROUND((C529-M529)*86400, 0))), 0)</f>
        <v/>
      </c>
      <c r="O529" s="11">
        <f>IF(H529="Post-Bill Void", IF(AND(G529="M-904", I529="Cash"), "EXCEPTION: Concurrent Cash Void", IF(AND(I529="Cash", N529&gt;120), "CRITICAL: Delayed Cash Void", IF(N529&gt;120, "EXCEPTION: Delayed Void", "Standard Void"))), IF(H529="Line Item Void", IF(I529="Cash", "EXCEPTION: Cash Line Void", "Standard Line Void"), IF(H529="No-Sale Drawer Opening", "DRAWER OPENING", "Standard Sale")))</f>
        <v/>
      </c>
    </row>
    <row r="530" ht="18" customHeight="1">
      <c r="A530" s="15" t="inlineStr">
        <is>
          <t>EVT-10438</t>
        </is>
      </c>
      <c r="B530" s="15" t="inlineStr">
        <is>
          <t>TX-80438</t>
        </is>
      </c>
      <c r="C530" s="27" t="n">
        <v>46310.70200231481</v>
      </c>
      <c r="D530" s="15" t="inlineStr">
        <is>
          <t>BR-03</t>
        </is>
      </c>
      <c r="E530" s="15" t="inlineStr">
        <is>
          <t>T-01</t>
        </is>
      </c>
      <c r="F530" s="15" t="inlineStr">
        <is>
          <t>C-109</t>
        </is>
      </c>
      <c r="G530" s="15" t="inlineStr">
        <is>
          <t>NONE</t>
        </is>
      </c>
      <c r="H530" s="14" t="inlineStr">
        <is>
          <t>Sale Tender</t>
        </is>
      </c>
      <c r="I530" s="15" t="inlineStr">
        <is>
          <t>Cash</t>
        </is>
      </c>
      <c r="J530" s="17" t="n">
        <v>3</v>
      </c>
      <c r="K530" s="28" t="n">
        <v>43.68</v>
      </c>
      <c r="L530" s="28" t="n">
        <v>43.68</v>
      </c>
      <c r="M530" s="27" t="n">
        <v>46310.70157407408</v>
      </c>
      <c r="N530" s="29">
        <f>IFERROR(IF(OR(ISBLANK(M530), M530="", ISBLANK(C530), C530=""), 0, MAX(0, ROUND((C530-M530)*86400, 0))), 0)</f>
        <v/>
      </c>
      <c r="O530" s="14">
        <f>IF(H530="Post-Bill Void", IF(AND(G530="M-904", I530="Cash"), "EXCEPTION: Concurrent Cash Void", IF(AND(I530="Cash", N530&gt;120), "CRITICAL: Delayed Cash Void", IF(N530&gt;120, "EXCEPTION: Delayed Void", "Standard Void"))), IF(H530="Line Item Void", IF(I530="Cash", "EXCEPTION: Cash Line Void", "Standard Line Void"), IF(H530="No-Sale Drawer Opening", "DRAWER OPENING", "Standard Sale")))</f>
        <v/>
      </c>
    </row>
    <row r="531" ht="18" customHeight="1">
      <c r="A531" s="12" t="inlineStr">
        <is>
          <t>EVT-10439</t>
        </is>
      </c>
      <c r="B531" s="12" t="inlineStr">
        <is>
          <t>TX-80439</t>
        </is>
      </c>
      <c r="C531" s="24" t="n">
        <v>46310.70863425926</v>
      </c>
      <c r="D531" s="12" t="inlineStr">
        <is>
          <t>BR-02</t>
        </is>
      </c>
      <c r="E531" s="12" t="inlineStr">
        <is>
          <t>T-02</t>
        </is>
      </c>
      <c r="F531" s="12" t="inlineStr">
        <is>
          <t>C-105</t>
        </is>
      </c>
      <c r="G531" s="12" t="inlineStr">
        <is>
          <t>NONE</t>
        </is>
      </c>
      <c r="H531" s="11" t="inlineStr">
        <is>
          <t>Sale Tender</t>
        </is>
      </c>
      <c r="I531" s="12" t="inlineStr">
        <is>
          <t>Card</t>
        </is>
      </c>
      <c r="J531" s="20" t="n">
        <v>5</v>
      </c>
      <c r="K531" s="25" t="n">
        <v>68.27</v>
      </c>
      <c r="L531" s="25" t="n">
        <v>68.27</v>
      </c>
      <c r="M531" s="24" t="n">
        <v>46310.70758101852</v>
      </c>
      <c r="N531" s="26">
        <f>IFERROR(IF(OR(ISBLANK(M531), M531="", ISBLANK(C531), C531=""), 0, MAX(0, ROUND((C531-M531)*86400, 0))), 0)</f>
        <v/>
      </c>
      <c r="O531" s="11">
        <f>IF(H531="Post-Bill Void", IF(AND(G531="M-904", I531="Cash"), "EXCEPTION: Concurrent Cash Void", IF(AND(I531="Cash", N531&gt;120), "CRITICAL: Delayed Cash Void", IF(N531&gt;120, "EXCEPTION: Delayed Void", "Standard Void"))), IF(H531="Line Item Void", IF(I531="Cash", "EXCEPTION: Cash Line Void", "Standard Line Void"), IF(H531="No-Sale Drawer Opening", "DRAWER OPENING", "Standard Sale")))</f>
        <v/>
      </c>
    </row>
    <row r="532" ht="18" customHeight="1">
      <c r="A532" s="15" t="inlineStr">
        <is>
          <t>EVT-10440</t>
        </is>
      </c>
      <c r="B532" s="15" t="inlineStr">
        <is>
          <t>TX-80440</t>
        </is>
      </c>
      <c r="C532" s="27" t="n">
        <v>46310.71596064815</v>
      </c>
      <c r="D532" s="15" t="inlineStr">
        <is>
          <t>BR-04</t>
        </is>
      </c>
      <c r="E532" s="15" t="inlineStr">
        <is>
          <t>T-02</t>
        </is>
      </c>
      <c r="F532" s="15" t="inlineStr">
        <is>
          <t>C-115</t>
        </is>
      </c>
      <c r="G532" s="15" t="inlineStr">
        <is>
          <t>NONE</t>
        </is>
      </c>
      <c r="H532" s="14" t="inlineStr">
        <is>
          <t>Sale Tender</t>
        </is>
      </c>
      <c r="I532" s="15" t="inlineStr">
        <is>
          <t>Cash</t>
        </is>
      </c>
      <c r="J532" s="17" t="n">
        <v>4</v>
      </c>
      <c r="K532" s="28" t="n">
        <v>61.08</v>
      </c>
      <c r="L532" s="28" t="n">
        <v>61.08</v>
      </c>
      <c r="M532" s="27" t="n">
        <v>46310.71497685185</v>
      </c>
      <c r="N532" s="29">
        <f>IFERROR(IF(OR(ISBLANK(M532), M532="", ISBLANK(C532), C532=""), 0, MAX(0, ROUND((C532-M532)*86400, 0))), 0)</f>
        <v/>
      </c>
      <c r="O532" s="14">
        <f>IF(H532="Post-Bill Void", IF(AND(G532="M-904", I532="Cash"), "EXCEPTION: Concurrent Cash Void", IF(AND(I532="Cash", N532&gt;120), "CRITICAL: Delayed Cash Void", IF(N532&gt;120, "EXCEPTION: Delayed Void", "Standard Void"))), IF(H532="Line Item Void", IF(I532="Cash", "EXCEPTION: Cash Line Void", "Standard Line Void"), IF(H532="No-Sale Drawer Opening", "DRAWER OPENING", "Standard Sale")))</f>
        <v/>
      </c>
    </row>
    <row r="533" ht="18" customHeight="1">
      <c r="A533" s="12" t="inlineStr">
        <is>
          <t>EVT-10441</t>
        </is>
      </c>
      <c r="B533" s="12" t="inlineStr">
        <is>
          <t>TX-80441</t>
        </is>
      </c>
      <c r="C533" s="24" t="n">
        <v>46310.72274305556</v>
      </c>
      <c r="D533" s="12" t="inlineStr">
        <is>
          <t>BR-01</t>
        </is>
      </c>
      <c r="E533" s="12" t="inlineStr">
        <is>
          <t>T-01</t>
        </is>
      </c>
      <c r="F533" s="12" t="inlineStr">
        <is>
          <t>C-102</t>
        </is>
      </c>
      <c r="G533" s="12" t="inlineStr">
        <is>
          <t>NONE</t>
        </is>
      </c>
      <c r="H533" s="11" t="inlineStr">
        <is>
          <t>Sale Tender</t>
        </is>
      </c>
      <c r="I533" s="12" t="inlineStr">
        <is>
          <t>Cash</t>
        </is>
      </c>
      <c r="J533" s="20" t="n">
        <v>2</v>
      </c>
      <c r="K533" s="25" t="n">
        <v>31.58</v>
      </c>
      <c r="L533" s="25" t="n">
        <v>31.58</v>
      </c>
      <c r="M533" s="24" t="n">
        <v>46310.72179398148</v>
      </c>
      <c r="N533" s="26">
        <f>IFERROR(IF(OR(ISBLANK(M533), M533="", ISBLANK(C533), C533=""), 0, MAX(0, ROUND((C533-M533)*86400, 0))), 0)</f>
        <v/>
      </c>
      <c r="O533" s="11">
        <f>IF(H533="Post-Bill Void", IF(AND(G533="M-904", I533="Cash"), "EXCEPTION: Concurrent Cash Void", IF(AND(I533="Cash", N533&gt;120), "CRITICAL: Delayed Cash Void", IF(N533&gt;120, "EXCEPTION: Delayed Void", "Standard Void"))), IF(H533="Line Item Void", IF(I533="Cash", "EXCEPTION: Cash Line Void", "Standard Line Void"), IF(H533="No-Sale Drawer Opening", "DRAWER OPENING", "Standard Sale")))</f>
        <v/>
      </c>
    </row>
    <row r="534" ht="18" customHeight="1">
      <c r="A534" s="15" t="inlineStr">
        <is>
          <t>EVT-10442</t>
        </is>
      </c>
      <c r="B534" s="15" t="inlineStr">
        <is>
          <t>TX-80442</t>
        </is>
      </c>
      <c r="C534" s="27" t="n">
        <v>46310.72975694444</v>
      </c>
      <c r="D534" s="15" t="inlineStr">
        <is>
          <t>BR-02</t>
        </is>
      </c>
      <c r="E534" s="15" t="inlineStr">
        <is>
          <t>T-01</t>
        </is>
      </c>
      <c r="F534" s="15" t="inlineStr">
        <is>
          <t>C-106</t>
        </is>
      </c>
      <c r="G534" s="15" t="inlineStr">
        <is>
          <t>NONE</t>
        </is>
      </c>
      <c r="H534" s="14" t="inlineStr">
        <is>
          <t>Sale Tender</t>
        </is>
      </c>
      <c r="I534" s="15" t="inlineStr">
        <is>
          <t>Delivery Aggregator</t>
        </is>
      </c>
      <c r="J534" s="17" t="n">
        <v>4</v>
      </c>
      <c r="K534" s="28" t="n">
        <v>40.06</v>
      </c>
      <c r="L534" s="28" t="n">
        <v>40.06</v>
      </c>
      <c r="M534" s="27" t="n">
        <v>46310.72935185185</v>
      </c>
      <c r="N534" s="29">
        <f>IFERROR(IF(OR(ISBLANK(M534), M534="", ISBLANK(C534), C534=""), 0, MAX(0, ROUND((C534-M534)*86400, 0))), 0)</f>
        <v/>
      </c>
      <c r="O534" s="14">
        <f>IF(H534="Post-Bill Void", IF(AND(G534="M-904", I534="Cash"), "EXCEPTION: Concurrent Cash Void", IF(AND(I534="Cash", N534&gt;120), "CRITICAL: Delayed Cash Void", IF(N534&gt;120, "EXCEPTION: Delayed Void", "Standard Void"))), IF(H534="Line Item Void", IF(I534="Cash", "EXCEPTION: Cash Line Void", "Standard Line Void"), IF(H534="No-Sale Drawer Opening", "DRAWER OPENING", "Standard Sale")))</f>
        <v/>
      </c>
    </row>
    <row r="535" ht="18" customHeight="1">
      <c r="A535" s="12" t="inlineStr">
        <is>
          <t>EVT-10443</t>
        </is>
      </c>
      <c r="B535" s="12" t="inlineStr">
        <is>
          <t>TX-80443</t>
        </is>
      </c>
      <c r="C535" s="24" t="n">
        <v>46310.73671296296</v>
      </c>
      <c r="D535" s="12" t="inlineStr">
        <is>
          <t>BR-02</t>
        </is>
      </c>
      <c r="E535" s="12" t="inlineStr">
        <is>
          <t>T-01</t>
        </is>
      </c>
      <c r="F535" s="12" t="inlineStr">
        <is>
          <t>C-107</t>
        </is>
      </c>
      <c r="G535" s="12" t="inlineStr">
        <is>
          <t>NONE</t>
        </is>
      </c>
      <c r="H535" s="11" t="inlineStr">
        <is>
          <t>Sale Tender</t>
        </is>
      </c>
      <c r="I535" s="12" t="inlineStr">
        <is>
          <t>Cash</t>
        </is>
      </c>
      <c r="J535" s="20" t="n">
        <v>5</v>
      </c>
      <c r="K535" s="25" t="n">
        <v>57.4</v>
      </c>
      <c r="L535" s="25" t="n">
        <v>57.4</v>
      </c>
      <c r="M535" s="24" t="n">
        <v>46310.73633101852</v>
      </c>
      <c r="N535" s="26">
        <f>IFERROR(IF(OR(ISBLANK(M535), M535="", ISBLANK(C535), C535=""), 0, MAX(0, ROUND((C535-M535)*86400, 0))), 0)</f>
        <v/>
      </c>
      <c r="O535" s="11">
        <f>IF(H535="Post-Bill Void", IF(AND(G535="M-904", I535="Cash"), "EXCEPTION: Concurrent Cash Void", IF(AND(I535="Cash", N535&gt;120), "CRITICAL: Delayed Cash Void", IF(N535&gt;120, "EXCEPTION: Delayed Void", "Standard Void"))), IF(H535="Line Item Void", IF(I535="Cash", "EXCEPTION: Cash Line Void", "Standard Line Void"), IF(H535="No-Sale Drawer Opening", "DRAWER OPENING", "Standard Sale")))</f>
        <v/>
      </c>
    </row>
    <row r="536" ht="18" customHeight="1">
      <c r="A536" s="15" t="inlineStr">
        <is>
          <t>EVT-10444</t>
        </is>
      </c>
      <c r="B536" s="15" t="inlineStr">
        <is>
          <t>TX-80444</t>
        </is>
      </c>
      <c r="C536" s="27" t="n">
        <v>46310.74328703704</v>
      </c>
      <c r="D536" s="15" t="inlineStr">
        <is>
          <t>BR-03</t>
        </is>
      </c>
      <c r="E536" s="15" t="inlineStr">
        <is>
          <t>T-02</t>
        </is>
      </c>
      <c r="F536" s="15" t="inlineStr">
        <is>
          <t>C-112</t>
        </is>
      </c>
      <c r="G536" s="15" t="inlineStr">
        <is>
          <t>NONE</t>
        </is>
      </c>
      <c r="H536" s="14" t="inlineStr">
        <is>
          <t>Sale Tender</t>
        </is>
      </c>
      <c r="I536" s="15" t="inlineStr">
        <is>
          <t>Card</t>
        </is>
      </c>
      <c r="J536" s="17" t="n">
        <v>5</v>
      </c>
      <c r="K536" s="28" t="n">
        <v>64.53</v>
      </c>
      <c r="L536" s="28" t="n">
        <v>64.53</v>
      </c>
      <c r="M536" s="27" t="n">
        <v>46310.74298611111</v>
      </c>
      <c r="N536" s="29">
        <f>IFERROR(IF(OR(ISBLANK(M536), M536="", ISBLANK(C536), C536=""), 0, MAX(0, ROUND((C536-M536)*86400, 0))), 0)</f>
        <v/>
      </c>
      <c r="O536" s="14">
        <f>IF(H536="Post-Bill Void", IF(AND(G536="M-904", I536="Cash"), "EXCEPTION: Concurrent Cash Void", IF(AND(I536="Cash", N536&gt;120), "CRITICAL: Delayed Cash Void", IF(N536&gt;120, "EXCEPTION: Delayed Void", "Standard Void"))), IF(H536="Line Item Void", IF(I536="Cash", "EXCEPTION: Cash Line Void", "Standard Line Void"), IF(H536="No-Sale Drawer Opening", "DRAWER OPENING", "Standard Sale")))</f>
        <v/>
      </c>
    </row>
    <row r="537" ht="18" customHeight="1">
      <c r="A537" s="12" t="inlineStr">
        <is>
          <t>EVT-10445</t>
        </is>
      </c>
      <c r="B537" s="12" t="inlineStr">
        <is>
          <t>TX-80445</t>
        </is>
      </c>
      <c r="C537" s="24" t="n">
        <v>46310.7505787037</v>
      </c>
      <c r="D537" s="12" t="inlineStr">
        <is>
          <t>BR-04</t>
        </is>
      </c>
      <c r="E537" s="12" t="inlineStr">
        <is>
          <t>T-01</t>
        </is>
      </c>
      <c r="F537" s="12" t="inlineStr">
        <is>
          <t>C-113</t>
        </is>
      </c>
      <c r="G537" s="12" t="inlineStr">
        <is>
          <t>NONE</t>
        </is>
      </c>
      <c r="H537" s="11" t="inlineStr">
        <is>
          <t>Sale Tender</t>
        </is>
      </c>
      <c r="I537" s="12" t="inlineStr">
        <is>
          <t>Card</t>
        </is>
      </c>
      <c r="J537" s="20" t="n">
        <v>5</v>
      </c>
      <c r="K537" s="25" t="n">
        <v>70.94</v>
      </c>
      <c r="L537" s="25" t="n">
        <v>70.94</v>
      </c>
      <c r="M537" s="24" t="n">
        <v>46310.75008101852</v>
      </c>
      <c r="N537" s="26">
        <f>IFERROR(IF(OR(ISBLANK(M537), M537="", ISBLANK(C537), C537=""), 0, MAX(0, ROUND((C537-M537)*86400, 0))), 0)</f>
        <v/>
      </c>
      <c r="O537" s="11">
        <f>IF(H537="Post-Bill Void", IF(AND(G537="M-904", I537="Cash"), "EXCEPTION: Concurrent Cash Void", IF(AND(I537="Cash", N537&gt;120), "CRITICAL: Delayed Cash Void", IF(N537&gt;120, "EXCEPTION: Delayed Void", "Standard Void"))), IF(H537="Line Item Void", IF(I537="Cash", "EXCEPTION: Cash Line Void", "Standard Line Void"), IF(H537="No-Sale Drawer Opening", "DRAWER OPENING", "Standard Sale")))</f>
        <v/>
      </c>
    </row>
    <row r="538" ht="18" customHeight="1">
      <c r="A538" s="15" t="inlineStr">
        <is>
          <t>EVT-10446</t>
        </is>
      </c>
      <c r="B538" s="15" t="inlineStr">
        <is>
          <t>TX-80446</t>
        </is>
      </c>
      <c r="C538" s="27" t="n">
        <v>46310.75701388889</v>
      </c>
      <c r="D538" s="15" t="inlineStr">
        <is>
          <t>BR-01</t>
        </is>
      </c>
      <c r="E538" s="15" t="inlineStr">
        <is>
          <t>T-02</t>
        </is>
      </c>
      <c r="F538" s="15" t="inlineStr">
        <is>
          <t>C-101</t>
        </is>
      </c>
      <c r="G538" s="15" t="inlineStr">
        <is>
          <t>NONE</t>
        </is>
      </c>
      <c r="H538" s="14" t="inlineStr">
        <is>
          <t>Sale Tender</t>
        </is>
      </c>
      <c r="I538" s="15" t="inlineStr">
        <is>
          <t>Delivery Aggregator</t>
        </is>
      </c>
      <c r="J538" s="17" t="n">
        <v>4</v>
      </c>
      <c r="K538" s="28" t="n">
        <v>41.92</v>
      </c>
      <c r="L538" s="28" t="n">
        <v>41.92</v>
      </c>
      <c r="M538" s="27" t="n">
        <v>46310.7559375</v>
      </c>
      <c r="N538" s="29">
        <f>IFERROR(IF(OR(ISBLANK(M538), M538="", ISBLANK(C538), C538=""), 0, MAX(0, ROUND((C538-M538)*86400, 0))), 0)</f>
        <v/>
      </c>
      <c r="O538" s="14">
        <f>IF(H538="Post-Bill Void", IF(AND(G538="M-904", I538="Cash"), "EXCEPTION: Concurrent Cash Void", IF(AND(I538="Cash", N538&gt;120), "CRITICAL: Delayed Cash Void", IF(N538&gt;120, "EXCEPTION: Delayed Void", "Standard Void"))), IF(H538="Line Item Void", IF(I538="Cash", "EXCEPTION: Cash Line Void", "Standard Line Void"), IF(H538="No-Sale Drawer Opening", "DRAWER OPENING", "Standard Sale")))</f>
        <v/>
      </c>
    </row>
    <row r="539" ht="18" customHeight="1">
      <c r="A539" s="12" t="inlineStr">
        <is>
          <t>EVT-10447</t>
        </is>
      </c>
      <c r="B539" s="12" t="inlineStr">
        <is>
          <t>TX-80447</t>
        </is>
      </c>
      <c r="C539" s="24" t="n">
        <v>46310.76436342593</v>
      </c>
      <c r="D539" s="12" t="inlineStr">
        <is>
          <t>BR-04</t>
        </is>
      </c>
      <c r="E539" s="12" t="inlineStr">
        <is>
          <t>T-02</t>
        </is>
      </c>
      <c r="F539" s="12" t="inlineStr">
        <is>
          <t>C-115</t>
        </is>
      </c>
      <c r="G539" s="12" t="inlineStr">
        <is>
          <t>NONE</t>
        </is>
      </c>
      <c r="H539" s="11" t="inlineStr">
        <is>
          <t>Sale Tender</t>
        </is>
      </c>
      <c r="I539" s="12" t="inlineStr">
        <is>
          <t>Cash</t>
        </is>
      </c>
      <c r="J539" s="20" t="n">
        <v>4</v>
      </c>
      <c r="K539" s="25" t="n">
        <v>38.32</v>
      </c>
      <c r="L539" s="25" t="n">
        <v>38.32</v>
      </c>
      <c r="M539" s="24" t="n">
        <v>46310.76402777778</v>
      </c>
      <c r="N539" s="26">
        <f>IFERROR(IF(OR(ISBLANK(M539), M539="", ISBLANK(C539), C539=""), 0, MAX(0, ROUND((C539-M539)*86400, 0))), 0)</f>
        <v/>
      </c>
      <c r="O539" s="11">
        <f>IF(H539="Post-Bill Void", IF(AND(G539="M-904", I539="Cash"), "EXCEPTION: Concurrent Cash Void", IF(AND(I539="Cash", N539&gt;120), "CRITICAL: Delayed Cash Void", IF(N539&gt;120, "EXCEPTION: Delayed Void", "Standard Void"))), IF(H539="Line Item Void", IF(I539="Cash", "EXCEPTION: Cash Line Void", "Standard Line Void"), IF(H539="No-Sale Drawer Opening", "DRAWER OPENING", "Standard Sale")))</f>
        <v/>
      </c>
    </row>
    <row r="540" ht="18" customHeight="1">
      <c r="A540" s="15" t="inlineStr">
        <is>
          <t>EVT-10448</t>
        </is>
      </c>
      <c r="B540" s="15" t="inlineStr">
        <is>
          <t>TX-80448</t>
        </is>
      </c>
      <c r="C540" s="27" t="n">
        <v>46310.77127314815</v>
      </c>
      <c r="D540" s="15" t="inlineStr">
        <is>
          <t>BR-04</t>
        </is>
      </c>
      <c r="E540" s="15" t="inlineStr">
        <is>
          <t>T-01</t>
        </is>
      </c>
      <c r="F540" s="15" t="inlineStr">
        <is>
          <t>C-113</t>
        </is>
      </c>
      <c r="G540" s="15" t="inlineStr">
        <is>
          <t>NONE</t>
        </is>
      </c>
      <c r="H540" s="14" t="inlineStr">
        <is>
          <t>Sale Tender</t>
        </is>
      </c>
      <c r="I540" s="15" t="inlineStr">
        <is>
          <t>Card</t>
        </is>
      </c>
      <c r="J540" s="17" t="n">
        <v>1</v>
      </c>
      <c r="K540" s="28" t="n">
        <v>14.09</v>
      </c>
      <c r="L540" s="28" t="n">
        <v>14.09</v>
      </c>
      <c r="M540" s="27" t="n">
        <v>46310.77049768518</v>
      </c>
      <c r="N540" s="29">
        <f>IFERROR(IF(OR(ISBLANK(M540), M540="", ISBLANK(C540), C540=""), 0, MAX(0, ROUND((C540-M540)*86400, 0))), 0)</f>
        <v/>
      </c>
      <c r="O540" s="14">
        <f>IF(H540="Post-Bill Void", IF(AND(G540="M-904", I540="Cash"), "EXCEPTION: Concurrent Cash Void", IF(AND(I540="Cash", N540&gt;120), "CRITICAL: Delayed Cash Void", IF(N540&gt;120, "EXCEPTION: Delayed Void", "Standard Void"))), IF(H540="Line Item Void", IF(I540="Cash", "EXCEPTION: Cash Line Void", "Standard Line Void"), IF(H540="No-Sale Drawer Opening", "DRAWER OPENING", "Standard Sale")))</f>
        <v/>
      </c>
    </row>
    <row r="541" ht="18" customHeight="1">
      <c r="A541" s="12" t="inlineStr">
        <is>
          <t>EVT-10449</t>
        </is>
      </c>
      <c r="B541" s="12" t="inlineStr">
        <is>
          <t>TX-80449</t>
        </is>
      </c>
      <c r="C541" s="24" t="n">
        <v>46310.77844907407</v>
      </c>
      <c r="D541" s="12" t="inlineStr">
        <is>
          <t>BR-03</t>
        </is>
      </c>
      <c r="E541" s="12" t="inlineStr">
        <is>
          <t>T-01</t>
        </is>
      </c>
      <c r="F541" s="12" t="inlineStr">
        <is>
          <t>C-111</t>
        </is>
      </c>
      <c r="G541" s="12" t="inlineStr">
        <is>
          <t>NONE</t>
        </is>
      </c>
      <c r="H541" s="11" t="inlineStr">
        <is>
          <t>Sale Tender</t>
        </is>
      </c>
      <c r="I541" s="12" t="inlineStr">
        <is>
          <t>Cash</t>
        </is>
      </c>
      <c r="J541" s="20" t="n">
        <v>4</v>
      </c>
      <c r="K541" s="25" t="n">
        <v>59.75</v>
      </c>
      <c r="L541" s="25" t="n">
        <v>59.75</v>
      </c>
      <c r="M541" s="24" t="n">
        <v>46310.7777199074</v>
      </c>
      <c r="N541" s="26">
        <f>IFERROR(IF(OR(ISBLANK(M541), M541="", ISBLANK(C541), C541=""), 0, MAX(0, ROUND((C541-M541)*86400, 0))), 0)</f>
        <v/>
      </c>
      <c r="O541" s="11">
        <f>IF(H541="Post-Bill Void", IF(AND(G541="M-904", I541="Cash"), "EXCEPTION: Concurrent Cash Void", IF(AND(I541="Cash", N541&gt;120), "CRITICAL: Delayed Cash Void", IF(N541&gt;120, "EXCEPTION: Delayed Void", "Standard Void"))), IF(H541="Line Item Void", IF(I541="Cash", "EXCEPTION: Cash Line Void", "Standard Line Void"), IF(H541="No-Sale Drawer Opening", "DRAWER OPENING", "Standard Sale")))</f>
        <v/>
      </c>
    </row>
    <row r="542" ht="18" customHeight="1">
      <c r="A542" s="15" t="inlineStr">
        <is>
          <t>EVT-10450</t>
        </is>
      </c>
      <c r="B542" s="15" t="inlineStr">
        <is>
          <t>TX-80450</t>
        </is>
      </c>
      <c r="C542" s="27" t="n">
        <v>46310.7852199074</v>
      </c>
      <c r="D542" s="15" t="inlineStr">
        <is>
          <t>BR-01</t>
        </is>
      </c>
      <c r="E542" s="15" t="inlineStr">
        <is>
          <t>T-01</t>
        </is>
      </c>
      <c r="F542" s="15" t="inlineStr">
        <is>
          <t>C-102</t>
        </is>
      </c>
      <c r="G542" s="15" t="inlineStr">
        <is>
          <t>NONE</t>
        </is>
      </c>
      <c r="H542" s="14" t="inlineStr">
        <is>
          <t>Sale Tender</t>
        </is>
      </c>
      <c r="I542" s="15" t="inlineStr">
        <is>
          <t>Card</t>
        </is>
      </c>
      <c r="J542" s="17" t="n">
        <v>3</v>
      </c>
      <c r="K542" s="28" t="n">
        <v>31.56</v>
      </c>
      <c r="L542" s="28" t="n">
        <v>31.56</v>
      </c>
      <c r="M542" s="27" t="n">
        <v>46310.78428240741</v>
      </c>
      <c r="N542" s="29">
        <f>IFERROR(IF(OR(ISBLANK(M542), M542="", ISBLANK(C542), C542=""), 0, MAX(0, ROUND((C542-M542)*86400, 0))), 0)</f>
        <v/>
      </c>
      <c r="O542" s="14">
        <f>IF(H542="Post-Bill Void", IF(AND(G542="M-904", I542="Cash"), "EXCEPTION: Concurrent Cash Void", IF(AND(I542="Cash", N542&gt;120), "CRITICAL: Delayed Cash Void", IF(N542&gt;120, "EXCEPTION: Delayed Void", "Standard Void"))), IF(H542="Line Item Void", IF(I542="Cash", "EXCEPTION: Cash Line Void", "Standard Line Void"), IF(H542="No-Sale Drawer Opening", "DRAWER OPENING", "Standard Sale")))</f>
        <v/>
      </c>
    </row>
    <row r="543" ht="18" customHeight="1">
      <c r="A543" s="12" t="inlineStr">
        <is>
          <t>EVT-10451</t>
        </is>
      </c>
      <c r="B543" s="12" t="inlineStr">
        <is>
          <t>TX-80451</t>
        </is>
      </c>
      <c r="C543" s="24" t="n">
        <v>46310.7919675926</v>
      </c>
      <c r="D543" s="12" t="inlineStr">
        <is>
          <t>BR-01</t>
        </is>
      </c>
      <c r="E543" s="12" t="inlineStr">
        <is>
          <t>T-01</t>
        </is>
      </c>
      <c r="F543" s="12" t="inlineStr">
        <is>
          <t>C-102</t>
        </is>
      </c>
      <c r="G543" s="12" t="inlineStr">
        <is>
          <t>NONE</t>
        </is>
      </c>
      <c r="H543" s="11" t="inlineStr">
        <is>
          <t>Sale Tender</t>
        </is>
      </c>
      <c r="I543" s="12" t="inlineStr">
        <is>
          <t>Card</t>
        </is>
      </c>
      <c r="J543" s="20" t="n">
        <v>5</v>
      </c>
      <c r="K543" s="25" t="n">
        <v>75.02</v>
      </c>
      <c r="L543" s="25" t="n">
        <v>75.02</v>
      </c>
      <c r="M543" s="24" t="n">
        <v>46310.79107638889</v>
      </c>
      <c r="N543" s="26">
        <f>IFERROR(IF(OR(ISBLANK(M543), M543="", ISBLANK(C543), C543=""), 0, MAX(0, ROUND((C543-M543)*86400, 0))), 0)</f>
        <v/>
      </c>
      <c r="O543" s="11">
        <f>IF(H543="Post-Bill Void", IF(AND(G543="M-904", I543="Cash"), "EXCEPTION: Concurrent Cash Void", IF(AND(I543="Cash", N543&gt;120), "CRITICAL: Delayed Cash Void", IF(N543&gt;120, "EXCEPTION: Delayed Void", "Standard Void"))), IF(H543="Line Item Void", IF(I543="Cash", "EXCEPTION: Cash Line Void", "Standard Line Void"), IF(H543="No-Sale Drawer Opening", "DRAWER OPENING", "Standard Sale")))</f>
        <v/>
      </c>
    </row>
    <row r="544" ht="18" customHeight="1">
      <c r="A544" s="15" t="inlineStr">
        <is>
          <t>EVT-10452</t>
        </is>
      </c>
      <c r="B544" s="15" t="inlineStr">
        <is>
          <t>TX-80452</t>
        </is>
      </c>
      <c r="C544" s="27" t="n">
        <v>46310.79921296296</v>
      </c>
      <c r="D544" s="15" t="inlineStr">
        <is>
          <t>BR-01</t>
        </is>
      </c>
      <c r="E544" s="15" t="inlineStr">
        <is>
          <t>T-01</t>
        </is>
      </c>
      <c r="F544" s="15" t="inlineStr">
        <is>
          <t>C-102</t>
        </is>
      </c>
      <c r="G544" s="15" t="inlineStr">
        <is>
          <t>NONE</t>
        </is>
      </c>
      <c r="H544" s="14" t="inlineStr">
        <is>
          <t>Sale Tender</t>
        </is>
      </c>
      <c r="I544" s="15" t="inlineStr">
        <is>
          <t>Card</t>
        </is>
      </c>
      <c r="J544" s="17" t="n">
        <v>5</v>
      </c>
      <c r="K544" s="28" t="n">
        <v>75.47</v>
      </c>
      <c r="L544" s="28" t="n">
        <v>75.47</v>
      </c>
      <c r="M544" s="27" t="n">
        <v>46310.79818287037</v>
      </c>
      <c r="N544" s="29">
        <f>IFERROR(IF(OR(ISBLANK(M544), M544="", ISBLANK(C544), C544=""), 0, MAX(0, ROUND((C544-M544)*86400, 0))), 0)</f>
        <v/>
      </c>
      <c r="O544" s="14">
        <f>IF(H544="Post-Bill Void", IF(AND(G544="M-904", I544="Cash"), "EXCEPTION: Concurrent Cash Void", IF(AND(I544="Cash", N544&gt;120), "CRITICAL: Delayed Cash Void", IF(N544&gt;120, "EXCEPTION: Delayed Void", "Standard Void"))), IF(H544="Line Item Void", IF(I544="Cash", "EXCEPTION: Cash Line Void", "Standard Line Void"), IF(H544="No-Sale Drawer Opening", "DRAWER OPENING", "Standard Sale")))</f>
        <v/>
      </c>
    </row>
    <row r="545" ht="18" customHeight="1">
      <c r="A545" s="12" t="inlineStr">
        <is>
          <t>EVT-10453</t>
        </is>
      </c>
      <c r="B545" s="12" t="inlineStr">
        <is>
          <t>TX-80453</t>
        </is>
      </c>
      <c r="C545" s="24" t="n">
        <v>46310.80556712963</v>
      </c>
      <c r="D545" s="12" t="inlineStr">
        <is>
          <t>BR-02</t>
        </is>
      </c>
      <c r="E545" s="12" t="inlineStr">
        <is>
          <t>T-02</t>
        </is>
      </c>
      <c r="F545" s="12" t="inlineStr">
        <is>
          <t>C-106</t>
        </is>
      </c>
      <c r="G545" s="12" t="inlineStr">
        <is>
          <t>NONE</t>
        </is>
      </c>
      <c r="H545" s="11" t="inlineStr">
        <is>
          <t>Sale Tender</t>
        </is>
      </c>
      <c r="I545" s="12" t="inlineStr">
        <is>
          <t>Card</t>
        </is>
      </c>
      <c r="J545" s="20" t="n">
        <v>2</v>
      </c>
      <c r="K545" s="25" t="n">
        <v>17.5</v>
      </c>
      <c r="L545" s="25" t="n">
        <v>17.5</v>
      </c>
      <c r="M545" s="24" t="n">
        <v>46310.80498842592</v>
      </c>
      <c r="N545" s="26">
        <f>IFERROR(IF(OR(ISBLANK(M545), M545="", ISBLANK(C545), C545=""), 0, MAX(0, ROUND((C545-M545)*86400, 0))), 0)</f>
        <v/>
      </c>
      <c r="O545" s="11">
        <f>IF(H545="Post-Bill Void", IF(AND(G545="M-904", I545="Cash"), "EXCEPTION: Concurrent Cash Void", IF(AND(I545="Cash", N545&gt;120), "CRITICAL: Delayed Cash Void", IF(N545&gt;120, "EXCEPTION: Delayed Void", "Standard Void"))), IF(H545="Line Item Void", IF(I545="Cash", "EXCEPTION: Cash Line Void", "Standard Line Void"), IF(H545="No-Sale Drawer Opening", "DRAWER OPENING", "Standard Sale")))</f>
        <v/>
      </c>
    </row>
    <row r="546" ht="18" customHeight="1">
      <c r="A546" s="15" t="inlineStr">
        <is>
          <t>EVT-10454</t>
        </is>
      </c>
      <c r="B546" s="15" t="inlineStr">
        <is>
          <t>TX-80454</t>
        </is>
      </c>
      <c r="C546" s="27" t="n">
        <v>46310.81253472222</v>
      </c>
      <c r="D546" s="15" t="inlineStr">
        <is>
          <t>BR-03</t>
        </is>
      </c>
      <c r="E546" s="15" t="inlineStr">
        <is>
          <t>T-01</t>
        </is>
      </c>
      <c r="F546" s="15" t="inlineStr">
        <is>
          <t>C-110</t>
        </is>
      </c>
      <c r="G546" s="15" t="inlineStr">
        <is>
          <t>NONE</t>
        </is>
      </c>
      <c r="H546" s="14" t="inlineStr">
        <is>
          <t>Sale Tender</t>
        </is>
      </c>
      <c r="I546" s="15" t="inlineStr">
        <is>
          <t>Card</t>
        </is>
      </c>
      <c r="J546" s="17" t="n">
        <v>6</v>
      </c>
      <c r="K546" s="28" t="n">
        <v>92.54000000000001</v>
      </c>
      <c r="L546" s="28" t="n">
        <v>92.54000000000001</v>
      </c>
      <c r="M546" s="27" t="n">
        <v>46310.8115625</v>
      </c>
      <c r="N546" s="29">
        <f>IFERROR(IF(OR(ISBLANK(M546), M546="", ISBLANK(C546), C546=""), 0, MAX(0, ROUND((C546-M546)*86400, 0))), 0)</f>
        <v/>
      </c>
      <c r="O546" s="14">
        <f>IF(H546="Post-Bill Void", IF(AND(G546="M-904", I546="Cash"), "EXCEPTION: Concurrent Cash Void", IF(AND(I546="Cash", N546&gt;120), "CRITICAL: Delayed Cash Void", IF(N546&gt;120, "EXCEPTION: Delayed Void", "Standard Void"))), IF(H546="Line Item Void", IF(I546="Cash", "EXCEPTION: Cash Line Void", "Standard Line Void"), IF(H546="No-Sale Drawer Opening", "DRAWER OPENING", "Standard Sale")))</f>
        <v/>
      </c>
    </row>
    <row r="547" ht="18" customHeight="1">
      <c r="A547" s="12" t="inlineStr">
        <is>
          <t>EVT-10455</t>
        </is>
      </c>
      <c r="B547" s="12" t="inlineStr">
        <is>
          <t>TX-80455</t>
        </is>
      </c>
      <c r="C547" s="24" t="n">
        <v>46310.81994212963</v>
      </c>
      <c r="D547" s="12" t="inlineStr">
        <is>
          <t>BR-01</t>
        </is>
      </c>
      <c r="E547" s="12" t="inlineStr">
        <is>
          <t>T-01</t>
        </is>
      </c>
      <c r="F547" s="12" t="inlineStr">
        <is>
          <t>C-102</t>
        </is>
      </c>
      <c r="G547" s="12" t="inlineStr">
        <is>
          <t>NONE</t>
        </is>
      </c>
      <c r="H547" s="11" t="inlineStr">
        <is>
          <t>Sale Tender</t>
        </is>
      </c>
      <c r="I547" s="12" t="inlineStr">
        <is>
          <t>Cash</t>
        </is>
      </c>
      <c r="J547" s="20" t="n">
        <v>4</v>
      </c>
      <c r="K547" s="25" t="n">
        <v>51.61</v>
      </c>
      <c r="L547" s="25" t="n">
        <v>51.61</v>
      </c>
      <c r="M547" s="24" t="n">
        <v>46310.81899305555</v>
      </c>
      <c r="N547" s="26">
        <f>IFERROR(IF(OR(ISBLANK(M547), M547="", ISBLANK(C547), C547=""), 0, MAX(0, ROUND((C547-M547)*86400, 0))), 0)</f>
        <v/>
      </c>
      <c r="O547" s="11">
        <f>IF(H547="Post-Bill Void", IF(AND(G547="M-904", I547="Cash"), "EXCEPTION: Concurrent Cash Void", IF(AND(I547="Cash", N547&gt;120), "CRITICAL: Delayed Cash Void", IF(N547&gt;120, "EXCEPTION: Delayed Void", "Standard Void"))), IF(H547="Line Item Void", IF(I547="Cash", "EXCEPTION: Cash Line Void", "Standard Line Void"), IF(H547="No-Sale Drawer Opening", "DRAWER OPENING", "Standard Sale")))</f>
        <v/>
      </c>
    </row>
    <row r="548" ht="18" customHeight="1">
      <c r="A548" s="15" t="inlineStr">
        <is>
          <t>EVT-10456</t>
        </is>
      </c>
      <c r="B548" s="15" t="inlineStr">
        <is>
          <t>TX-80456</t>
        </is>
      </c>
      <c r="C548" s="27" t="n">
        <v>46310.82664351852</v>
      </c>
      <c r="D548" s="15" t="inlineStr">
        <is>
          <t>BR-03</t>
        </is>
      </c>
      <c r="E548" s="15" t="inlineStr">
        <is>
          <t>T-02</t>
        </is>
      </c>
      <c r="F548" s="15" t="inlineStr">
        <is>
          <t>C-110</t>
        </is>
      </c>
      <c r="G548" s="15" t="inlineStr">
        <is>
          <t>NONE</t>
        </is>
      </c>
      <c r="H548" s="14" t="inlineStr">
        <is>
          <t>Sale Tender</t>
        </is>
      </c>
      <c r="I548" s="15" t="inlineStr">
        <is>
          <t>Card</t>
        </is>
      </c>
      <c r="J548" s="17" t="n">
        <v>6</v>
      </c>
      <c r="K548" s="28" t="n">
        <v>55.07</v>
      </c>
      <c r="L548" s="28" t="n">
        <v>55.07</v>
      </c>
      <c r="M548" s="27" t="n">
        <v>46310.82597222222</v>
      </c>
      <c r="N548" s="29">
        <f>IFERROR(IF(OR(ISBLANK(M548), M548="", ISBLANK(C548), C548=""), 0, MAX(0, ROUND((C548-M548)*86400, 0))), 0)</f>
        <v/>
      </c>
      <c r="O548" s="14">
        <f>IF(H548="Post-Bill Void", IF(AND(G548="M-904", I548="Cash"), "EXCEPTION: Concurrent Cash Void", IF(AND(I548="Cash", N548&gt;120), "CRITICAL: Delayed Cash Void", IF(N548&gt;120, "EXCEPTION: Delayed Void", "Standard Void"))), IF(H548="Line Item Void", IF(I548="Cash", "EXCEPTION: Cash Line Void", "Standard Line Void"), IF(H548="No-Sale Drawer Opening", "DRAWER OPENING", "Standard Sale")))</f>
        <v/>
      </c>
    </row>
    <row r="549" ht="18" customHeight="1">
      <c r="A549" s="12" t="inlineStr">
        <is>
          <t>EVT-10457</t>
        </is>
      </c>
      <c r="B549" s="12" t="inlineStr">
        <is>
          <t>TX-80457</t>
        </is>
      </c>
      <c r="C549" s="24" t="n">
        <v>46310.83334490741</v>
      </c>
      <c r="D549" s="12" t="inlineStr">
        <is>
          <t>BR-04</t>
        </is>
      </c>
      <c r="E549" s="12" t="inlineStr">
        <is>
          <t>T-01</t>
        </is>
      </c>
      <c r="F549" s="12" t="inlineStr">
        <is>
          <t>C-113</t>
        </is>
      </c>
      <c r="G549" s="12" t="inlineStr">
        <is>
          <t>NONE</t>
        </is>
      </c>
      <c r="H549" s="11" t="inlineStr">
        <is>
          <t>Sale Tender</t>
        </is>
      </c>
      <c r="I549" s="12" t="inlineStr">
        <is>
          <t>Delivery Aggregator</t>
        </is>
      </c>
      <c r="J549" s="20" t="n">
        <v>6</v>
      </c>
      <c r="K549" s="25" t="n">
        <v>61.13</v>
      </c>
      <c r="L549" s="25" t="n">
        <v>61.13</v>
      </c>
      <c r="M549" s="24" t="n">
        <v>46310.83274305556</v>
      </c>
      <c r="N549" s="26">
        <f>IFERROR(IF(OR(ISBLANK(M549), M549="", ISBLANK(C549), C549=""), 0, MAX(0, ROUND((C549-M549)*86400, 0))), 0)</f>
        <v/>
      </c>
      <c r="O549" s="11">
        <f>IF(H549="Post-Bill Void", IF(AND(G549="M-904", I549="Cash"), "EXCEPTION: Concurrent Cash Void", IF(AND(I549="Cash", N549&gt;120), "CRITICAL: Delayed Cash Void", IF(N549&gt;120, "EXCEPTION: Delayed Void", "Standard Void"))), IF(H549="Line Item Void", IF(I549="Cash", "EXCEPTION: Cash Line Void", "Standard Line Void"), IF(H549="No-Sale Drawer Opening", "DRAWER OPENING", "Standard Sale")))</f>
        <v/>
      </c>
    </row>
    <row r="550" ht="18" customHeight="1">
      <c r="A550" s="15" t="inlineStr">
        <is>
          <t>EVT-10458</t>
        </is>
      </c>
      <c r="B550" s="15" t="inlineStr">
        <is>
          <t>TX-80458</t>
        </is>
      </c>
      <c r="C550" s="27" t="n">
        <v>46310.84042824074</v>
      </c>
      <c r="D550" s="15" t="inlineStr">
        <is>
          <t>BR-03</t>
        </is>
      </c>
      <c r="E550" s="15" t="inlineStr">
        <is>
          <t>T-01</t>
        </is>
      </c>
      <c r="F550" s="15" t="inlineStr">
        <is>
          <t>C-112</t>
        </is>
      </c>
      <c r="G550" s="15" t="inlineStr">
        <is>
          <t>NONE</t>
        </is>
      </c>
      <c r="H550" s="14" t="inlineStr">
        <is>
          <t>Sale Tender</t>
        </is>
      </c>
      <c r="I550" s="15" t="inlineStr">
        <is>
          <t>Card</t>
        </is>
      </c>
      <c r="J550" s="17" t="n">
        <v>2</v>
      </c>
      <c r="K550" s="28" t="n">
        <v>26.71</v>
      </c>
      <c r="L550" s="28" t="n">
        <v>26.71</v>
      </c>
      <c r="M550" s="27" t="n">
        <v>46310.84012731481</v>
      </c>
      <c r="N550" s="29">
        <f>IFERROR(IF(OR(ISBLANK(M550), M550="", ISBLANK(C550), C550=""), 0, MAX(0, ROUND((C550-M550)*86400, 0))), 0)</f>
        <v/>
      </c>
      <c r="O550" s="14">
        <f>IF(H550="Post-Bill Void", IF(AND(G550="M-904", I550="Cash"), "EXCEPTION: Concurrent Cash Void", IF(AND(I550="Cash", N550&gt;120), "CRITICAL: Delayed Cash Void", IF(N550&gt;120, "EXCEPTION: Delayed Void", "Standard Void"))), IF(H550="Line Item Void", IF(I550="Cash", "EXCEPTION: Cash Line Void", "Standard Line Void"), IF(H550="No-Sale Drawer Opening", "DRAWER OPENING", "Standard Sale")))</f>
        <v/>
      </c>
    </row>
    <row r="551" ht="18" customHeight="1">
      <c r="A551" s="12" t="inlineStr">
        <is>
          <t>EVT-10459</t>
        </is>
      </c>
      <c r="B551" s="12" t="inlineStr">
        <is>
          <t>TX-80459</t>
        </is>
      </c>
      <c r="C551" s="24" t="n">
        <v>46310.84766203703</v>
      </c>
      <c r="D551" s="12" t="inlineStr">
        <is>
          <t>BR-01</t>
        </is>
      </c>
      <c r="E551" s="12" t="inlineStr">
        <is>
          <t>T-01</t>
        </is>
      </c>
      <c r="F551" s="12" t="inlineStr">
        <is>
          <t>C-102</t>
        </is>
      </c>
      <c r="G551" s="12" t="inlineStr">
        <is>
          <t>NONE</t>
        </is>
      </c>
      <c r="H551" s="11" t="inlineStr">
        <is>
          <t>Sale Tender</t>
        </is>
      </c>
      <c r="I551" s="12" t="inlineStr">
        <is>
          <t>Card</t>
        </is>
      </c>
      <c r="J551" s="20" t="n">
        <v>6</v>
      </c>
      <c r="K551" s="25" t="n">
        <v>79.92</v>
      </c>
      <c r="L551" s="25" t="n">
        <v>79.92</v>
      </c>
      <c r="M551" s="24" t="n">
        <v>46310.8469212963</v>
      </c>
      <c r="N551" s="26">
        <f>IFERROR(IF(OR(ISBLANK(M551), M551="", ISBLANK(C551), C551=""), 0, MAX(0, ROUND((C551-M551)*86400, 0))), 0)</f>
        <v/>
      </c>
      <c r="O551" s="11">
        <f>IF(H551="Post-Bill Void", IF(AND(G551="M-904", I551="Cash"), "EXCEPTION: Concurrent Cash Void", IF(AND(I551="Cash", N551&gt;120), "CRITICAL: Delayed Cash Void", IF(N551&gt;120, "EXCEPTION: Delayed Void", "Standard Void"))), IF(H551="Line Item Void", IF(I551="Cash", "EXCEPTION: Cash Line Void", "Standard Line Void"), IF(H551="No-Sale Drawer Opening", "DRAWER OPENING", "Standard Sale")))</f>
        <v/>
      </c>
    </row>
    <row r="552" ht="18" customHeight="1">
      <c r="A552" s="15" t="inlineStr">
        <is>
          <t>EVT-10460</t>
        </is>
      </c>
      <c r="B552" s="15" t="inlineStr">
        <is>
          <t>TX-80460</t>
        </is>
      </c>
      <c r="C552" s="27" t="n">
        <v>46310.85447916666</v>
      </c>
      <c r="D552" s="15" t="inlineStr">
        <is>
          <t>BR-04</t>
        </is>
      </c>
      <c r="E552" s="15" t="inlineStr">
        <is>
          <t>T-01</t>
        </is>
      </c>
      <c r="F552" s="15" t="inlineStr">
        <is>
          <t>C-114</t>
        </is>
      </c>
      <c r="G552" s="15" t="inlineStr">
        <is>
          <t>NONE</t>
        </is>
      </c>
      <c r="H552" s="14" t="inlineStr">
        <is>
          <t>Sale Tender</t>
        </is>
      </c>
      <c r="I552" s="15" t="inlineStr">
        <is>
          <t>Card</t>
        </is>
      </c>
      <c r="J552" s="17" t="n">
        <v>6</v>
      </c>
      <c r="K552" s="28" t="n">
        <v>74.43000000000001</v>
      </c>
      <c r="L552" s="28" t="n">
        <v>74.43000000000001</v>
      </c>
      <c r="M552" s="27" t="n">
        <v>46310.85387731482</v>
      </c>
      <c r="N552" s="29">
        <f>IFERROR(IF(OR(ISBLANK(M552), M552="", ISBLANK(C552), C552=""), 0, MAX(0, ROUND((C552-M552)*86400, 0))), 0)</f>
        <v/>
      </c>
      <c r="O552" s="14">
        <f>IF(H552="Post-Bill Void", IF(AND(G552="M-904", I552="Cash"), "EXCEPTION: Concurrent Cash Void", IF(AND(I552="Cash", N552&gt;120), "CRITICAL: Delayed Cash Void", IF(N552&gt;120, "EXCEPTION: Delayed Void", "Standard Void"))), IF(H552="Line Item Void", IF(I552="Cash", "EXCEPTION: Cash Line Void", "Standard Line Void"), IF(H552="No-Sale Drawer Opening", "DRAWER OPENING", "Standard Sale")))</f>
        <v/>
      </c>
    </row>
    <row r="553" ht="18" customHeight="1">
      <c r="A553" s="12" t="inlineStr">
        <is>
          <t>EVT-10461</t>
        </is>
      </c>
      <c r="B553" s="12" t="inlineStr">
        <is>
          <t>TX-80461</t>
        </is>
      </c>
      <c r="C553" s="24" t="n">
        <v>46310.8615625</v>
      </c>
      <c r="D553" s="12" t="inlineStr">
        <is>
          <t>BR-04</t>
        </is>
      </c>
      <c r="E553" s="12" t="inlineStr">
        <is>
          <t>T-01</t>
        </is>
      </c>
      <c r="F553" s="12" t="inlineStr">
        <is>
          <t>C-115</t>
        </is>
      </c>
      <c r="G553" s="12" t="inlineStr">
        <is>
          <t>NONE</t>
        </is>
      </c>
      <c r="H553" s="11" t="inlineStr">
        <is>
          <t>Sale Tender</t>
        </is>
      </c>
      <c r="I553" s="12" t="inlineStr">
        <is>
          <t>Delivery Aggregator</t>
        </is>
      </c>
      <c r="J553" s="20" t="n">
        <v>3</v>
      </c>
      <c r="K553" s="25" t="n">
        <v>38.13</v>
      </c>
      <c r="L553" s="25" t="n">
        <v>38.13</v>
      </c>
      <c r="M553" s="24" t="n">
        <v>46310.86052083333</v>
      </c>
      <c r="N553" s="26">
        <f>IFERROR(IF(OR(ISBLANK(M553), M553="", ISBLANK(C553), C553=""), 0, MAX(0, ROUND((C553-M553)*86400, 0))), 0)</f>
        <v/>
      </c>
      <c r="O553" s="11">
        <f>IF(H553="Post-Bill Void", IF(AND(G553="M-904", I553="Cash"), "EXCEPTION: Concurrent Cash Void", IF(AND(I553="Cash", N553&gt;120), "CRITICAL: Delayed Cash Void", IF(N553&gt;120, "EXCEPTION: Delayed Void", "Standard Void"))), IF(H553="Line Item Void", IF(I553="Cash", "EXCEPTION: Cash Line Void", "Standard Line Void"), IF(H553="No-Sale Drawer Opening", "DRAWER OPENING", "Standard Sale")))</f>
        <v/>
      </c>
    </row>
    <row r="554" ht="18" customHeight="1">
      <c r="A554" s="15" t="inlineStr">
        <is>
          <t>EVT-10462</t>
        </is>
      </c>
      <c r="B554" s="15" t="inlineStr">
        <is>
          <t>TX-80462</t>
        </is>
      </c>
      <c r="C554" s="27" t="n">
        <v>46310.86849537037</v>
      </c>
      <c r="D554" s="15" t="inlineStr">
        <is>
          <t>BR-03</t>
        </is>
      </c>
      <c r="E554" s="15" t="inlineStr">
        <is>
          <t>T-02</t>
        </is>
      </c>
      <c r="F554" s="15" t="inlineStr">
        <is>
          <t>C-111</t>
        </is>
      </c>
      <c r="G554" s="15" t="inlineStr">
        <is>
          <t>NONE</t>
        </is>
      </c>
      <c r="H554" s="14" t="inlineStr">
        <is>
          <t>Sale Tender</t>
        </is>
      </c>
      <c r="I554" s="15" t="inlineStr">
        <is>
          <t>Cash</t>
        </is>
      </c>
      <c r="J554" s="17" t="n">
        <v>3</v>
      </c>
      <c r="K554" s="28" t="n">
        <v>39.91</v>
      </c>
      <c r="L554" s="28" t="n">
        <v>39.91</v>
      </c>
      <c r="M554" s="27" t="n">
        <v>46310.8675</v>
      </c>
      <c r="N554" s="29">
        <f>IFERROR(IF(OR(ISBLANK(M554), M554="", ISBLANK(C554), C554=""), 0, MAX(0, ROUND((C554-M554)*86400, 0))), 0)</f>
        <v/>
      </c>
      <c r="O554" s="14">
        <f>IF(H554="Post-Bill Void", IF(AND(G554="M-904", I554="Cash"), "EXCEPTION: Concurrent Cash Void", IF(AND(I554="Cash", N554&gt;120), "CRITICAL: Delayed Cash Void", IF(N554&gt;120, "EXCEPTION: Delayed Void", "Standard Void"))), IF(H554="Line Item Void", IF(I554="Cash", "EXCEPTION: Cash Line Void", "Standard Line Void"), IF(H554="No-Sale Drawer Opening", "DRAWER OPENING", "Standard Sale")))</f>
        <v/>
      </c>
    </row>
    <row r="555" ht="18" customHeight="1">
      <c r="A555" s="12" t="inlineStr">
        <is>
          <t>EVT-10621</t>
        </is>
      </c>
      <c r="B555" s="12" t="inlineStr">
        <is>
          <t>N/A - NO SALE</t>
        </is>
      </c>
      <c r="C555" s="24" t="n">
        <v>46310.87361111111</v>
      </c>
      <c r="D555" s="12" t="inlineStr">
        <is>
          <t>BR-03</t>
        </is>
      </c>
      <c r="E555" s="12" t="inlineStr">
        <is>
          <t>T-02</t>
        </is>
      </c>
      <c r="F555" s="12" t="inlineStr">
        <is>
          <t>C-112</t>
        </is>
      </c>
      <c r="G555" s="12" t="inlineStr">
        <is>
          <t>NONE</t>
        </is>
      </c>
      <c r="H555" s="11" t="inlineStr">
        <is>
          <t>No-Sale Drawer Opening</t>
        </is>
      </c>
      <c r="I555" s="12" t="inlineStr">
        <is>
          <t>N/A</t>
        </is>
      </c>
      <c r="J555" s="20" t="n">
        <v>0</v>
      </c>
      <c r="K555" s="25" t="n">
        <v>0</v>
      </c>
      <c r="L555" s="25" t="n">
        <v>0</v>
      </c>
      <c r="M555" s="24" t="n">
        <v>46310.87361111111</v>
      </c>
      <c r="N555" s="26">
        <f>IFERROR(IF(OR(ISBLANK(M555), M555="", ISBLANK(C555), C555=""), 0, MAX(0, ROUND((C555-M555)*86400, 0))), 0)</f>
        <v/>
      </c>
      <c r="O555" s="11">
        <f>IF(H555="Post-Bill Void", IF(AND(G555="M-904", I555="Cash"), "EXCEPTION: Concurrent Cash Void", IF(AND(I555="Cash", N555&gt;120), "CRITICAL: Delayed Cash Void", IF(N555&gt;120, "EXCEPTION: Delayed Void", "Standard Void"))), IF(H555="Line Item Void", IF(I555="Cash", "EXCEPTION: Cash Line Void", "Standard Line Void"), IF(H555="No-Sale Drawer Opening", "DRAWER OPENING", "Standard Sale")))</f>
        <v/>
      </c>
    </row>
    <row r="556" ht="18" customHeight="1">
      <c r="A556" s="15" t="inlineStr">
        <is>
          <t>EVT-10661</t>
        </is>
      </c>
      <c r="B556" s="15" t="inlineStr">
        <is>
          <t>TX-80606</t>
        </is>
      </c>
      <c r="C556" s="27" t="n">
        <v>46310.87430555555</v>
      </c>
      <c r="D556" s="15" t="inlineStr">
        <is>
          <t>BR-04</t>
        </is>
      </c>
      <c r="E556" s="15" t="inlineStr">
        <is>
          <t>T-01</t>
        </is>
      </c>
      <c r="F556" s="15" t="inlineStr">
        <is>
          <t>C-115</t>
        </is>
      </c>
      <c r="G556" s="15" t="inlineStr">
        <is>
          <t>M-904</t>
        </is>
      </c>
      <c r="H556" s="14" t="inlineStr">
        <is>
          <t>Post-Bill Void</t>
        </is>
      </c>
      <c r="I556" s="15" t="inlineStr">
        <is>
          <t>Cash</t>
        </is>
      </c>
      <c r="J556" s="17" t="n">
        <v>1</v>
      </c>
      <c r="K556" s="28" t="n">
        <v>16.1</v>
      </c>
      <c r="L556" s="28" t="n">
        <v>0</v>
      </c>
      <c r="M556" s="27" t="n">
        <v>46310.8741087963</v>
      </c>
      <c r="N556" s="29">
        <f>IFERROR(IF(OR(ISBLANK(M556), M556="", ISBLANK(C556), C556=""), 0, MAX(0, ROUND((C556-M556)*86400, 0))), 0)</f>
        <v/>
      </c>
      <c r="O556" s="14">
        <f>IF(H556="Post-Bill Void", IF(AND(G556="M-904", I556="Cash"), "EXCEPTION: Concurrent Cash Void", IF(AND(I556="Cash", N556&gt;120), "CRITICAL: Delayed Cash Void", IF(N556&gt;120, "EXCEPTION: Delayed Void", "Standard Void"))), IF(H556="Line Item Void", IF(I556="Cash", "EXCEPTION: Cash Line Void", "Standard Line Void"), IF(H556="No-Sale Drawer Opening", "DRAWER OPENING", "Standard Sale")))</f>
        <v/>
      </c>
    </row>
    <row r="557" ht="18" customHeight="1">
      <c r="A557" s="12" t="inlineStr">
        <is>
          <t>EVT-10463</t>
        </is>
      </c>
      <c r="B557" s="12" t="inlineStr">
        <is>
          <t>TX-80463</t>
        </is>
      </c>
      <c r="C557" s="24" t="n">
        <v>46310.87563657408</v>
      </c>
      <c r="D557" s="12" t="inlineStr">
        <is>
          <t>BR-03</t>
        </is>
      </c>
      <c r="E557" s="12" t="inlineStr">
        <is>
          <t>T-02</t>
        </is>
      </c>
      <c r="F557" s="12" t="inlineStr">
        <is>
          <t>C-111</t>
        </is>
      </c>
      <c r="G557" s="12" t="inlineStr">
        <is>
          <t>NONE</t>
        </is>
      </c>
      <c r="H557" s="11" t="inlineStr">
        <is>
          <t>Sale Tender</t>
        </is>
      </c>
      <c r="I557" s="12" t="inlineStr">
        <is>
          <t>Cash</t>
        </is>
      </c>
      <c r="J557" s="20" t="n">
        <v>5</v>
      </c>
      <c r="K557" s="25" t="n">
        <v>71.20999999999999</v>
      </c>
      <c r="L557" s="25" t="n">
        <v>71.20999999999999</v>
      </c>
      <c r="M557" s="24" t="n">
        <v>46310.87490740741</v>
      </c>
      <c r="N557" s="26">
        <f>IFERROR(IF(OR(ISBLANK(M557), M557="", ISBLANK(C557), C557=""), 0, MAX(0, ROUND((C557-M557)*86400, 0))), 0)</f>
        <v/>
      </c>
      <c r="O557" s="11">
        <f>IF(H557="Post-Bill Void", IF(AND(G557="M-904", I557="Cash"), "EXCEPTION: Concurrent Cash Void", IF(AND(I557="Cash", N557&gt;120), "CRITICAL: Delayed Cash Void", IF(N557&gt;120, "EXCEPTION: Delayed Void", "Standard Void"))), IF(H557="Line Item Void", IF(I557="Cash", "EXCEPTION: Cash Line Void", "Standard Line Void"), IF(H557="No-Sale Drawer Opening", "DRAWER OPENING", "Standard Sale")))</f>
        <v/>
      </c>
    </row>
    <row r="558" ht="18" customHeight="1">
      <c r="A558" s="15" t="inlineStr">
        <is>
          <t>EVT-10464</t>
        </is>
      </c>
      <c r="B558" s="15" t="inlineStr">
        <is>
          <t>TX-80464</t>
        </is>
      </c>
      <c r="C558" s="27" t="n">
        <v>46310.88260416667</v>
      </c>
      <c r="D558" s="15" t="inlineStr">
        <is>
          <t>BR-01</t>
        </is>
      </c>
      <c r="E558" s="15" t="inlineStr">
        <is>
          <t>T-02</t>
        </is>
      </c>
      <c r="F558" s="15" t="inlineStr">
        <is>
          <t>C-104</t>
        </is>
      </c>
      <c r="G558" s="15" t="inlineStr">
        <is>
          <t>NONE</t>
        </is>
      </c>
      <c r="H558" s="14" t="inlineStr">
        <is>
          <t>Sale Tender</t>
        </is>
      </c>
      <c r="I558" s="15" t="inlineStr">
        <is>
          <t>Card</t>
        </is>
      </c>
      <c r="J558" s="17" t="n">
        <v>6</v>
      </c>
      <c r="K558" s="28" t="n">
        <v>73.38</v>
      </c>
      <c r="L558" s="28" t="n">
        <v>73.38</v>
      </c>
      <c r="M558" s="27" t="n">
        <v>46310.88211805555</v>
      </c>
      <c r="N558" s="29">
        <f>IFERROR(IF(OR(ISBLANK(M558), M558="", ISBLANK(C558), C558=""), 0, MAX(0, ROUND((C558-M558)*86400, 0))), 0)</f>
        <v/>
      </c>
      <c r="O558" s="14">
        <f>IF(H558="Post-Bill Void", IF(AND(G558="M-904", I558="Cash"), "EXCEPTION: Concurrent Cash Void", IF(AND(I558="Cash", N558&gt;120), "CRITICAL: Delayed Cash Void", IF(N558&gt;120, "EXCEPTION: Delayed Void", "Standard Void"))), IF(H558="Line Item Void", IF(I558="Cash", "EXCEPTION: Cash Line Void", "Standard Line Void"), IF(H558="No-Sale Drawer Opening", "DRAWER OPENING", "Standard Sale")))</f>
        <v/>
      </c>
    </row>
    <row r="559" ht="18" customHeight="1">
      <c r="A559" s="12" t="inlineStr">
        <is>
          <t>EVT-10465</t>
        </is>
      </c>
      <c r="B559" s="12" t="inlineStr">
        <is>
          <t>TX-80465</t>
        </is>
      </c>
      <c r="C559" s="24" t="n">
        <v>46310.88909722222</v>
      </c>
      <c r="D559" s="12" t="inlineStr">
        <is>
          <t>BR-03</t>
        </is>
      </c>
      <c r="E559" s="12" t="inlineStr">
        <is>
          <t>T-01</t>
        </is>
      </c>
      <c r="F559" s="12" t="inlineStr">
        <is>
          <t>C-112</t>
        </is>
      </c>
      <c r="G559" s="12" t="inlineStr">
        <is>
          <t>NONE</t>
        </is>
      </c>
      <c r="H559" s="11" t="inlineStr">
        <is>
          <t>Sale Tender</t>
        </is>
      </c>
      <c r="I559" s="12" t="inlineStr">
        <is>
          <t>Card</t>
        </is>
      </c>
      <c r="J559" s="20" t="n">
        <v>5</v>
      </c>
      <c r="K559" s="25" t="n">
        <v>73.09999999999999</v>
      </c>
      <c r="L559" s="25" t="n">
        <v>73.09999999999999</v>
      </c>
      <c r="M559" s="24" t="n">
        <v>46310.88876157408</v>
      </c>
      <c r="N559" s="26">
        <f>IFERROR(IF(OR(ISBLANK(M559), M559="", ISBLANK(C559), C559=""), 0, MAX(0, ROUND((C559-M559)*86400, 0))), 0)</f>
        <v/>
      </c>
      <c r="O559" s="11">
        <f>IF(H559="Post-Bill Void", IF(AND(G559="M-904", I559="Cash"), "EXCEPTION: Concurrent Cash Void", IF(AND(I559="Cash", N559&gt;120), "CRITICAL: Delayed Cash Void", IF(N559&gt;120, "EXCEPTION: Delayed Void", "Standard Void"))), IF(H559="Line Item Void", IF(I559="Cash", "EXCEPTION: Cash Line Void", "Standard Line Void"), IF(H559="No-Sale Drawer Opening", "DRAWER OPENING", "Standard Sale")))</f>
        <v/>
      </c>
    </row>
    <row r="560" ht="18" customHeight="1">
      <c r="A560" s="15" t="inlineStr">
        <is>
          <t>EVT-10619</t>
        </is>
      </c>
      <c r="B560" s="15" t="inlineStr">
        <is>
          <t>N/A - NO SALE</t>
        </is>
      </c>
      <c r="C560" s="27" t="n">
        <v>46310.89166666667</v>
      </c>
      <c r="D560" s="15" t="inlineStr">
        <is>
          <t>BR-03</t>
        </is>
      </c>
      <c r="E560" s="15" t="inlineStr">
        <is>
          <t>T-02</t>
        </is>
      </c>
      <c r="F560" s="15" t="inlineStr">
        <is>
          <t>C-112</t>
        </is>
      </c>
      <c r="G560" s="15" t="inlineStr">
        <is>
          <t>NONE</t>
        </is>
      </c>
      <c r="H560" s="14" t="inlineStr">
        <is>
          <t>No-Sale Drawer Opening</t>
        </is>
      </c>
      <c r="I560" s="15" t="inlineStr">
        <is>
          <t>N/A</t>
        </is>
      </c>
      <c r="J560" s="17" t="n">
        <v>0</v>
      </c>
      <c r="K560" s="28" t="n">
        <v>0</v>
      </c>
      <c r="L560" s="28" t="n">
        <v>0</v>
      </c>
      <c r="M560" s="27" t="n">
        <v>46310.89166666667</v>
      </c>
      <c r="N560" s="29">
        <f>IFERROR(IF(OR(ISBLANK(M560), M560="", ISBLANK(C560), C560=""), 0, MAX(0, ROUND((C560-M560)*86400, 0))), 0)</f>
        <v/>
      </c>
      <c r="O560" s="14">
        <f>IF(H560="Post-Bill Void", IF(AND(G560="M-904", I560="Cash"), "EXCEPTION: Concurrent Cash Void", IF(AND(I560="Cash", N560&gt;120), "CRITICAL: Delayed Cash Void", IF(N560&gt;120, "EXCEPTION: Delayed Void", "Standard Void"))), IF(H560="Line Item Void", IF(I560="Cash", "EXCEPTION: Cash Line Void", "Standard Line Void"), IF(H560="No-Sale Drawer Opening", "DRAWER OPENING", "Standard Sale")))</f>
        <v/>
      </c>
    </row>
    <row r="561" ht="18" customHeight="1">
      <c r="A561" s="12" t="inlineStr">
        <is>
          <t>EVT-10578</t>
        </is>
      </c>
      <c r="B561" s="12" t="inlineStr">
        <is>
          <t>TX-80578</t>
        </is>
      </c>
      <c r="C561" s="24" t="n">
        <v>46310.89305555556</v>
      </c>
      <c r="D561" s="12" t="inlineStr">
        <is>
          <t>BR-02</t>
        </is>
      </c>
      <c r="E561" s="12" t="inlineStr">
        <is>
          <t>T-01</t>
        </is>
      </c>
      <c r="F561" s="12" t="inlineStr">
        <is>
          <t>C-108</t>
        </is>
      </c>
      <c r="G561" s="12" t="inlineStr">
        <is>
          <t>M-902</t>
        </is>
      </c>
      <c r="H561" s="11" t="inlineStr">
        <is>
          <t>Line Item Void</t>
        </is>
      </c>
      <c r="I561" s="12" t="inlineStr">
        <is>
          <t>Cash</t>
        </is>
      </c>
      <c r="J561" s="20" t="n">
        <v>2</v>
      </c>
      <c r="K561" s="25" t="n">
        <v>46.63</v>
      </c>
      <c r="L561" s="25" t="n">
        <v>0</v>
      </c>
      <c r="M561" s="24" t="n">
        <v>46310.89238425926</v>
      </c>
      <c r="N561" s="26">
        <f>IFERROR(IF(OR(ISBLANK(M561), M561="", ISBLANK(C561), C561=""), 0, MAX(0, ROUND((C561-M561)*86400, 0))), 0)</f>
        <v/>
      </c>
      <c r="O561" s="11">
        <f>IF(H561="Post-Bill Void", IF(AND(G561="M-904", I561="Cash"), "EXCEPTION: Concurrent Cash Void", IF(AND(I561="Cash", N561&gt;120), "CRITICAL: Delayed Cash Void", IF(N561&gt;120, "EXCEPTION: Delayed Void", "Standard Void"))), IF(H561="Line Item Void", IF(I561="Cash", "EXCEPTION: Cash Line Void", "Standard Line Void"), IF(H561="No-Sale Drawer Opening", "DRAWER OPENING", "Standard Sale")))</f>
        <v/>
      </c>
    </row>
    <row r="562" ht="18" customHeight="1">
      <c r="A562" s="15" t="inlineStr">
        <is>
          <t>EVT-10466</t>
        </is>
      </c>
      <c r="B562" s="15" t="inlineStr">
        <is>
          <t>TX-80466</t>
        </is>
      </c>
      <c r="C562" s="27" t="n">
        <v>46310.89607638889</v>
      </c>
      <c r="D562" s="15" t="inlineStr">
        <is>
          <t>BR-02</t>
        </is>
      </c>
      <c r="E562" s="15" t="inlineStr">
        <is>
          <t>T-02</t>
        </is>
      </c>
      <c r="F562" s="15" t="inlineStr">
        <is>
          <t>C-108</t>
        </is>
      </c>
      <c r="G562" s="15" t="inlineStr">
        <is>
          <t>NONE</t>
        </is>
      </c>
      <c r="H562" s="14" t="inlineStr">
        <is>
          <t>Sale Tender</t>
        </is>
      </c>
      <c r="I562" s="15" t="inlineStr">
        <is>
          <t>Card</t>
        </is>
      </c>
      <c r="J562" s="17" t="n">
        <v>2</v>
      </c>
      <c r="K562" s="28" t="n">
        <v>29.61</v>
      </c>
      <c r="L562" s="28" t="n">
        <v>29.61</v>
      </c>
      <c r="M562" s="27" t="n">
        <v>46310.8952662037</v>
      </c>
      <c r="N562" s="29">
        <f>IFERROR(IF(OR(ISBLANK(M562), M562="", ISBLANK(C562), C562=""), 0, MAX(0, ROUND((C562-M562)*86400, 0))), 0)</f>
        <v/>
      </c>
      <c r="O562" s="14">
        <f>IF(H562="Post-Bill Void", IF(AND(G562="M-904", I562="Cash"), "EXCEPTION: Concurrent Cash Void", IF(AND(I562="Cash", N562&gt;120), "CRITICAL: Delayed Cash Void", IF(N562&gt;120, "EXCEPTION: Delayed Void", "Standard Void"))), IF(H562="Line Item Void", IF(I562="Cash", "EXCEPTION: Cash Line Void", "Standard Line Void"), IF(H562="No-Sale Drawer Opening", "DRAWER OPENING", "Standard Sale")))</f>
        <v/>
      </c>
    </row>
    <row r="563" ht="18" customHeight="1">
      <c r="A563" s="12" t="inlineStr">
        <is>
          <t>EVT-10467</t>
        </is>
      </c>
      <c r="B563" s="12" t="inlineStr">
        <is>
          <t>TX-80467</t>
        </is>
      </c>
      <c r="C563" s="24" t="n">
        <v>46310.90342592593</v>
      </c>
      <c r="D563" s="12" t="inlineStr">
        <is>
          <t>BR-02</t>
        </is>
      </c>
      <c r="E563" s="12" t="inlineStr">
        <is>
          <t>T-01</t>
        </is>
      </c>
      <c r="F563" s="12" t="inlineStr">
        <is>
          <t>C-107</t>
        </is>
      </c>
      <c r="G563" s="12" t="inlineStr">
        <is>
          <t>NONE</t>
        </is>
      </c>
      <c r="H563" s="11" t="inlineStr">
        <is>
          <t>Sale Tender</t>
        </is>
      </c>
      <c r="I563" s="12" t="inlineStr">
        <is>
          <t>Card</t>
        </is>
      </c>
      <c r="J563" s="20" t="n">
        <v>6</v>
      </c>
      <c r="K563" s="25" t="n">
        <v>87.38</v>
      </c>
      <c r="L563" s="25" t="n">
        <v>87.38</v>
      </c>
      <c r="M563" s="24" t="n">
        <v>46310.90295138889</v>
      </c>
      <c r="N563" s="26">
        <f>IFERROR(IF(OR(ISBLANK(M563), M563="", ISBLANK(C563), C563=""), 0, MAX(0, ROUND((C563-M563)*86400, 0))), 0)</f>
        <v/>
      </c>
      <c r="O563" s="11">
        <f>IF(H563="Post-Bill Void", IF(AND(G563="M-904", I563="Cash"), "EXCEPTION: Concurrent Cash Void", IF(AND(I563="Cash", N563&gt;120), "CRITICAL: Delayed Cash Void", IF(N563&gt;120, "EXCEPTION: Delayed Void", "Standard Void"))), IF(H563="Line Item Void", IF(I563="Cash", "EXCEPTION: Cash Line Void", "Standard Line Void"), IF(H563="No-Sale Drawer Opening", "DRAWER OPENING", "Standard Sale")))</f>
        <v/>
      </c>
    </row>
    <row r="564" ht="18" customHeight="1">
      <c r="A564" s="15" t="inlineStr">
        <is>
          <t>EVT-10468</t>
        </is>
      </c>
      <c r="B564" s="15" t="inlineStr">
        <is>
          <t>TX-80468</t>
        </is>
      </c>
      <c r="C564" s="27" t="n">
        <v>46310.91027777778</v>
      </c>
      <c r="D564" s="15" t="inlineStr">
        <is>
          <t>BR-02</t>
        </is>
      </c>
      <c r="E564" s="15" t="inlineStr">
        <is>
          <t>T-02</t>
        </is>
      </c>
      <c r="F564" s="15" t="inlineStr">
        <is>
          <t>C-107</t>
        </is>
      </c>
      <c r="G564" s="15" t="inlineStr">
        <is>
          <t>NONE</t>
        </is>
      </c>
      <c r="H564" s="14" t="inlineStr">
        <is>
          <t>Sale Tender</t>
        </is>
      </c>
      <c r="I564" s="15" t="inlineStr">
        <is>
          <t>Card</t>
        </is>
      </c>
      <c r="J564" s="17" t="n">
        <v>6</v>
      </c>
      <c r="K564" s="28" t="n">
        <v>90.20999999999999</v>
      </c>
      <c r="L564" s="28" t="n">
        <v>90.20999999999999</v>
      </c>
      <c r="M564" s="27" t="n">
        <v>46310.90966435185</v>
      </c>
      <c r="N564" s="29">
        <f>IFERROR(IF(OR(ISBLANK(M564), M564="", ISBLANK(C564), C564=""), 0, MAX(0, ROUND((C564-M564)*86400, 0))), 0)</f>
        <v/>
      </c>
      <c r="O564" s="14">
        <f>IF(H564="Post-Bill Void", IF(AND(G564="M-904", I564="Cash"), "EXCEPTION: Concurrent Cash Void", IF(AND(I564="Cash", N564&gt;120), "CRITICAL: Delayed Cash Void", IF(N564&gt;120, "EXCEPTION: Delayed Void", "Standard Void"))), IF(H564="Line Item Void", IF(I564="Cash", "EXCEPTION: Cash Line Void", "Standard Line Void"), IF(H564="No-Sale Drawer Opening", "DRAWER OPENING", "Standard Sale")))</f>
        <v/>
      </c>
    </row>
    <row r="565" ht="18" customHeight="1">
      <c r="A565" s="12" t="inlineStr">
        <is>
          <t>EVT-10606</t>
        </is>
      </c>
      <c r="B565" s="12" t="inlineStr">
        <is>
          <t>N/A - NO SALE</t>
        </is>
      </c>
      <c r="C565" s="24" t="n">
        <v>46310.91388888889</v>
      </c>
      <c r="D565" s="12" t="inlineStr">
        <is>
          <t>BR-03</t>
        </is>
      </c>
      <c r="E565" s="12" t="inlineStr">
        <is>
          <t>T-02</t>
        </is>
      </c>
      <c r="F565" s="12" t="inlineStr">
        <is>
          <t>C-112</t>
        </is>
      </c>
      <c r="G565" s="12" t="inlineStr">
        <is>
          <t>NONE</t>
        </is>
      </c>
      <c r="H565" s="11" t="inlineStr">
        <is>
          <t>No-Sale Drawer Opening</t>
        </is>
      </c>
      <c r="I565" s="12" t="inlineStr">
        <is>
          <t>N/A</t>
        </is>
      </c>
      <c r="J565" s="20" t="n">
        <v>0</v>
      </c>
      <c r="K565" s="25" t="n">
        <v>0</v>
      </c>
      <c r="L565" s="25" t="n">
        <v>0</v>
      </c>
      <c r="M565" s="24" t="n">
        <v>46310.91388888889</v>
      </c>
      <c r="N565" s="26">
        <f>IFERROR(IF(OR(ISBLANK(M565), M565="", ISBLANK(C565), C565=""), 0, MAX(0, ROUND((C565-M565)*86400, 0))), 0)</f>
        <v/>
      </c>
      <c r="O565" s="11">
        <f>IF(H565="Post-Bill Void", IF(AND(G565="M-904", I565="Cash"), "EXCEPTION: Concurrent Cash Void", IF(AND(I565="Cash", N565&gt;120), "CRITICAL: Delayed Cash Void", IF(N565&gt;120, "EXCEPTION: Delayed Void", "Standard Void"))), IF(H565="Line Item Void", IF(I565="Cash", "EXCEPTION: Cash Line Void", "Standard Line Void"), IF(H565="No-Sale Drawer Opening", "DRAWER OPENING", "Standard Sale")))</f>
        <v/>
      </c>
    </row>
    <row r="566" ht="18" customHeight="1">
      <c r="A566" s="15" t="inlineStr">
        <is>
          <t>EVT-10612</t>
        </is>
      </c>
      <c r="B566" s="15" t="inlineStr">
        <is>
          <t>N/A - NO SALE</t>
        </is>
      </c>
      <c r="C566" s="27" t="n">
        <v>46310.92916666667</v>
      </c>
      <c r="D566" s="15" t="inlineStr">
        <is>
          <t>BR-03</t>
        </is>
      </c>
      <c r="E566" s="15" t="inlineStr">
        <is>
          <t>T-02</t>
        </is>
      </c>
      <c r="F566" s="15" t="inlineStr">
        <is>
          <t>C-112</t>
        </is>
      </c>
      <c r="G566" s="15" t="inlineStr">
        <is>
          <t>NONE</t>
        </is>
      </c>
      <c r="H566" s="14" t="inlineStr">
        <is>
          <t>No-Sale Drawer Opening</t>
        </is>
      </c>
      <c r="I566" s="15" t="inlineStr">
        <is>
          <t>N/A</t>
        </is>
      </c>
      <c r="J566" s="17" t="n">
        <v>0</v>
      </c>
      <c r="K566" s="28" t="n">
        <v>0</v>
      </c>
      <c r="L566" s="28" t="n">
        <v>0</v>
      </c>
      <c r="M566" s="27" t="n">
        <v>46310.92916666667</v>
      </c>
      <c r="N566" s="29">
        <f>IFERROR(IF(OR(ISBLANK(M566), M566="", ISBLANK(C566), C566=""), 0, MAX(0, ROUND((C566-M566)*86400, 0))), 0)</f>
        <v/>
      </c>
      <c r="O566" s="14">
        <f>IF(H566="Post-Bill Void", IF(AND(G566="M-904", I566="Cash"), "EXCEPTION: Concurrent Cash Void", IF(AND(I566="Cash", N566&gt;120), "CRITICAL: Delayed Cash Void", IF(N566&gt;120, "EXCEPTION: Delayed Void", "Standard Void"))), IF(H566="Line Item Void", IF(I566="Cash", "EXCEPTION: Cash Line Void", "Standard Line Void"), IF(H566="No-Sale Drawer Opening", "DRAWER OPENING", "Standard Sale")))</f>
        <v/>
      </c>
    </row>
    <row r="567" ht="18" customHeight="1">
      <c r="A567" s="12" t="inlineStr">
        <is>
          <t>EVT-10554</t>
        </is>
      </c>
      <c r="B567" s="12" t="inlineStr">
        <is>
          <t>TX-80554</t>
        </is>
      </c>
      <c r="C567" s="24" t="n">
        <v>46310.93194444444</v>
      </c>
      <c r="D567" s="12" t="inlineStr">
        <is>
          <t>BR-01</t>
        </is>
      </c>
      <c r="E567" s="12" t="inlineStr">
        <is>
          <t>T-02</t>
        </is>
      </c>
      <c r="F567" s="12" t="inlineStr">
        <is>
          <t>C-104</t>
        </is>
      </c>
      <c r="G567" s="12" t="inlineStr">
        <is>
          <t>M-901</t>
        </is>
      </c>
      <c r="H567" s="11" t="inlineStr">
        <is>
          <t>Post-Bill Void</t>
        </is>
      </c>
      <c r="I567" s="12" t="inlineStr">
        <is>
          <t>Cash</t>
        </is>
      </c>
      <c r="J567" s="20" t="n">
        <v>5</v>
      </c>
      <c r="K567" s="25" t="n">
        <v>100.77</v>
      </c>
      <c r="L567" s="25" t="n">
        <v>0</v>
      </c>
      <c r="M567" s="24" t="n">
        <v>46310.92832175926</v>
      </c>
      <c r="N567" s="26">
        <f>IFERROR(IF(OR(ISBLANK(M567), M567="", ISBLANK(C567), C567=""), 0, MAX(0, ROUND((C567-M567)*86400, 0))), 0)</f>
        <v/>
      </c>
      <c r="O567" s="11">
        <f>IF(H567="Post-Bill Void", IF(AND(G567="M-904", I567="Cash"), "EXCEPTION: Concurrent Cash Void", IF(AND(I567="Cash", N567&gt;120), "CRITICAL: Delayed Cash Void", IF(N567&gt;120, "EXCEPTION: Delayed Void", "Standard Void"))), IF(H567="Line Item Void", IF(I567="Cash", "EXCEPTION: Cash Line Void", "Standard Line Void"), IF(H567="No-Sale Drawer Opening", "DRAWER OPENING", "Standard Sale")))</f>
        <v/>
      </c>
    </row>
    <row r="568" ht="18" customHeight="1">
      <c r="A568" s="15" t="inlineStr">
        <is>
          <t>EVT-10626</t>
        </is>
      </c>
      <c r="B568" s="15" t="inlineStr">
        <is>
          <t>N/A - NO SALE</t>
        </is>
      </c>
      <c r="C568" s="27" t="n">
        <v>46310.93958333333</v>
      </c>
      <c r="D568" s="15" t="inlineStr">
        <is>
          <t>BR-03</t>
        </is>
      </c>
      <c r="E568" s="15" t="inlineStr">
        <is>
          <t>T-02</t>
        </is>
      </c>
      <c r="F568" s="15" t="inlineStr">
        <is>
          <t>C-112</t>
        </is>
      </c>
      <c r="G568" s="15" t="inlineStr">
        <is>
          <t>NONE</t>
        </is>
      </c>
      <c r="H568" s="14" t="inlineStr">
        <is>
          <t>No-Sale Drawer Opening</t>
        </is>
      </c>
      <c r="I568" s="15" t="inlineStr">
        <is>
          <t>N/A</t>
        </is>
      </c>
      <c r="J568" s="17" t="n">
        <v>0</v>
      </c>
      <c r="K568" s="28" t="n">
        <v>0</v>
      </c>
      <c r="L568" s="28" t="n">
        <v>0</v>
      </c>
      <c r="M568" s="27" t="n">
        <v>46310.93958333333</v>
      </c>
      <c r="N568" s="29">
        <f>IFERROR(IF(OR(ISBLANK(M568), M568="", ISBLANK(C568), C568=""), 0, MAX(0, ROUND((C568-M568)*86400, 0))), 0)</f>
        <v/>
      </c>
      <c r="O568" s="14">
        <f>IF(H568="Post-Bill Void", IF(AND(G568="M-904", I568="Cash"), "EXCEPTION: Concurrent Cash Void", IF(AND(I568="Cash", N568&gt;120), "CRITICAL: Delayed Cash Void", IF(N568&gt;120, "EXCEPTION: Delayed Void", "Standard Void"))), IF(H568="Line Item Void", IF(I568="Cash", "EXCEPTION: Cash Line Void", "Standard Line Void"), IF(H568="No-Sale Drawer Opening", "DRAWER OPENING", "Standard Sale")))</f>
        <v/>
      </c>
    </row>
    <row r="569" ht="18" customHeight="1">
      <c r="A569" s="12" t="inlineStr">
        <is>
          <t>EVT-10553</t>
        </is>
      </c>
      <c r="B569" s="12" t="inlineStr">
        <is>
          <t>TX-80553</t>
        </is>
      </c>
      <c r="C569" s="24" t="n">
        <v>46310.96944444445</v>
      </c>
      <c r="D569" s="12" t="inlineStr">
        <is>
          <t>BR-01</t>
        </is>
      </c>
      <c r="E569" s="12" t="inlineStr">
        <is>
          <t>T-02</t>
        </is>
      </c>
      <c r="F569" s="12" t="inlineStr">
        <is>
          <t>C-104</t>
        </is>
      </c>
      <c r="G569" s="12" t="inlineStr">
        <is>
          <t>M-901</t>
        </is>
      </c>
      <c r="H569" s="11" t="inlineStr">
        <is>
          <t>Post-Bill Void</t>
        </is>
      </c>
      <c r="I569" s="12" t="inlineStr">
        <is>
          <t>Cash</t>
        </is>
      </c>
      <c r="J569" s="20" t="n">
        <v>2</v>
      </c>
      <c r="K569" s="25" t="n">
        <v>41.59</v>
      </c>
      <c r="L569" s="25" t="n">
        <v>0</v>
      </c>
      <c r="M569" s="24" t="n">
        <v>46310.96731481481</v>
      </c>
      <c r="N569" s="26">
        <f>IFERROR(IF(OR(ISBLANK(M569), M569="", ISBLANK(C569), C569=""), 0, MAX(0, ROUND((C569-M569)*86400, 0))), 0)</f>
        <v/>
      </c>
      <c r="O569" s="11">
        <f>IF(H569="Post-Bill Void", IF(AND(G569="M-904", I569="Cash"), "EXCEPTION: Concurrent Cash Void", IF(AND(I569="Cash", N569&gt;120), "CRITICAL: Delayed Cash Void", IF(N569&gt;120, "EXCEPTION: Delayed Void", "Standard Void"))), IF(H569="Line Item Void", IF(I569="Cash", "EXCEPTION: Cash Line Void", "Standard Line Void"), IF(H569="No-Sale Drawer Opening", "DRAWER OPENING", "Standard Sale")))</f>
        <v/>
      </c>
    </row>
    <row r="570" ht="18" customHeight="1">
      <c r="A570" s="15" t="inlineStr">
        <is>
          <t>EVT-10602</t>
        </is>
      </c>
      <c r="B570" s="15" t="inlineStr">
        <is>
          <t>N/A - NO SALE</t>
        </is>
      </c>
      <c r="C570" s="27" t="n">
        <v>46310.97222222222</v>
      </c>
      <c r="D570" s="15" t="inlineStr">
        <is>
          <t>BR-03</t>
        </is>
      </c>
      <c r="E570" s="15" t="inlineStr">
        <is>
          <t>T-02</t>
        </is>
      </c>
      <c r="F570" s="15" t="inlineStr">
        <is>
          <t>C-112</t>
        </is>
      </c>
      <c r="G570" s="15" t="inlineStr">
        <is>
          <t>NONE</t>
        </is>
      </c>
      <c r="H570" s="14" t="inlineStr">
        <is>
          <t>No-Sale Drawer Opening</t>
        </is>
      </c>
      <c r="I570" s="15" t="inlineStr">
        <is>
          <t>N/A</t>
        </is>
      </c>
      <c r="J570" s="17" t="n">
        <v>0</v>
      </c>
      <c r="K570" s="28" t="n">
        <v>0</v>
      </c>
      <c r="L570" s="28" t="n">
        <v>0</v>
      </c>
      <c r="M570" s="27" t="n">
        <v>46310.97222222222</v>
      </c>
      <c r="N570" s="29">
        <f>IFERROR(IF(OR(ISBLANK(M570), M570="", ISBLANK(C570), C570=""), 0, MAX(0, ROUND((C570-M570)*86400, 0))), 0)</f>
        <v/>
      </c>
      <c r="O570" s="14">
        <f>IF(H570="Post-Bill Void", IF(AND(G570="M-904", I570="Cash"), "EXCEPTION: Concurrent Cash Void", IF(AND(I570="Cash", N570&gt;120), "CRITICAL: Delayed Cash Void", IF(N570&gt;120, "EXCEPTION: Delayed Void", "Standard Void"))), IF(H570="Line Item Void", IF(I570="Cash", "EXCEPTION: Cash Line Void", "Standard Line Void"), IF(H570="No-Sale Drawer Opening", "DRAWER OPENING", "Standard Sale")))</f>
        <v/>
      </c>
    </row>
    <row r="571" ht="18" customHeight="1">
      <c r="A571" s="12" t="inlineStr">
        <is>
          <t>EVT-10588</t>
        </is>
      </c>
      <c r="B571" s="12" t="inlineStr">
        <is>
          <t>TX-80588</t>
        </is>
      </c>
      <c r="C571" s="24" t="n">
        <v>46310.97708333333</v>
      </c>
      <c r="D571" s="12" t="inlineStr">
        <is>
          <t>BR-02</t>
        </is>
      </c>
      <c r="E571" s="12" t="inlineStr">
        <is>
          <t>T-01</t>
        </is>
      </c>
      <c r="F571" s="12" t="inlineStr">
        <is>
          <t>C-108</t>
        </is>
      </c>
      <c r="G571" s="12" t="inlineStr">
        <is>
          <t>M-902</t>
        </is>
      </c>
      <c r="H571" s="11" t="inlineStr">
        <is>
          <t>Line Item Void</t>
        </is>
      </c>
      <c r="I571" s="12" t="inlineStr">
        <is>
          <t>Cash</t>
        </is>
      </c>
      <c r="J571" s="20" t="n">
        <v>2</v>
      </c>
      <c r="K571" s="25" t="n">
        <v>36.02</v>
      </c>
      <c r="L571" s="25" t="n">
        <v>0</v>
      </c>
      <c r="M571" s="24" t="n">
        <v>46310.97618055555</v>
      </c>
      <c r="N571" s="26">
        <f>IFERROR(IF(OR(ISBLANK(M571), M571="", ISBLANK(C571), C571=""), 0, MAX(0, ROUND((C571-M571)*86400, 0))), 0)</f>
        <v/>
      </c>
      <c r="O571" s="11">
        <f>IF(H571="Post-Bill Void", IF(AND(G571="M-904", I571="Cash"), "EXCEPTION: Concurrent Cash Void", IF(AND(I571="Cash", N571&gt;120), "CRITICAL: Delayed Cash Void", IF(N571&gt;120, "EXCEPTION: Delayed Void", "Standard Void"))), IF(H571="Line Item Void", IF(I571="Cash", "EXCEPTION: Cash Line Void", "Standard Line Void"), IF(H571="No-Sale Drawer Opening", "DRAWER OPENING", "Standard Sale")))</f>
        <v/>
      </c>
    </row>
    <row r="572" ht="18" customHeight="1">
      <c r="A572" s="15" t="inlineStr">
        <is>
          <t>EVT-10558</t>
        </is>
      </c>
      <c r="B572" s="15" t="inlineStr">
        <is>
          <t>TX-80558</t>
        </is>
      </c>
      <c r="C572" s="27" t="n">
        <v>46311.05833333333</v>
      </c>
      <c r="D572" s="15" t="inlineStr">
        <is>
          <t>BR-01</t>
        </is>
      </c>
      <c r="E572" s="15" t="inlineStr">
        <is>
          <t>T-02</t>
        </is>
      </c>
      <c r="F572" s="15" t="inlineStr">
        <is>
          <t>C-104</t>
        </is>
      </c>
      <c r="G572" s="15" t="inlineStr">
        <is>
          <t>M-901</t>
        </is>
      </c>
      <c r="H572" s="14" t="inlineStr">
        <is>
          <t>Post-Bill Void</t>
        </is>
      </c>
      <c r="I572" s="15" t="inlineStr">
        <is>
          <t>Cash</t>
        </is>
      </c>
      <c r="J572" s="17" t="n">
        <v>3</v>
      </c>
      <c r="K572" s="28" t="n">
        <v>60.17</v>
      </c>
      <c r="L572" s="28" t="n">
        <v>0</v>
      </c>
      <c r="M572" s="27" t="n">
        <v>46311.05403935185</v>
      </c>
      <c r="N572" s="29">
        <f>IFERROR(IF(OR(ISBLANK(M572), M572="", ISBLANK(C572), C572=""), 0, MAX(0, ROUND((C572-M572)*86400, 0))), 0)</f>
        <v/>
      </c>
      <c r="O572" s="14">
        <f>IF(H572="Post-Bill Void", IF(AND(G572="M-904", I572="Cash"), "EXCEPTION: Concurrent Cash Void", IF(AND(I572="Cash", N572&gt;120), "CRITICAL: Delayed Cash Void", IF(N572&gt;120, "EXCEPTION: Delayed Void", "Standard Void"))), IF(H572="Line Item Void", IF(I572="Cash", "EXCEPTION: Cash Line Void", "Standard Line Void"), IF(H572="No-Sale Drawer Opening", "DRAWER OPENING", "Standard Sale")))</f>
        <v/>
      </c>
    </row>
    <row r="573" ht="18" customHeight="1">
      <c r="A573" s="12" t="inlineStr">
        <is>
          <t>EVT-10630</t>
        </is>
      </c>
      <c r="B573" s="12" t="inlineStr">
        <is>
          <t>TX-80590</t>
        </is>
      </c>
      <c r="C573" s="24" t="n">
        <v>46311.06180555555</v>
      </c>
      <c r="D573" s="12" t="inlineStr">
        <is>
          <t>BR-01</t>
        </is>
      </c>
      <c r="E573" s="12" t="inlineStr">
        <is>
          <t>T-01</t>
        </is>
      </c>
      <c r="F573" s="12" t="inlineStr">
        <is>
          <t>C-102</t>
        </is>
      </c>
      <c r="G573" s="12" t="inlineStr">
        <is>
          <t>M-901</t>
        </is>
      </c>
      <c r="H573" s="11" t="inlineStr">
        <is>
          <t>Post-Bill Void</t>
        </is>
      </c>
      <c r="I573" s="12" t="inlineStr">
        <is>
          <t>Cash</t>
        </is>
      </c>
      <c r="J573" s="20" t="n">
        <v>1</v>
      </c>
      <c r="K573" s="25" t="n">
        <v>21.25</v>
      </c>
      <c r="L573" s="25" t="n">
        <v>0</v>
      </c>
      <c r="M573" s="24" t="n">
        <v>46311.06140046296</v>
      </c>
      <c r="N573" s="26">
        <f>IFERROR(IF(OR(ISBLANK(M573), M573="", ISBLANK(C573), C573=""), 0, MAX(0, ROUND((C573-M573)*86400, 0))), 0)</f>
        <v/>
      </c>
      <c r="O573" s="11">
        <f>IF(H573="Post-Bill Void", IF(AND(G573="M-904", I573="Cash"), "EXCEPTION: Concurrent Cash Void", IF(AND(I573="Cash", N573&gt;120), "CRITICAL: Delayed Cash Void", IF(N573&gt;120, "EXCEPTION: Delayed Void", "Standard Void"))), IF(H573="Line Item Void", IF(I573="Cash", "EXCEPTION: Cash Line Void", "Standard Line Void"), IF(H573="No-Sale Drawer Opening", "DRAWER OPENING", "Standard Sale")))</f>
        <v/>
      </c>
    </row>
    <row r="574" ht="18" customHeight="1">
      <c r="A574" s="15" t="inlineStr">
        <is>
          <t>EVT-10644</t>
        </is>
      </c>
      <c r="B574" s="15" t="inlineStr">
        <is>
          <t>TX-80596</t>
        </is>
      </c>
      <c r="C574" s="27" t="n">
        <v>46311.07916666667</v>
      </c>
      <c r="D574" s="15" t="inlineStr">
        <is>
          <t>BR-03</t>
        </is>
      </c>
      <c r="E574" s="15" t="inlineStr">
        <is>
          <t>T-01</t>
        </is>
      </c>
      <c r="F574" s="15" t="inlineStr">
        <is>
          <t>C-109</t>
        </is>
      </c>
      <c r="G574" s="15" t="inlineStr">
        <is>
          <t>M-903</t>
        </is>
      </c>
      <c r="H574" s="14" t="inlineStr">
        <is>
          <t>Post-Bill Void</t>
        </is>
      </c>
      <c r="I574" s="15" t="inlineStr">
        <is>
          <t>Card</t>
        </is>
      </c>
      <c r="J574" s="17" t="n">
        <v>1</v>
      </c>
      <c r="K574" s="28" t="n">
        <v>21.85</v>
      </c>
      <c r="L574" s="28" t="n">
        <v>0</v>
      </c>
      <c r="M574" s="27" t="n">
        <v>46311.0787037037</v>
      </c>
      <c r="N574" s="29">
        <f>IFERROR(IF(OR(ISBLANK(M574), M574="", ISBLANK(C574), C574=""), 0, MAX(0, ROUND((C574-M574)*86400, 0))), 0)</f>
        <v/>
      </c>
      <c r="O574" s="14">
        <f>IF(H574="Post-Bill Void", IF(AND(G574="M-904", I574="Cash"), "EXCEPTION: Concurrent Cash Void", IF(AND(I574="Cash", N574&gt;120), "CRITICAL: Delayed Cash Void", IF(N574&gt;120, "EXCEPTION: Delayed Void", "Standard Void"))), IF(H574="Line Item Void", IF(I574="Cash", "EXCEPTION: Cash Line Void", "Standard Line Void"), IF(H574="No-Sale Drawer Opening", "DRAWER OPENING", "Standard Sale")))</f>
        <v/>
      </c>
    </row>
    <row r="575" ht="18" customHeight="1">
      <c r="A575" s="12" t="inlineStr">
        <is>
          <t>EVT-10574</t>
        </is>
      </c>
      <c r="B575" s="12" t="inlineStr">
        <is>
          <t>TX-80574</t>
        </is>
      </c>
      <c r="C575" s="24" t="n">
        <v>46311.10486111111</v>
      </c>
      <c r="D575" s="12" t="inlineStr">
        <is>
          <t>BR-02</t>
        </is>
      </c>
      <c r="E575" s="12" t="inlineStr">
        <is>
          <t>T-01</t>
        </is>
      </c>
      <c r="F575" s="12" t="inlineStr">
        <is>
          <t>C-108</t>
        </is>
      </c>
      <c r="G575" s="12" t="inlineStr">
        <is>
          <t>M-902</t>
        </is>
      </c>
      <c r="H575" s="11" t="inlineStr">
        <is>
          <t>Line Item Void</t>
        </is>
      </c>
      <c r="I575" s="12" t="inlineStr">
        <is>
          <t>Cash</t>
        </is>
      </c>
      <c r="J575" s="20" t="n">
        <v>2</v>
      </c>
      <c r="K575" s="25" t="n">
        <v>23.12</v>
      </c>
      <c r="L575" s="25" t="n">
        <v>0</v>
      </c>
      <c r="M575" s="24" t="n">
        <v>46311.10422453703</v>
      </c>
      <c r="N575" s="26">
        <f>IFERROR(IF(OR(ISBLANK(M575), M575="", ISBLANK(C575), C575=""), 0, MAX(0, ROUND((C575-M575)*86400, 0))), 0)</f>
        <v/>
      </c>
      <c r="O575" s="11">
        <f>IF(H575="Post-Bill Void", IF(AND(G575="M-904", I575="Cash"), "EXCEPTION: Concurrent Cash Void", IF(AND(I575="Cash", N575&gt;120), "CRITICAL: Delayed Cash Void", IF(N575&gt;120, "EXCEPTION: Delayed Void", "Standard Void"))), IF(H575="Line Item Void", IF(I575="Cash", "EXCEPTION: Cash Line Void", "Standard Line Void"), IF(H575="No-Sale Drawer Opening", "DRAWER OPENING", "Standard Sale")))</f>
        <v/>
      </c>
    </row>
    <row r="576" ht="18" customHeight="1">
      <c r="A576" s="15" t="inlineStr">
        <is>
          <t>EVT-10469</t>
        </is>
      </c>
      <c r="B576" s="15" t="inlineStr">
        <is>
          <t>TX-80469</t>
        </is>
      </c>
      <c r="C576" s="27" t="n">
        <v>46311.37530092592</v>
      </c>
      <c r="D576" s="15" t="inlineStr">
        <is>
          <t>BR-03</t>
        </is>
      </c>
      <c r="E576" s="15" t="inlineStr">
        <is>
          <t>T-01</t>
        </is>
      </c>
      <c r="F576" s="15" t="inlineStr">
        <is>
          <t>C-111</t>
        </is>
      </c>
      <c r="G576" s="15" t="inlineStr">
        <is>
          <t>NONE</t>
        </is>
      </c>
      <c r="H576" s="14" t="inlineStr">
        <is>
          <t>Sale Tender</t>
        </is>
      </c>
      <c r="I576" s="15" t="inlineStr">
        <is>
          <t>Card</t>
        </is>
      </c>
      <c r="J576" s="17" t="n">
        <v>1</v>
      </c>
      <c r="K576" s="28" t="n">
        <v>12.03</v>
      </c>
      <c r="L576" s="28" t="n">
        <v>12.03</v>
      </c>
      <c r="M576" s="27" t="n">
        <v>46311.37458333333</v>
      </c>
      <c r="N576" s="29">
        <f>IFERROR(IF(OR(ISBLANK(M576), M576="", ISBLANK(C576), C576=""), 0, MAX(0, ROUND((C576-M576)*86400, 0))), 0)</f>
        <v/>
      </c>
      <c r="O576" s="14">
        <f>IF(H576="Post-Bill Void", IF(AND(G576="M-904", I576="Cash"), "EXCEPTION: Concurrent Cash Void", IF(AND(I576="Cash", N576&gt;120), "CRITICAL: Delayed Cash Void", IF(N576&gt;120, "EXCEPTION: Delayed Void", "Standard Void"))), IF(H576="Line Item Void", IF(I576="Cash", "EXCEPTION: Cash Line Void", "Standard Line Void"), IF(H576="No-Sale Drawer Opening", "DRAWER OPENING", "Standard Sale")))</f>
        <v/>
      </c>
    </row>
    <row r="577" ht="18" customHeight="1">
      <c r="A577" s="12" t="inlineStr">
        <is>
          <t>EVT-10470</t>
        </is>
      </c>
      <c r="B577" s="12" t="inlineStr">
        <is>
          <t>TX-80470</t>
        </is>
      </c>
      <c r="C577" s="24" t="n">
        <v>46311.38258101852</v>
      </c>
      <c r="D577" s="12" t="inlineStr">
        <is>
          <t>BR-01</t>
        </is>
      </c>
      <c r="E577" s="12" t="inlineStr">
        <is>
          <t>T-02</t>
        </is>
      </c>
      <c r="F577" s="12" t="inlineStr">
        <is>
          <t>C-104</t>
        </is>
      </c>
      <c r="G577" s="12" t="inlineStr">
        <is>
          <t>NONE</t>
        </is>
      </c>
      <c r="H577" s="11" t="inlineStr">
        <is>
          <t>Sale Tender</t>
        </is>
      </c>
      <c r="I577" s="12" t="inlineStr">
        <is>
          <t>Cash</t>
        </is>
      </c>
      <c r="J577" s="20" t="n">
        <v>6</v>
      </c>
      <c r="K577" s="25" t="n">
        <v>68.18000000000001</v>
      </c>
      <c r="L577" s="25" t="n">
        <v>68.18000000000001</v>
      </c>
      <c r="M577" s="24" t="n">
        <v>46311.38155092593</v>
      </c>
      <c r="N577" s="26">
        <f>IFERROR(IF(OR(ISBLANK(M577), M577="", ISBLANK(C577), C577=""), 0, MAX(0, ROUND((C577-M577)*86400, 0))), 0)</f>
        <v/>
      </c>
      <c r="O577" s="11">
        <f>IF(H577="Post-Bill Void", IF(AND(G577="M-904", I577="Cash"), "EXCEPTION: Concurrent Cash Void", IF(AND(I577="Cash", N577&gt;120), "CRITICAL: Delayed Cash Void", IF(N577&gt;120, "EXCEPTION: Delayed Void", "Standard Void"))), IF(H577="Line Item Void", IF(I577="Cash", "EXCEPTION: Cash Line Void", "Standard Line Void"), IF(H577="No-Sale Drawer Opening", "DRAWER OPENING", "Standard Sale")))</f>
        <v/>
      </c>
    </row>
    <row r="578" ht="18" customHeight="1">
      <c r="A578" s="15" t="inlineStr">
        <is>
          <t>EVT-10471</t>
        </is>
      </c>
      <c r="B578" s="15" t="inlineStr">
        <is>
          <t>TX-80471</t>
        </is>
      </c>
      <c r="C578" s="27" t="n">
        <v>46311.3891087963</v>
      </c>
      <c r="D578" s="15" t="inlineStr">
        <is>
          <t>BR-04</t>
        </is>
      </c>
      <c r="E578" s="15" t="inlineStr">
        <is>
          <t>T-02</t>
        </is>
      </c>
      <c r="F578" s="15" t="inlineStr">
        <is>
          <t>C-113</t>
        </is>
      </c>
      <c r="G578" s="15" t="inlineStr">
        <is>
          <t>NONE</t>
        </is>
      </c>
      <c r="H578" s="14" t="inlineStr">
        <is>
          <t>Sale Tender</t>
        </is>
      </c>
      <c r="I578" s="15" t="inlineStr">
        <is>
          <t>Cash</t>
        </is>
      </c>
      <c r="J578" s="17" t="n">
        <v>2</v>
      </c>
      <c r="K578" s="28" t="n">
        <v>22.14</v>
      </c>
      <c r="L578" s="28" t="n">
        <v>22.14</v>
      </c>
      <c r="M578" s="27" t="n">
        <v>46311.38859953704</v>
      </c>
      <c r="N578" s="29">
        <f>IFERROR(IF(OR(ISBLANK(M578), M578="", ISBLANK(C578), C578=""), 0, MAX(0, ROUND((C578-M578)*86400, 0))), 0)</f>
        <v/>
      </c>
      <c r="O578" s="14">
        <f>IF(H578="Post-Bill Void", IF(AND(G578="M-904", I578="Cash"), "EXCEPTION: Concurrent Cash Void", IF(AND(I578="Cash", N578&gt;120), "CRITICAL: Delayed Cash Void", IF(N578&gt;120, "EXCEPTION: Delayed Void", "Standard Void"))), IF(H578="Line Item Void", IF(I578="Cash", "EXCEPTION: Cash Line Void", "Standard Line Void"), IF(H578="No-Sale Drawer Opening", "DRAWER OPENING", "Standard Sale")))</f>
        <v/>
      </c>
    </row>
    <row r="579" ht="18" customHeight="1">
      <c r="A579" s="12" t="inlineStr">
        <is>
          <t>EVT-10472</t>
        </is>
      </c>
      <c r="B579" s="12" t="inlineStr">
        <is>
          <t>TX-80472</t>
        </is>
      </c>
      <c r="C579" s="24" t="n">
        <v>46311.39625</v>
      </c>
      <c r="D579" s="12" t="inlineStr">
        <is>
          <t>BR-04</t>
        </is>
      </c>
      <c r="E579" s="12" t="inlineStr">
        <is>
          <t>T-01</t>
        </is>
      </c>
      <c r="F579" s="12" t="inlineStr">
        <is>
          <t>C-113</t>
        </is>
      </c>
      <c r="G579" s="12" t="inlineStr">
        <is>
          <t>NONE</t>
        </is>
      </c>
      <c r="H579" s="11" t="inlineStr">
        <is>
          <t>Sale Tender</t>
        </is>
      </c>
      <c r="I579" s="12" t="inlineStr">
        <is>
          <t>Card</t>
        </is>
      </c>
      <c r="J579" s="20" t="n">
        <v>4</v>
      </c>
      <c r="K579" s="25" t="n">
        <v>43.98</v>
      </c>
      <c r="L579" s="25" t="n">
        <v>43.98</v>
      </c>
      <c r="M579" s="24" t="n">
        <v>46311.39569444444</v>
      </c>
      <c r="N579" s="26">
        <f>IFERROR(IF(OR(ISBLANK(M579), M579="", ISBLANK(C579), C579=""), 0, MAX(0, ROUND((C579-M579)*86400, 0))), 0)</f>
        <v/>
      </c>
      <c r="O579" s="11">
        <f>IF(H579="Post-Bill Void", IF(AND(G579="M-904", I579="Cash"), "EXCEPTION: Concurrent Cash Void", IF(AND(I579="Cash", N579&gt;120), "CRITICAL: Delayed Cash Void", IF(N579&gt;120, "EXCEPTION: Delayed Void", "Standard Void"))), IF(H579="Line Item Void", IF(I579="Cash", "EXCEPTION: Cash Line Void", "Standard Line Void"), IF(H579="No-Sale Drawer Opening", "DRAWER OPENING", "Standard Sale")))</f>
        <v/>
      </c>
    </row>
    <row r="580" ht="18" customHeight="1">
      <c r="A580" s="15" t="inlineStr">
        <is>
          <t>EVT-10473</t>
        </is>
      </c>
      <c r="B580" s="15" t="inlineStr">
        <is>
          <t>TX-80473</t>
        </is>
      </c>
      <c r="C580" s="27" t="n">
        <v>46311.40290509259</v>
      </c>
      <c r="D580" s="15" t="inlineStr">
        <is>
          <t>BR-03</t>
        </is>
      </c>
      <c r="E580" s="15" t="inlineStr">
        <is>
          <t>T-01</t>
        </is>
      </c>
      <c r="F580" s="15" t="inlineStr">
        <is>
          <t>C-109</t>
        </is>
      </c>
      <c r="G580" s="15" t="inlineStr">
        <is>
          <t>NONE</t>
        </is>
      </c>
      <c r="H580" s="14" t="inlineStr">
        <is>
          <t>Sale Tender</t>
        </is>
      </c>
      <c r="I580" s="15" t="inlineStr">
        <is>
          <t>Cash</t>
        </is>
      </c>
      <c r="J580" s="17" t="n">
        <v>2</v>
      </c>
      <c r="K580" s="28" t="n">
        <v>25.64</v>
      </c>
      <c r="L580" s="28" t="n">
        <v>25.64</v>
      </c>
      <c r="M580" s="27" t="n">
        <v>46311.40221064815</v>
      </c>
      <c r="N580" s="29">
        <f>IFERROR(IF(OR(ISBLANK(M580), M580="", ISBLANK(C580), C580=""), 0, MAX(0, ROUND((C580-M580)*86400, 0))), 0)</f>
        <v/>
      </c>
      <c r="O580" s="14">
        <f>IF(H580="Post-Bill Void", IF(AND(G580="M-904", I580="Cash"), "EXCEPTION: Concurrent Cash Void", IF(AND(I580="Cash", N580&gt;120), "CRITICAL: Delayed Cash Void", IF(N580&gt;120, "EXCEPTION: Delayed Void", "Standard Void"))), IF(H580="Line Item Void", IF(I580="Cash", "EXCEPTION: Cash Line Void", "Standard Line Void"), IF(H580="No-Sale Drawer Opening", "DRAWER OPENING", "Standard Sale")))</f>
        <v/>
      </c>
    </row>
    <row r="581" ht="18" customHeight="1">
      <c r="A581" s="12" t="inlineStr">
        <is>
          <t>EVT-10474</t>
        </is>
      </c>
      <c r="B581" s="12" t="inlineStr">
        <is>
          <t>TX-80474</t>
        </is>
      </c>
      <c r="C581" s="24" t="n">
        <v>46311.40983796296</v>
      </c>
      <c r="D581" s="12" t="inlineStr">
        <is>
          <t>BR-04</t>
        </is>
      </c>
      <c r="E581" s="12" t="inlineStr">
        <is>
          <t>T-01</t>
        </is>
      </c>
      <c r="F581" s="12" t="inlineStr">
        <is>
          <t>C-113</t>
        </is>
      </c>
      <c r="G581" s="12" t="inlineStr">
        <is>
          <t>NONE</t>
        </is>
      </c>
      <c r="H581" s="11" t="inlineStr">
        <is>
          <t>Sale Tender</t>
        </is>
      </c>
      <c r="I581" s="12" t="inlineStr">
        <is>
          <t>Card</t>
        </is>
      </c>
      <c r="J581" s="20" t="n">
        <v>4</v>
      </c>
      <c r="K581" s="25" t="n">
        <v>46.87</v>
      </c>
      <c r="L581" s="25" t="n">
        <v>46.87</v>
      </c>
      <c r="M581" s="24" t="n">
        <v>46311.40891203703</v>
      </c>
      <c r="N581" s="26">
        <f>IFERROR(IF(OR(ISBLANK(M581), M581="", ISBLANK(C581), C581=""), 0, MAX(0, ROUND((C581-M581)*86400, 0))), 0)</f>
        <v/>
      </c>
      <c r="O581" s="11">
        <f>IF(H581="Post-Bill Void", IF(AND(G581="M-904", I581="Cash"), "EXCEPTION: Concurrent Cash Void", IF(AND(I581="Cash", N581&gt;120), "CRITICAL: Delayed Cash Void", IF(N581&gt;120, "EXCEPTION: Delayed Void", "Standard Void"))), IF(H581="Line Item Void", IF(I581="Cash", "EXCEPTION: Cash Line Void", "Standard Line Void"), IF(H581="No-Sale Drawer Opening", "DRAWER OPENING", "Standard Sale")))</f>
        <v/>
      </c>
    </row>
    <row r="582" ht="18" customHeight="1">
      <c r="A582" s="15" t="inlineStr">
        <is>
          <t>EVT-10475</t>
        </is>
      </c>
      <c r="B582" s="15" t="inlineStr">
        <is>
          <t>TX-80475</t>
        </is>
      </c>
      <c r="C582" s="27" t="n">
        <v>46311.41701388889</v>
      </c>
      <c r="D582" s="15" t="inlineStr">
        <is>
          <t>BR-04</t>
        </is>
      </c>
      <c r="E582" s="15" t="inlineStr">
        <is>
          <t>T-01</t>
        </is>
      </c>
      <c r="F582" s="15" t="inlineStr">
        <is>
          <t>C-113</t>
        </is>
      </c>
      <c r="G582" s="15" t="inlineStr">
        <is>
          <t>NONE</t>
        </is>
      </c>
      <c r="H582" s="14" t="inlineStr">
        <is>
          <t>Sale Tender</t>
        </is>
      </c>
      <c r="I582" s="15" t="inlineStr">
        <is>
          <t>Card</t>
        </is>
      </c>
      <c r="J582" s="17" t="n">
        <v>1</v>
      </c>
      <c r="K582" s="28" t="n">
        <v>15.19</v>
      </c>
      <c r="L582" s="28" t="n">
        <v>15.19</v>
      </c>
      <c r="M582" s="27" t="n">
        <v>46311.41643518519</v>
      </c>
      <c r="N582" s="29">
        <f>IFERROR(IF(OR(ISBLANK(M582), M582="", ISBLANK(C582), C582=""), 0, MAX(0, ROUND((C582-M582)*86400, 0))), 0)</f>
        <v/>
      </c>
      <c r="O582" s="14">
        <f>IF(H582="Post-Bill Void", IF(AND(G582="M-904", I582="Cash"), "EXCEPTION: Concurrent Cash Void", IF(AND(I582="Cash", N582&gt;120), "CRITICAL: Delayed Cash Void", IF(N582&gt;120, "EXCEPTION: Delayed Void", "Standard Void"))), IF(H582="Line Item Void", IF(I582="Cash", "EXCEPTION: Cash Line Void", "Standard Line Void"), IF(H582="No-Sale Drawer Opening", "DRAWER OPENING", "Standard Sale")))</f>
        <v/>
      </c>
    </row>
    <row r="583" ht="18" customHeight="1">
      <c r="A583" s="12" t="inlineStr">
        <is>
          <t>EVT-10476</t>
        </is>
      </c>
      <c r="B583" s="12" t="inlineStr">
        <is>
          <t>TX-80476</t>
        </is>
      </c>
      <c r="C583" s="24" t="n">
        <v>46311.42416666666</v>
      </c>
      <c r="D583" s="12" t="inlineStr">
        <is>
          <t>BR-02</t>
        </is>
      </c>
      <c r="E583" s="12" t="inlineStr">
        <is>
          <t>T-02</t>
        </is>
      </c>
      <c r="F583" s="12" t="inlineStr">
        <is>
          <t>C-105</t>
        </is>
      </c>
      <c r="G583" s="12" t="inlineStr">
        <is>
          <t>NONE</t>
        </is>
      </c>
      <c r="H583" s="11" t="inlineStr">
        <is>
          <t>Sale Tender</t>
        </is>
      </c>
      <c r="I583" s="12" t="inlineStr">
        <is>
          <t>Cash</t>
        </is>
      </c>
      <c r="J583" s="20" t="n">
        <v>3</v>
      </c>
      <c r="K583" s="25" t="n">
        <v>32.52</v>
      </c>
      <c r="L583" s="25" t="n">
        <v>32.52</v>
      </c>
      <c r="M583" s="24" t="n">
        <v>46311.42351851852</v>
      </c>
      <c r="N583" s="26">
        <f>IFERROR(IF(OR(ISBLANK(M583), M583="", ISBLANK(C583), C583=""), 0, MAX(0, ROUND((C583-M583)*86400, 0))), 0)</f>
        <v/>
      </c>
      <c r="O583" s="11">
        <f>IF(H583="Post-Bill Void", IF(AND(G583="M-904", I583="Cash"), "EXCEPTION: Concurrent Cash Void", IF(AND(I583="Cash", N583&gt;120), "CRITICAL: Delayed Cash Void", IF(N583&gt;120, "EXCEPTION: Delayed Void", "Standard Void"))), IF(H583="Line Item Void", IF(I583="Cash", "EXCEPTION: Cash Line Void", "Standard Line Void"), IF(H583="No-Sale Drawer Opening", "DRAWER OPENING", "Standard Sale")))</f>
        <v/>
      </c>
    </row>
    <row r="584" ht="18" customHeight="1">
      <c r="A584" s="15" t="inlineStr">
        <is>
          <t>EVT-10477</t>
        </is>
      </c>
      <c r="B584" s="15" t="inlineStr">
        <is>
          <t>TX-80477</t>
        </is>
      </c>
      <c r="C584" s="27" t="n">
        <v>46311.430625</v>
      </c>
      <c r="D584" s="15" t="inlineStr">
        <is>
          <t>BR-04</t>
        </is>
      </c>
      <c r="E584" s="15" t="inlineStr">
        <is>
          <t>T-01</t>
        </is>
      </c>
      <c r="F584" s="15" t="inlineStr">
        <is>
          <t>C-115</t>
        </is>
      </c>
      <c r="G584" s="15" t="inlineStr">
        <is>
          <t>NONE</t>
        </is>
      </c>
      <c r="H584" s="14" t="inlineStr">
        <is>
          <t>Sale Tender</t>
        </is>
      </c>
      <c r="I584" s="15" t="inlineStr">
        <is>
          <t>Cash</t>
        </is>
      </c>
      <c r="J584" s="17" t="n">
        <v>1</v>
      </c>
      <c r="K584" s="28" t="n">
        <v>10.74</v>
      </c>
      <c r="L584" s="28" t="n">
        <v>10.74</v>
      </c>
      <c r="M584" s="27" t="n">
        <v>46311.43009259259</v>
      </c>
      <c r="N584" s="29">
        <f>IFERROR(IF(OR(ISBLANK(M584), M584="", ISBLANK(C584), C584=""), 0, MAX(0, ROUND((C584-M584)*86400, 0))), 0)</f>
        <v/>
      </c>
      <c r="O584" s="14">
        <f>IF(H584="Post-Bill Void", IF(AND(G584="M-904", I584="Cash"), "EXCEPTION: Concurrent Cash Void", IF(AND(I584="Cash", N584&gt;120), "CRITICAL: Delayed Cash Void", IF(N584&gt;120, "EXCEPTION: Delayed Void", "Standard Void"))), IF(H584="Line Item Void", IF(I584="Cash", "EXCEPTION: Cash Line Void", "Standard Line Void"), IF(H584="No-Sale Drawer Opening", "DRAWER OPENING", "Standard Sale")))</f>
        <v/>
      </c>
    </row>
    <row r="585" ht="18" customHeight="1">
      <c r="A585" s="12" t="inlineStr">
        <is>
          <t>EVT-10478</t>
        </is>
      </c>
      <c r="B585" s="12" t="inlineStr">
        <is>
          <t>TX-80478</t>
        </is>
      </c>
      <c r="C585" s="24" t="n">
        <v>46311.43770833333</v>
      </c>
      <c r="D585" s="12" t="inlineStr">
        <is>
          <t>BR-04</t>
        </is>
      </c>
      <c r="E585" s="12" t="inlineStr">
        <is>
          <t>T-01</t>
        </is>
      </c>
      <c r="F585" s="12" t="inlineStr">
        <is>
          <t>C-115</t>
        </is>
      </c>
      <c r="G585" s="12" t="inlineStr">
        <is>
          <t>NONE</t>
        </is>
      </c>
      <c r="H585" s="11" t="inlineStr">
        <is>
          <t>Sale Tender</t>
        </is>
      </c>
      <c r="I585" s="12" t="inlineStr">
        <is>
          <t>Cash</t>
        </is>
      </c>
      <c r="J585" s="20" t="n">
        <v>6</v>
      </c>
      <c r="K585" s="25" t="n">
        <v>95.8</v>
      </c>
      <c r="L585" s="25" t="n">
        <v>95.8</v>
      </c>
      <c r="M585" s="24" t="n">
        <v>46311.43664351852</v>
      </c>
      <c r="N585" s="26">
        <f>IFERROR(IF(OR(ISBLANK(M585), M585="", ISBLANK(C585), C585=""), 0, MAX(0, ROUND((C585-M585)*86400, 0))), 0)</f>
        <v/>
      </c>
      <c r="O585" s="11">
        <f>IF(H585="Post-Bill Void", IF(AND(G585="M-904", I585="Cash"), "EXCEPTION: Concurrent Cash Void", IF(AND(I585="Cash", N585&gt;120), "CRITICAL: Delayed Cash Void", IF(N585&gt;120, "EXCEPTION: Delayed Void", "Standard Void"))), IF(H585="Line Item Void", IF(I585="Cash", "EXCEPTION: Cash Line Void", "Standard Line Void"), IF(H585="No-Sale Drawer Opening", "DRAWER OPENING", "Standard Sale")))</f>
        <v/>
      </c>
    </row>
    <row r="586" ht="18" customHeight="1">
      <c r="A586" s="15" t="inlineStr">
        <is>
          <t>EVT-10479</t>
        </is>
      </c>
      <c r="B586" s="15" t="inlineStr">
        <is>
          <t>TX-80479</t>
        </is>
      </c>
      <c r="C586" s="27" t="n">
        <v>46311.4446875</v>
      </c>
      <c r="D586" s="15" t="inlineStr">
        <is>
          <t>BR-04</t>
        </is>
      </c>
      <c r="E586" s="15" t="inlineStr">
        <is>
          <t>T-02</t>
        </is>
      </c>
      <c r="F586" s="15" t="inlineStr">
        <is>
          <t>C-114</t>
        </is>
      </c>
      <c r="G586" s="15" t="inlineStr">
        <is>
          <t>NONE</t>
        </is>
      </c>
      <c r="H586" s="14" t="inlineStr">
        <is>
          <t>Sale Tender</t>
        </is>
      </c>
      <c r="I586" s="15" t="inlineStr">
        <is>
          <t>Delivery Aggregator</t>
        </is>
      </c>
      <c r="J586" s="17" t="n">
        <v>4</v>
      </c>
      <c r="K586" s="28" t="n">
        <v>34.57</v>
      </c>
      <c r="L586" s="28" t="n">
        <v>34.57</v>
      </c>
      <c r="M586" s="27" t="n">
        <v>46311.44415509259</v>
      </c>
      <c r="N586" s="29">
        <f>IFERROR(IF(OR(ISBLANK(M586), M586="", ISBLANK(C586), C586=""), 0, MAX(0, ROUND((C586-M586)*86400, 0))), 0)</f>
        <v/>
      </c>
      <c r="O586" s="14">
        <f>IF(H586="Post-Bill Void", IF(AND(G586="M-904", I586="Cash"), "EXCEPTION: Concurrent Cash Void", IF(AND(I586="Cash", N586&gt;120), "CRITICAL: Delayed Cash Void", IF(N586&gt;120, "EXCEPTION: Delayed Void", "Standard Void"))), IF(H586="Line Item Void", IF(I586="Cash", "EXCEPTION: Cash Line Void", "Standard Line Void"), IF(H586="No-Sale Drawer Opening", "DRAWER OPENING", "Standard Sale")))</f>
        <v/>
      </c>
    </row>
    <row r="587" ht="18" customHeight="1">
      <c r="A587" s="12" t="inlineStr">
        <is>
          <t>EVT-10480</t>
        </is>
      </c>
      <c r="B587" s="12" t="inlineStr">
        <is>
          <t>TX-80480</t>
        </is>
      </c>
      <c r="C587" s="24" t="n">
        <v>46311.45155092593</v>
      </c>
      <c r="D587" s="12" t="inlineStr">
        <is>
          <t>BR-02</t>
        </is>
      </c>
      <c r="E587" s="12" t="inlineStr">
        <is>
          <t>T-02</t>
        </is>
      </c>
      <c r="F587" s="12" t="inlineStr">
        <is>
          <t>C-106</t>
        </is>
      </c>
      <c r="G587" s="12" t="inlineStr">
        <is>
          <t>NONE</t>
        </is>
      </c>
      <c r="H587" s="11" t="inlineStr">
        <is>
          <t>Sale Tender</t>
        </is>
      </c>
      <c r="I587" s="12" t="inlineStr">
        <is>
          <t>Cash</t>
        </is>
      </c>
      <c r="J587" s="20" t="n">
        <v>3</v>
      </c>
      <c r="K587" s="25" t="n">
        <v>41.5</v>
      </c>
      <c r="L587" s="25" t="n">
        <v>41.5</v>
      </c>
      <c r="M587" s="24" t="n">
        <v>46311.45052083334</v>
      </c>
      <c r="N587" s="26">
        <f>IFERROR(IF(OR(ISBLANK(M587), M587="", ISBLANK(C587), C587=""), 0, MAX(0, ROUND((C587-M587)*86400, 0))), 0)</f>
        <v/>
      </c>
      <c r="O587" s="11">
        <f>IF(H587="Post-Bill Void", IF(AND(G587="M-904", I587="Cash"), "EXCEPTION: Concurrent Cash Void", IF(AND(I587="Cash", N587&gt;120), "CRITICAL: Delayed Cash Void", IF(N587&gt;120, "EXCEPTION: Delayed Void", "Standard Void"))), IF(H587="Line Item Void", IF(I587="Cash", "EXCEPTION: Cash Line Void", "Standard Line Void"), IF(H587="No-Sale Drawer Opening", "DRAWER OPENING", "Standard Sale")))</f>
        <v/>
      </c>
    </row>
    <row r="588" ht="18" customHeight="1">
      <c r="A588" s="15" t="inlineStr">
        <is>
          <t>EVT-10481</t>
        </is>
      </c>
      <c r="B588" s="15" t="inlineStr">
        <is>
          <t>TX-80481</t>
        </is>
      </c>
      <c r="C588" s="27" t="n">
        <v>46311.45891203704</v>
      </c>
      <c r="D588" s="15" t="inlineStr">
        <is>
          <t>BR-01</t>
        </is>
      </c>
      <c r="E588" s="15" t="inlineStr">
        <is>
          <t>T-02</t>
        </is>
      </c>
      <c r="F588" s="15" t="inlineStr">
        <is>
          <t>C-104</t>
        </is>
      </c>
      <c r="G588" s="15" t="inlineStr">
        <is>
          <t>NONE</t>
        </is>
      </c>
      <c r="H588" s="14" t="inlineStr">
        <is>
          <t>Sale Tender</t>
        </is>
      </c>
      <c r="I588" s="15" t="inlineStr">
        <is>
          <t>Card</t>
        </is>
      </c>
      <c r="J588" s="17" t="n">
        <v>5</v>
      </c>
      <c r="K588" s="28" t="n">
        <v>44.32</v>
      </c>
      <c r="L588" s="28" t="n">
        <v>44.32</v>
      </c>
      <c r="M588" s="27" t="n">
        <v>46311.45825231481</v>
      </c>
      <c r="N588" s="29">
        <f>IFERROR(IF(OR(ISBLANK(M588), M588="", ISBLANK(C588), C588=""), 0, MAX(0, ROUND((C588-M588)*86400, 0))), 0)</f>
        <v/>
      </c>
      <c r="O588" s="14">
        <f>IF(H588="Post-Bill Void", IF(AND(G588="M-904", I588="Cash"), "EXCEPTION: Concurrent Cash Void", IF(AND(I588="Cash", N588&gt;120), "CRITICAL: Delayed Cash Void", IF(N588&gt;120, "EXCEPTION: Delayed Void", "Standard Void"))), IF(H588="Line Item Void", IF(I588="Cash", "EXCEPTION: Cash Line Void", "Standard Line Void"), IF(H588="No-Sale Drawer Opening", "DRAWER OPENING", "Standard Sale")))</f>
        <v/>
      </c>
    </row>
    <row r="589" ht="18" customHeight="1">
      <c r="A589" s="12" t="inlineStr">
        <is>
          <t>EVT-10482</t>
        </is>
      </c>
      <c r="B589" s="12" t="inlineStr">
        <is>
          <t>TX-80482</t>
        </is>
      </c>
      <c r="C589" s="24" t="n">
        <v>46311.4653125</v>
      </c>
      <c r="D589" s="12" t="inlineStr">
        <is>
          <t>BR-01</t>
        </is>
      </c>
      <c r="E589" s="12" t="inlineStr">
        <is>
          <t>T-01</t>
        </is>
      </c>
      <c r="F589" s="12" t="inlineStr">
        <is>
          <t>C-101</t>
        </is>
      </c>
      <c r="G589" s="12" t="inlineStr">
        <is>
          <t>NONE</t>
        </is>
      </c>
      <c r="H589" s="11" t="inlineStr">
        <is>
          <t>Sale Tender</t>
        </is>
      </c>
      <c r="I589" s="12" t="inlineStr">
        <is>
          <t>Card</t>
        </is>
      </c>
      <c r="J589" s="20" t="n">
        <v>4</v>
      </c>
      <c r="K589" s="25" t="n">
        <v>37.71</v>
      </c>
      <c r="L589" s="25" t="n">
        <v>37.71</v>
      </c>
      <c r="M589" s="24" t="n">
        <v>46311.46486111111</v>
      </c>
      <c r="N589" s="26">
        <f>IFERROR(IF(OR(ISBLANK(M589), M589="", ISBLANK(C589), C589=""), 0, MAX(0, ROUND((C589-M589)*86400, 0))), 0)</f>
        <v/>
      </c>
      <c r="O589" s="11">
        <f>IF(H589="Post-Bill Void", IF(AND(G589="M-904", I589="Cash"), "EXCEPTION: Concurrent Cash Void", IF(AND(I589="Cash", N589&gt;120), "CRITICAL: Delayed Cash Void", IF(N589&gt;120, "EXCEPTION: Delayed Void", "Standard Void"))), IF(H589="Line Item Void", IF(I589="Cash", "EXCEPTION: Cash Line Void", "Standard Line Void"), IF(H589="No-Sale Drawer Opening", "DRAWER OPENING", "Standard Sale")))</f>
        <v/>
      </c>
    </row>
    <row r="590" ht="18" customHeight="1">
      <c r="A590" s="15" t="inlineStr">
        <is>
          <t>EVT-10483</t>
        </is>
      </c>
      <c r="B590" s="15" t="inlineStr">
        <is>
          <t>TX-80483</t>
        </is>
      </c>
      <c r="C590" s="27" t="n">
        <v>46311.4724074074</v>
      </c>
      <c r="D590" s="15" t="inlineStr">
        <is>
          <t>BR-04</t>
        </is>
      </c>
      <c r="E590" s="15" t="inlineStr">
        <is>
          <t>T-01</t>
        </is>
      </c>
      <c r="F590" s="15" t="inlineStr">
        <is>
          <t>C-115</t>
        </is>
      </c>
      <c r="G590" s="15" t="inlineStr">
        <is>
          <t>NONE</t>
        </is>
      </c>
      <c r="H590" s="14" t="inlineStr">
        <is>
          <t>Sale Tender</t>
        </is>
      </c>
      <c r="I590" s="15" t="inlineStr">
        <is>
          <t>Cash</t>
        </is>
      </c>
      <c r="J590" s="17" t="n">
        <v>6</v>
      </c>
      <c r="K590" s="28" t="n">
        <v>55.54</v>
      </c>
      <c r="L590" s="28" t="n">
        <v>55.54</v>
      </c>
      <c r="M590" s="27" t="n">
        <v>46311.47210648148</v>
      </c>
      <c r="N590" s="29">
        <f>IFERROR(IF(OR(ISBLANK(M590), M590="", ISBLANK(C590), C590=""), 0, MAX(0, ROUND((C590-M590)*86400, 0))), 0)</f>
        <v/>
      </c>
      <c r="O590" s="14">
        <f>IF(H590="Post-Bill Void", IF(AND(G590="M-904", I590="Cash"), "EXCEPTION: Concurrent Cash Void", IF(AND(I590="Cash", N590&gt;120), "CRITICAL: Delayed Cash Void", IF(N590&gt;120, "EXCEPTION: Delayed Void", "Standard Void"))), IF(H590="Line Item Void", IF(I590="Cash", "EXCEPTION: Cash Line Void", "Standard Line Void"), IF(H590="No-Sale Drawer Opening", "DRAWER OPENING", "Standard Sale")))</f>
        <v/>
      </c>
    </row>
    <row r="591" ht="18" customHeight="1">
      <c r="A591" s="12" t="inlineStr">
        <is>
          <t>EVT-10484</t>
        </is>
      </c>
      <c r="B591" s="12" t="inlineStr">
        <is>
          <t>TX-80484</t>
        </is>
      </c>
      <c r="C591" s="24" t="n">
        <v>46311.47954861111</v>
      </c>
      <c r="D591" s="12" t="inlineStr">
        <is>
          <t>BR-03</t>
        </is>
      </c>
      <c r="E591" s="12" t="inlineStr">
        <is>
          <t>T-01</t>
        </is>
      </c>
      <c r="F591" s="12" t="inlineStr">
        <is>
          <t>C-110</t>
        </is>
      </c>
      <c r="G591" s="12" t="inlineStr">
        <is>
          <t>NONE</t>
        </is>
      </c>
      <c r="H591" s="11" t="inlineStr">
        <is>
          <t>Sale Tender</t>
        </is>
      </c>
      <c r="I591" s="12" t="inlineStr">
        <is>
          <t>Card</t>
        </is>
      </c>
      <c r="J591" s="20" t="n">
        <v>5</v>
      </c>
      <c r="K591" s="25" t="n">
        <v>46.92</v>
      </c>
      <c r="L591" s="25" t="n">
        <v>46.92</v>
      </c>
      <c r="M591" s="24" t="n">
        <v>46311.47910879629</v>
      </c>
      <c r="N591" s="26">
        <f>IFERROR(IF(OR(ISBLANK(M591), M591="", ISBLANK(C591), C591=""), 0, MAX(0, ROUND((C591-M591)*86400, 0))), 0)</f>
        <v/>
      </c>
      <c r="O591" s="11">
        <f>IF(H591="Post-Bill Void", IF(AND(G591="M-904", I591="Cash"), "EXCEPTION: Concurrent Cash Void", IF(AND(I591="Cash", N591&gt;120), "CRITICAL: Delayed Cash Void", IF(N591&gt;120, "EXCEPTION: Delayed Void", "Standard Void"))), IF(H591="Line Item Void", IF(I591="Cash", "EXCEPTION: Cash Line Void", "Standard Line Void"), IF(H591="No-Sale Drawer Opening", "DRAWER OPENING", "Standard Sale")))</f>
        <v/>
      </c>
    </row>
    <row r="592" ht="18" customHeight="1">
      <c r="A592" s="15" t="inlineStr">
        <is>
          <t>EVT-10485</t>
        </is>
      </c>
      <c r="B592" s="15" t="inlineStr">
        <is>
          <t>TX-80485</t>
        </is>
      </c>
      <c r="C592" s="27" t="n">
        <v>46311.48619212963</v>
      </c>
      <c r="D592" s="15" t="inlineStr">
        <is>
          <t>BR-01</t>
        </is>
      </c>
      <c r="E592" s="15" t="inlineStr">
        <is>
          <t>T-01</t>
        </is>
      </c>
      <c r="F592" s="15" t="inlineStr">
        <is>
          <t>C-104</t>
        </is>
      </c>
      <c r="G592" s="15" t="inlineStr">
        <is>
          <t>NONE</t>
        </is>
      </c>
      <c r="H592" s="14" t="inlineStr">
        <is>
          <t>Sale Tender</t>
        </is>
      </c>
      <c r="I592" s="15" t="inlineStr">
        <is>
          <t>Card</t>
        </is>
      </c>
      <c r="J592" s="17" t="n">
        <v>5</v>
      </c>
      <c r="K592" s="28" t="n">
        <v>78.98999999999999</v>
      </c>
      <c r="L592" s="28" t="n">
        <v>78.98999999999999</v>
      </c>
      <c r="M592" s="27" t="n">
        <v>46311.48561342592</v>
      </c>
      <c r="N592" s="29">
        <f>IFERROR(IF(OR(ISBLANK(M592), M592="", ISBLANK(C592), C592=""), 0, MAX(0, ROUND((C592-M592)*86400, 0))), 0)</f>
        <v/>
      </c>
      <c r="O592" s="14">
        <f>IF(H592="Post-Bill Void", IF(AND(G592="M-904", I592="Cash"), "EXCEPTION: Concurrent Cash Void", IF(AND(I592="Cash", N592&gt;120), "CRITICAL: Delayed Cash Void", IF(N592&gt;120, "EXCEPTION: Delayed Void", "Standard Void"))), IF(H592="Line Item Void", IF(I592="Cash", "EXCEPTION: Cash Line Void", "Standard Line Void"), IF(H592="No-Sale Drawer Opening", "DRAWER OPENING", "Standard Sale")))</f>
        <v/>
      </c>
    </row>
    <row r="593" ht="18" customHeight="1">
      <c r="A593" s="12" t="inlineStr">
        <is>
          <t>EVT-10486</t>
        </is>
      </c>
      <c r="B593" s="12" t="inlineStr">
        <is>
          <t>TX-80486</t>
        </is>
      </c>
      <c r="C593" s="24" t="n">
        <v>46311.49331018519</v>
      </c>
      <c r="D593" s="12" t="inlineStr">
        <is>
          <t>BR-04</t>
        </is>
      </c>
      <c r="E593" s="12" t="inlineStr">
        <is>
          <t>T-01</t>
        </is>
      </c>
      <c r="F593" s="12" t="inlineStr">
        <is>
          <t>C-114</t>
        </is>
      </c>
      <c r="G593" s="12" t="inlineStr">
        <is>
          <t>NONE</t>
        </is>
      </c>
      <c r="H593" s="11" t="inlineStr">
        <is>
          <t>Sale Tender</t>
        </is>
      </c>
      <c r="I593" s="12" t="inlineStr">
        <is>
          <t>Card</t>
        </is>
      </c>
      <c r="J593" s="20" t="n">
        <v>2</v>
      </c>
      <c r="K593" s="25" t="n">
        <v>27.32</v>
      </c>
      <c r="L593" s="25" t="n">
        <v>27.32</v>
      </c>
      <c r="M593" s="24" t="n">
        <v>46311.49221064815</v>
      </c>
      <c r="N593" s="26">
        <f>IFERROR(IF(OR(ISBLANK(M593), M593="", ISBLANK(C593), C593=""), 0, MAX(0, ROUND((C593-M593)*86400, 0))), 0)</f>
        <v/>
      </c>
      <c r="O593" s="11">
        <f>IF(H593="Post-Bill Void", IF(AND(G593="M-904", I593="Cash"), "EXCEPTION: Concurrent Cash Void", IF(AND(I593="Cash", N593&gt;120), "CRITICAL: Delayed Cash Void", IF(N593&gt;120, "EXCEPTION: Delayed Void", "Standard Void"))), IF(H593="Line Item Void", IF(I593="Cash", "EXCEPTION: Cash Line Void", "Standard Line Void"), IF(H593="No-Sale Drawer Opening", "DRAWER OPENING", "Standard Sale")))</f>
        <v/>
      </c>
    </row>
    <row r="594" ht="18" customHeight="1">
      <c r="A594" s="15" t="inlineStr">
        <is>
          <t>EVT-10487</t>
        </is>
      </c>
      <c r="B594" s="15" t="inlineStr">
        <is>
          <t>TX-80487</t>
        </is>
      </c>
      <c r="C594" s="27" t="n">
        <v>46311.50034722222</v>
      </c>
      <c r="D594" s="15" t="inlineStr">
        <is>
          <t>BR-03</t>
        </is>
      </c>
      <c r="E594" s="15" t="inlineStr">
        <is>
          <t>T-01</t>
        </is>
      </c>
      <c r="F594" s="15" t="inlineStr">
        <is>
          <t>C-110</t>
        </is>
      </c>
      <c r="G594" s="15" t="inlineStr">
        <is>
          <t>NONE</t>
        </is>
      </c>
      <c r="H594" s="14" t="inlineStr">
        <is>
          <t>Sale Tender</t>
        </is>
      </c>
      <c r="I594" s="15" t="inlineStr">
        <is>
          <t>Delivery Aggregator</t>
        </is>
      </c>
      <c r="J594" s="17" t="n">
        <v>5</v>
      </c>
      <c r="K594" s="28" t="n">
        <v>67.59</v>
      </c>
      <c r="L594" s="28" t="n">
        <v>67.59</v>
      </c>
      <c r="M594" s="27" t="n">
        <v>46311.49993055555</v>
      </c>
      <c r="N594" s="29">
        <f>IFERROR(IF(OR(ISBLANK(M594), M594="", ISBLANK(C594), C594=""), 0, MAX(0, ROUND((C594-M594)*86400, 0))), 0)</f>
        <v/>
      </c>
      <c r="O594" s="14">
        <f>IF(H594="Post-Bill Void", IF(AND(G594="M-904", I594="Cash"), "EXCEPTION: Concurrent Cash Void", IF(AND(I594="Cash", N594&gt;120), "CRITICAL: Delayed Cash Void", IF(N594&gt;120, "EXCEPTION: Delayed Void", "Standard Void"))), IF(H594="Line Item Void", IF(I594="Cash", "EXCEPTION: Cash Line Void", "Standard Line Void"), IF(H594="No-Sale Drawer Opening", "DRAWER OPENING", "Standard Sale")))</f>
        <v/>
      </c>
    </row>
    <row r="595" ht="18" customHeight="1">
      <c r="A595" s="12" t="inlineStr">
        <is>
          <t>EVT-10488</t>
        </is>
      </c>
      <c r="B595" s="12" t="inlineStr">
        <is>
          <t>TX-80488</t>
        </is>
      </c>
      <c r="C595" s="24" t="n">
        <v>46311.50704861111</v>
      </c>
      <c r="D595" s="12" t="inlineStr">
        <is>
          <t>BR-01</t>
        </is>
      </c>
      <c r="E595" s="12" t="inlineStr">
        <is>
          <t>T-02</t>
        </is>
      </c>
      <c r="F595" s="12" t="inlineStr">
        <is>
          <t>C-101</t>
        </is>
      </c>
      <c r="G595" s="12" t="inlineStr">
        <is>
          <t>NONE</t>
        </is>
      </c>
      <c r="H595" s="11" t="inlineStr">
        <is>
          <t>Sale Tender</t>
        </is>
      </c>
      <c r="I595" s="12" t="inlineStr">
        <is>
          <t>Delivery Aggregator</t>
        </is>
      </c>
      <c r="J595" s="20" t="n">
        <v>6</v>
      </c>
      <c r="K595" s="25" t="n">
        <v>61.4</v>
      </c>
      <c r="L595" s="25" t="n">
        <v>61.4</v>
      </c>
      <c r="M595" s="24" t="n">
        <v>46311.50662037037</v>
      </c>
      <c r="N595" s="26">
        <f>IFERROR(IF(OR(ISBLANK(M595), M595="", ISBLANK(C595), C595=""), 0, MAX(0, ROUND((C595-M595)*86400, 0))), 0)</f>
        <v/>
      </c>
      <c r="O595" s="11">
        <f>IF(H595="Post-Bill Void", IF(AND(G595="M-904", I595="Cash"), "EXCEPTION: Concurrent Cash Void", IF(AND(I595="Cash", N595&gt;120), "CRITICAL: Delayed Cash Void", IF(N595&gt;120, "EXCEPTION: Delayed Void", "Standard Void"))), IF(H595="Line Item Void", IF(I595="Cash", "EXCEPTION: Cash Line Void", "Standard Line Void"), IF(H595="No-Sale Drawer Opening", "DRAWER OPENING", "Standard Sale")))</f>
        <v/>
      </c>
    </row>
    <row r="596" ht="18" customHeight="1">
      <c r="A596" s="15" t="inlineStr">
        <is>
          <t>EVT-10489</t>
        </is>
      </c>
      <c r="B596" s="15" t="inlineStr">
        <is>
          <t>TX-80489</t>
        </is>
      </c>
      <c r="C596" s="27" t="n">
        <v>46311.51409722222</v>
      </c>
      <c r="D596" s="15" t="inlineStr">
        <is>
          <t>BR-03</t>
        </is>
      </c>
      <c r="E596" s="15" t="inlineStr">
        <is>
          <t>T-01</t>
        </is>
      </c>
      <c r="F596" s="15" t="inlineStr">
        <is>
          <t>C-112</t>
        </is>
      </c>
      <c r="G596" s="15" t="inlineStr">
        <is>
          <t>NONE</t>
        </is>
      </c>
      <c r="H596" s="14" t="inlineStr">
        <is>
          <t>Sale Tender</t>
        </is>
      </c>
      <c r="I596" s="15" t="inlineStr">
        <is>
          <t>Delivery Aggregator</t>
        </is>
      </c>
      <c r="J596" s="17" t="n">
        <v>3</v>
      </c>
      <c r="K596" s="28" t="n">
        <v>33.6</v>
      </c>
      <c r="L596" s="28" t="n">
        <v>33.6</v>
      </c>
      <c r="M596" s="27" t="n">
        <v>46311.51355324074</v>
      </c>
      <c r="N596" s="29">
        <f>IFERROR(IF(OR(ISBLANK(M596), M596="", ISBLANK(C596), C596=""), 0, MAX(0, ROUND((C596-M596)*86400, 0))), 0)</f>
        <v/>
      </c>
      <c r="O596" s="14">
        <f>IF(H596="Post-Bill Void", IF(AND(G596="M-904", I596="Cash"), "EXCEPTION: Concurrent Cash Void", IF(AND(I596="Cash", N596&gt;120), "CRITICAL: Delayed Cash Void", IF(N596&gt;120, "EXCEPTION: Delayed Void", "Standard Void"))), IF(H596="Line Item Void", IF(I596="Cash", "EXCEPTION: Cash Line Void", "Standard Line Void"), IF(H596="No-Sale Drawer Opening", "DRAWER OPENING", "Standard Sale")))</f>
        <v/>
      </c>
    </row>
    <row r="597" ht="18" customHeight="1">
      <c r="A597" s="12" t="inlineStr">
        <is>
          <t>EVT-10490</t>
        </is>
      </c>
      <c r="B597" s="12" t="inlineStr">
        <is>
          <t>TX-80490</t>
        </is>
      </c>
      <c r="C597" s="24" t="n">
        <v>46311.52133101852</v>
      </c>
      <c r="D597" s="12" t="inlineStr">
        <is>
          <t>BR-03</t>
        </is>
      </c>
      <c r="E597" s="12" t="inlineStr">
        <is>
          <t>T-02</t>
        </is>
      </c>
      <c r="F597" s="12" t="inlineStr">
        <is>
          <t>C-112</t>
        </is>
      </c>
      <c r="G597" s="12" t="inlineStr">
        <is>
          <t>NONE</t>
        </is>
      </c>
      <c r="H597" s="11" t="inlineStr">
        <is>
          <t>Sale Tender</t>
        </is>
      </c>
      <c r="I597" s="12" t="inlineStr">
        <is>
          <t>Delivery Aggregator</t>
        </is>
      </c>
      <c r="J597" s="20" t="n">
        <v>1</v>
      </c>
      <c r="K597" s="25" t="n">
        <v>8.57</v>
      </c>
      <c r="L597" s="25" t="n">
        <v>8.57</v>
      </c>
      <c r="M597" s="24" t="n">
        <v>46311.52090277777</v>
      </c>
      <c r="N597" s="26">
        <f>IFERROR(IF(OR(ISBLANK(M597), M597="", ISBLANK(C597), C597=""), 0, MAX(0, ROUND((C597-M597)*86400, 0))), 0)</f>
        <v/>
      </c>
      <c r="O597" s="11">
        <f>IF(H597="Post-Bill Void", IF(AND(G597="M-904", I597="Cash"), "EXCEPTION: Concurrent Cash Void", IF(AND(I597="Cash", N597&gt;120), "CRITICAL: Delayed Cash Void", IF(N597&gt;120, "EXCEPTION: Delayed Void", "Standard Void"))), IF(H597="Line Item Void", IF(I597="Cash", "EXCEPTION: Cash Line Void", "Standard Line Void"), IF(H597="No-Sale Drawer Opening", "DRAWER OPENING", "Standard Sale")))</f>
        <v/>
      </c>
    </row>
    <row r="598" ht="18" customHeight="1">
      <c r="A598" s="15" t="inlineStr">
        <is>
          <t>EVT-10491</t>
        </is>
      </c>
      <c r="B598" s="15" t="inlineStr">
        <is>
          <t>TX-80491</t>
        </is>
      </c>
      <c r="C598" s="27" t="n">
        <v>46311.52787037037</v>
      </c>
      <c r="D598" s="15" t="inlineStr">
        <is>
          <t>BR-02</t>
        </is>
      </c>
      <c r="E598" s="15" t="inlineStr">
        <is>
          <t>T-01</t>
        </is>
      </c>
      <c r="F598" s="15" t="inlineStr">
        <is>
          <t>C-107</t>
        </is>
      </c>
      <c r="G598" s="15" t="inlineStr">
        <is>
          <t>NONE</t>
        </is>
      </c>
      <c r="H598" s="14" t="inlineStr">
        <is>
          <t>Sale Tender</t>
        </is>
      </c>
      <c r="I598" s="15" t="inlineStr">
        <is>
          <t>Delivery Aggregator</t>
        </is>
      </c>
      <c r="J598" s="17" t="n">
        <v>3</v>
      </c>
      <c r="K598" s="28" t="n">
        <v>45.27</v>
      </c>
      <c r="L598" s="28" t="n">
        <v>45.27</v>
      </c>
      <c r="M598" s="27" t="n">
        <v>46311.52693287037</v>
      </c>
      <c r="N598" s="29">
        <f>IFERROR(IF(OR(ISBLANK(M598), M598="", ISBLANK(C598), C598=""), 0, MAX(0, ROUND((C598-M598)*86400, 0))), 0)</f>
        <v/>
      </c>
      <c r="O598" s="14">
        <f>IF(H598="Post-Bill Void", IF(AND(G598="M-904", I598="Cash"), "EXCEPTION: Concurrent Cash Void", IF(AND(I598="Cash", N598&gt;120), "CRITICAL: Delayed Cash Void", IF(N598&gt;120, "EXCEPTION: Delayed Void", "Standard Void"))), IF(H598="Line Item Void", IF(I598="Cash", "EXCEPTION: Cash Line Void", "Standard Line Void"), IF(H598="No-Sale Drawer Opening", "DRAWER OPENING", "Standard Sale")))</f>
        <v/>
      </c>
    </row>
    <row r="599" ht="18" customHeight="1">
      <c r="A599" s="12" t="inlineStr">
        <is>
          <t>EVT-10492</t>
        </is>
      </c>
      <c r="B599" s="12" t="inlineStr">
        <is>
          <t>TX-80492</t>
        </is>
      </c>
      <c r="C599" s="24" t="n">
        <v>46311.5347800926</v>
      </c>
      <c r="D599" s="12" t="inlineStr">
        <is>
          <t>BR-03</t>
        </is>
      </c>
      <c r="E599" s="12" t="inlineStr">
        <is>
          <t>T-01</t>
        </is>
      </c>
      <c r="F599" s="12" t="inlineStr">
        <is>
          <t>C-111</t>
        </is>
      </c>
      <c r="G599" s="12" t="inlineStr">
        <is>
          <t>NONE</t>
        </is>
      </c>
      <c r="H599" s="11" t="inlineStr">
        <is>
          <t>Sale Tender</t>
        </is>
      </c>
      <c r="I599" s="12" t="inlineStr">
        <is>
          <t>Card</t>
        </is>
      </c>
      <c r="J599" s="20" t="n">
        <v>4</v>
      </c>
      <c r="K599" s="25" t="n">
        <v>42.15</v>
      </c>
      <c r="L599" s="25" t="n">
        <v>42.15</v>
      </c>
      <c r="M599" s="24" t="n">
        <v>46311.53390046296</v>
      </c>
      <c r="N599" s="26">
        <f>IFERROR(IF(OR(ISBLANK(M599), M599="", ISBLANK(C599), C599=""), 0, MAX(0, ROUND((C599-M599)*86400, 0))), 0)</f>
        <v/>
      </c>
      <c r="O599" s="11">
        <f>IF(H599="Post-Bill Void", IF(AND(G599="M-904", I599="Cash"), "EXCEPTION: Concurrent Cash Void", IF(AND(I599="Cash", N599&gt;120), "CRITICAL: Delayed Cash Void", IF(N599&gt;120, "EXCEPTION: Delayed Void", "Standard Void"))), IF(H599="Line Item Void", IF(I599="Cash", "EXCEPTION: Cash Line Void", "Standard Line Void"), IF(H599="No-Sale Drawer Opening", "DRAWER OPENING", "Standard Sale")))</f>
        <v/>
      </c>
    </row>
    <row r="600" ht="18" customHeight="1">
      <c r="A600" s="15" t="inlineStr">
        <is>
          <t>EVT-10493</t>
        </is>
      </c>
      <c r="B600" s="15" t="inlineStr">
        <is>
          <t>TX-80493</t>
        </is>
      </c>
      <c r="C600" s="27" t="n">
        <v>46311.54194444444</v>
      </c>
      <c r="D600" s="15" t="inlineStr">
        <is>
          <t>BR-04</t>
        </is>
      </c>
      <c r="E600" s="15" t="inlineStr">
        <is>
          <t>T-02</t>
        </is>
      </c>
      <c r="F600" s="15" t="inlineStr">
        <is>
          <t>C-114</t>
        </is>
      </c>
      <c r="G600" s="15" t="inlineStr">
        <is>
          <t>NONE</t>
        </is>
      </c>
      <c r="H600" s="14" t="inlineStr">
        <is>
          <t>Sale Tender</t>
        </is>
      </c>
      <c r="I600" s="15" t="inlineStr">
        <is>
          <t>Cash</t>
        </is>
      </c>
      <c r="J600" s="17" t="n">
        <v>6</v>
      </c>
      <c r="K600" s="28" t="n">
        <v>83.69</v>
      </c>
      <c r="L600" s="28" t="n">
        <v>83.69</v>
      </c>
      <c r="M600" s="27" t="n">
        <v>46311.54141203704</v>
      </c>
      <c r="N600" s="29">
        <f>IFERROR(IF(OR(ISBLANK(M600), M600="", ISBLANK(C600), C600=""), 0, MAX(0, ROUND((C600-M600)*86400, 0))), 0)</f>
        <v/>
      </c>
      <c r="O600" s="14">
        <f>IF(H600="Post-Bill Void", IF(AND(G600="M-904", I600="Cash"), "EXCEPTION: Concurrent Cash Void", IF(AND(I600="Cash", N600&gt;120), "CRITICAL: Delayed Cash Void", IF(N600&gt;120, "EXCEPTION: Delayed Void", "Standard Void"))), IF(H600="Line Item Void", IF(I600="Cash", "EXCEPTION: Cash Line Void", "Standard Line Void"), IF(H600="No-Sale Drawer Opening", "DRAWER OPENING", "Standard Sale")))</f>
        <v/>
      </c>
    </row>
    <row r="601" ht="18" customHeight="1">
      <c r="A601" s="12" t="inlineStr">
        <is>
          <t>EVT-10494</t>
        </is>
      </c>
      <c r="B601" s="12" t="inlineStr">
        <is>
          <t>TX-80494</t>
        </is>
      </c>
      <c r="C601" s="24" t="n">
        <v>46311.54923611111</v>
      </c>
      <c r="D601" s="12" t="inlineStr">
        <is>
          <t>BR-02</t>
        </is>
      </c>
      <c r="E601" s="12" t="inlineStr">
        <is>
          <t>T-01</t>
        </is>
      </c>
      <c r="F601" s="12" t="inlineStr">
        <is>
          <t>C-105</t>
        </is>
      </c>
      <c r="G601" s="12" t="inlineStr">
        <is>
          <t>NONE</t>
        </is>
      </c>
      <c r="H601" s="11" t="inlineStr">
        <is>
          <t>Sale Tender</t>
        </is>
      </c>
      <c r="I601" s="12" t="inlineStr">
        <is>
          <t>Card</t>
        </is>
      </c>
      <c r="J601" s="20" t="n">
        <v>6</v>
      </c>
      <c r="K601" s="25" t="n">
        <v>70.72</v>
      </c>
      <c r="L601" s="25" t="n">
        <v>70.72</v>
      </c>
      <c r="M601" s="24" t="n">
        <v>46311.54824074074</v>
      </c>
      <c r="N601" s="26">
        <f>IFERROR(IF(OR(ISBLANK(M601), M601="", ISBLANK(C601), C601=""), 0, MAX(0, ROUND((C601-M601)*86400, 0))), 0)</f>
        <v/>
      </c>
      <c r="O601" s="11">
        <f>IF(H601="Post-Bill Void", IF(AND(G601="M-904", I601="Cash"), "EXCEPTION: Concurrent Cash Void", IF(AND(I601="Cash", N601&gt;120), "CRITICAL: Delayed Cash Void", IF(N601&gt;120, "EXCEPTION: Delayed Void", "Standard Void"))), IF(H601="Line Item Void", IF(I601="Cash", "EXCEPTION: Cash Line Void", "Standard Line Void"), IF(H601="No-Sale Drawer Opening", "DRAWER OPENING", "Standard Sale")))</f>
        <v/>
      </c>
    </row>
    <row r="602" ht="18" customHeight="1">
      <c r="A602" s="15" t="inlineStr">
        <is>
          <t>EVT-10495</t>
        </is>
      </c>
      <c r="B602" s="15" t="inlineStr">
        <is>
          <t>TX-80495</t>
        </is>
      </c>
      <c r="C602" s="27" t="n">
        <v>46311.55600694445</v>
      </c>
      <c r="D602" s="15" t="inlineStr">
        <is>
          <t>BR-04</t>
        </is>
      </c>
      <c r="E602" s="15" t="inlineStr">
        <is>
          <t>T-02</t>
        </is>
      </c>
      <c r="F602" s="15" t="inlineStr">
        <is>
          <t>C-114</t>
        </is>
      </c>
      <c r="G602" s="15" t="inlineStr">
        <is>
          <t>NONE</t>
        </is>
      </c>
      <c r="H602" s="14" t="inlineStr">
        <is>
          <t>Sale Tender</t>
        </is>
      </c>
      <c r="I602" s="15" t="inlineStr">
        <is>
          <t>Card</t>
        </is>
      </c>
      <c r="J602" s="17" t="n">
        <v>4</v>
      </c>
      <c r="K602" s="28" t="n">
        <v>37.39</v>
      </c>
      <c r="L602" s="28" t="n">
        <v>37.39</v>
      </c>
      <c r="M602" s="27" t="n">
        <v>46311.55553240741</v>
      </c>
      <c r="N602" s="29">
        <f>IFERROR(IF(OR(ISBLANK(M602), M602="", ISBLANK(C602), C602=""), 0, MAX(0, ROUND((C602-M602)*86400, 0))), 0)</f>
        <v/>
      </c>
      <c r="O602" s="14">
        <f>IF(H602="Post-Bill Void", IF(AND(G602="M-904", I602="Cash"), "EXCEPTION: Concurrent Cash Void", IF(AND(I602="Cash", N602&gt;120), "CRITICAL: Delayed Cash Void", IF(N602&gt;120, "EXCEPTION: Delayed Void", "Standard Void"))), IF(H602="Line Item Void", IF(I602="Cash", "EXCEPTION: Cash Line Void", "Standard Line Void"), IF(H602="No-Sale Drawer Opening", "DRAWER OPENING", "Standard Sale")))</f>
        <v/>
      </c>
    </row>
    <row r="603" ht="18" customHeight="1">
      <c r="A603" s="12" t="inlineStr">
        <is>
          <t>EVT-10496</t>
        </is>
      </c>
      <c r="B603" s="12" t="inlineStr">
        <is>
          <t>TX-80496</t>
        </is>
      </c>
      <c r="C603" s="24" t="n">
        <v>46311.56280092592</v>
      </c>
      <c r="D603" s="12" t="inlineStr">
        <is>
          <t>BR-04</t>
        </is>
      </c>
      <c r="E603" s="12" t="inlineStr">
        <is>
          <t>T-01</t>
        </is>
      </c>
      <c r="F603" s="12" t="inlineStr">
        <is>
          <t>C-113</t>
        </is>
      </c>
      <c r="G603" s="12" t="inlineStr">
        <is>
          <t>NONE</t>
        </is>
      </c>
      <c r="H603" s="11" t="inlineStr">
        <is>
          <t>Sale Tender</t>
        </is>
      </c>
      <c r="I603" s="12" t="inlineStr">
        <is>
          <t>Cash</t>
        </is>
      </c>
      <c r="J603" s="20" t="n">
        <v>6</v>
      </c>
      <c r="K603" s="25" t="n">
        <v>74.62</v>
      </c>
      <c r="L603" s="25" t="n">
        <v>74.62</v>
      </c>
      <c r="M603" s="24" t="n">
        <v>46311.56204861111</v>
      </c>
      <c r="N603" s="26">
        <f>IFERROR(IF(OR(ISBLANK(M603), M603="", ISBLANK(C603), C603=""), 0, MAX(0, ROUND((C603-M603)*86400, 0))), 0)</f>
        <v/>
      </c>
      <c r="O603" s="11">
        <f>IF(H603="Post-Bill Void", IF(AND(G603="M-904", I603="Cash"), "EXCEPTION: Concurrent Cash Void", IF(AND(I603="Cash", N603&gt;120), "CRITICAL: Delayed Cash Void", IF(N603&gt;120, "EXCEPTION: Delayed Void", "Standard Void"))), IF(H603="Line Item Void", IF(I603="Cash", "EXCEPTION: Cash Line Void", "Standard Line Void"), IF(H603="No-Sale Drawer Opening", "DRAWER OPENING", "Standard Sale")))</f>
        <v/>
      </c>
    </row>
    <row r="604" ht="18" customHeight="1">
      <c r="A604" s="15" t="inlineStr">
        <is>
          <t>EVT-10497</t>
        </is>
      </c>
      <c r="B604" s="15" t="inlineStr">
        <is>
          <t>TX-80497</t>
        </is>
      </c>
      <c r="C604" s="27" t="n">
        <v>46311.56998842592</v>
      </c>
      <c r="D604" s="15" t="inlineStr">
        <is>
          <t>BR-02</t>
        </is>
      </c>
      <c r="E604" s="15" t="inlineStr">
        <is>
          <t>T-01</t>
        </is>
      </c>
      <c r="F604" s="15" t="inlineStr">
        <is>
          <t>C-107</t>
        </is>
      </c>
      <c r="G604" s="15" t="inlineStr">
        <is>
          <t>NONE</t>
        </is>
      </c>
      <c r="H604" s="14" t="inlineStr">
        <is>
          <t>Sale Tender</t>
        </is>
      </c>
      <c r="I604" s="15" t="inlineStr">
        <is>
          <t>Card</t>
        </is>
      </c>
      <c r="J604" s="17" t="n">
        <v>6</v>
      </c>
      <c r="K604" s="28" t="n">
        <v>62.19</v>
      </c>
      <c r="L604" s="28" t="n">
        <v>62.19</v>
      </c>
      <c r="M604" s="27" t="n">
        <v>46311.56956018518</v>
      </c>
      <c r="N604" s="29">
        <f>IFERROR(IF(OR(ISBLANK(M604), M604="", ISBLANK(C604), C604=""), 0, MAX(0, ROUND((C604-M604)*86400, 0))), 0)</f>
        <v/>
      </c>
      <c r="O604" s="14">
        <f>IF(H604="Post-Bill Void", IF(AND(G604="M-904", I604="Cash"), "EXCEPTION: Concurrent Cash Void", IF(AND(I604="Cash", N604&gt;120), "CRITICAL: Delayed Cash Void", IF(N604&gt;120, "EXCEPTION: Delayed Void", "Standard Void"))), IF(H604="Line Item Void", IF(I604="Cash", "EXCEPTION: Cash Line Void", "Standard Line Void"), IF(H604="No-Sale Drawer Opening", "DRAWER OPENING", "Standard Sale")))</f>
        <v/>
      </c>
    </row>
    <row r="605" ht="18" customHeight="1">
      <c r="A605" s="12" t="inlineStr">
        <is>
          <t>EVT-10498</t>
        </is>
      </c>
      <c r="B605" s="12" t="inlineStr">
        <is>
          <t>TX-80498</t>
        </is>
      </c>
      <c r="C605" s="24" t="n">
        <v>46311.57664351852</v>
      </c>
      <c r="D605" s="12" t="inlineStr">
        <is>
          <t>BR-04</t>
        </is>
      </c>
      <c r="E605" s="12" t="inlineStr">
        <is>
          <t>T-02</t>
        </is>
      </c>
      <c r="F605" s="12" t="inlineStr">
        <is>
          <t>C-113</t>
        </is>
      </c>
      <c r="G605" s="12" t="inlineStr">
        <is>
          <t>NONE</t>
        </is>
      </c>
      <c r="H605" s="11" t="inlineStr">
        <is>
          <t>Sale Tender</t>
        </is>
      </c>
      <c r="I605" s="12" t="inlineStr">
        <is>
          <t>Cash</t>
        </is>
      </c>
      <c r="J605" s="20" t="n">
        <v>2</v>
      </c>
      <c r="K605" s="25" t="n">
        <v>24.58</v>
      </c>
      <c r="L605" s="25" t="n">
        <v>24.58</v>
      </c>
      <c r="M605" s="24" t="n">
        <v>46311.57628472222</v>
      </c>
      <c r="N605" s="26">
        <f>IFERROR(IF(OR(ISBLANK(M605), M605="", ISBLANK(C605), C605=""), 0, MAX(0, ROUND((C605-M605)*86400, 0))), 0)</f>
        <v/>
      </c>
      <c r="O605" s="11">
        <f>IF(H605="Post-Bill Void", IF(AND(G605="M-904", I605="Cash"), "EXCEPTION: Concurrent Cash Void", IF(AND(I605="Cash", N605&gt;120), "CRITICAL: Delayed Cash Void", IF(N605&gt;120, "EXCEPTION: Delayed Void", "Standard Void"))), IF(H605="Line Item Void", IF(I605="Cash", "EXCEPTION: Cash Line Void", "Standard Line Void"), IF(H605="No-Sale Drawer Opening", "DRAWER OPENING", "Standard Sale")))</f>
        <v/>
      </c>
    </row>
    <row r="606" ht="18" customHeight="1">
      <c r="A606" s="15" t="inlineStr">
        <is>
          <t>EVT-10499</t>
        </is>
      </c>
      <c r="B606" s="15" t="inlineStr">
        <is>
          <t>TX-80499</t>
        </is>
      </c>
      <c r="C606" s="27" t="n">
        <v>46311.58368055556</v>
      </c>
      <c r="D606" s="15" t="inlineStr">
        <is>
          <t>BR-04</t>
        </is>
      </c>
      <c r="E606" s="15" t="inlineStr">
        <is>
          <t>T-01</t>
        </is>
      </c>
      <c r="F606" s="15" t="inlineStr">
        <is>
          <t>C-113</t>
        </is>
      </c>
      <c r="G606" s="15" t="inlineStr">
        <is>
          <t>NONE</t>
        </is>
      </c>
      <c r="H606" s="14" t="inlineStr">
        <is>
          <t>Sale Tender</t>
        </is>
      </c>
      <c r="I606" s="15" t="inlineStr">
        <is>
          <t>Cash</t>
        </is>
      </c>
      <c r="J606" s="17" t="n">
        <v>3</v>
      </c>
      <c r="K606" s="28" t="n">
        <v>47.33</v>
      </c>
      <c r="L606" s="28" t="n">
        <v>47.33</v>
      </c>
      <c r="M606" s="27" t="n">
        <v>46311.58267361111</v>
      </c>
      <c r="N606" s="29">
        <f>IFERROR(IF(OR(ISBLANK(M606), M606="", ISBLANK(C606), C606=""), 0, MAX(0, ROUND((C606-M606)*86400, 0))), 0)</f>
        <v/>
      </c>
      <c r="O606" s="14">
        <f>IF(H606="Post-Bill Void", IF(AND(G606="M-904", I606="Cash"), "EXCEPTION: Concurrent Cash Void", IF(AND(I606="Cash", N606&gt;120), "CRITICAL: Delayed Cash Void", IF(N606&gt;120, "EXCEPTION: Delayed Void", "Standard Void"))), IF(H606="Line Item Void", IF(I606="Cash", "EXCEPTION: Cash Line Void", "Standard Line Void"), IF(H606="No-Sale Drawer Opening", "DRAWER OPENING", "Standard Sale")))</f>
        <v/>
      </c>
    </row>
    <row r="607" ht="18" customHeight="1">
      <c r="A607" s="12" t="inlineStr">
        <is>
          <t>EVT-10500</t>
        </is>
      </c>
      <c r="B607" s="12" t="inlineStr">
        <is>
          <t>TX-80500</t>
        </is>
      </c>
      <c r="C607" s="24" t="n">
        <v>46311.5903125</v>
      </c>
      <c r="D607" s="12" t="inlineStr">
        <is>
          <t>BR-02</t>
        </is>
      </c>
      <c r="E607" s="12" t="inlineStr">
        <is>
          <t>T-01</t>
        </is>
      </c>
      <c r="F607" s="12" t="inlineStr">
        <is>
          <t>C-108</t>
        </is>
      </c>
      <c r="G607" s="12" t="inlineStr">
        <is>
          <t>NONE</t>
        </is>
      </c>
      <c r="H607" s="11" t="inlineStr">
        <is>
          <t>Sale Tender</t>
        </is>
      </c>
      <c r="I607" s="12" t="inlineStr">
        <is>
          <t>Cash</t>
        </is>
      </c>
      <c r="J607" s="20" t="n">
        <v>4</v>
      </c>
      <c r="K607" s="25" t="n">
        <v>58.04</v>
      </c>
      <c r="L607" s="25" t="n">
        <v>58.04</v>
      </c>
      <c r="M607" s="24" t="n">
        <v>46311.58967592593</v>
      </c>
      <c r="N607" s="26">
        <f>IFERROR(IF(OR(ISBLANK(M607), M607="", ISBLANK(C607), C607=""), 0, MAX(0, ROUND((C607-M607)*86400, 0))), 0)</f>
        <v/>
      </c>
      <c r="O607" s="11">
        <f>IF(H607="Post-Bill Void", IF(AND(G607="M-904", I607="Cash"), "EXCEPTION: Concurrent Cash Void", IF(AND(I607="Cash", N607&gt;120), "CRITICAL: Delayed Cash Void", IF(N607&gt;120, "EXCEPTION: Delayed Void", "Standard Void"))), IF(H607="Line Item Void", IF(I607="Cash", "EXCEPTION: Cash Line Void", "Standard Line Void"), IF(H607="No-Sale Drawer Opening", "DRAWER OPENING", "Standard Sale")))</f>
        <v/>
      </c>
    </row>
    <row r="608" ht="18" customHeight="1">
      <c r="A608" s="15" t="inlineStr">
        <is>
          <t>EVT-10501</t>
        </is>
      </c>
      <c r="B608" s="15" t="inlineStr">
        <is>
          <t>TX-80501</t>
        </is>
      </c>
      <c r="C608" s="27" t="n">
        <v>46311.5975462963</v>
      </c>
      <c r="D608" s="15" t="inlineStr">
        <is>
          <t>BR-01</t>
        </is>
      </c>
      <c r="E608" s="15" t="inlineStr">
        <is>
          <t>T-01</t>
        </is>
      </c>
      <c r="F608" s="15" t="inlineStr">
        <is>
          <t>C-104</t>
        </is>
      </c>
      <c r="G608" s="15" t="inlineStr">
        <is>
          <t>NONE</t>
        </is>
      </c>
      <c r="H608" s="14" t="inlineStr">
        <is>
          <t>Sale Tender</t>
        </is>
      </c>
      <c r="I608" s="15" t="inlineStr">
        <is>
          <t>Delivery Aggregator</t>
        </is>
      </c>
      <c r="J608" s="17" t="n">
        <v>6</v>
      </c>
      <c r="K608" s="28" t="n">
        <v>80.40000000000001</v>
      </c>
      <c r="L608" s="28" t="n">
        <v>80.40000000000001</v>
      </c>
      <c r="M608" s="27" t="n">
        <v>46311.59708333333</v>
      </c>
      <c r="N608" s="29">
        <f>IFERROR(IF(OR(ISBLANK(M608), M608="", ISBLANK(C608), C608=""), 0, MAX(0, ROUND((C608-M608)*86400, 0))), 0)</f>
        <v/>
      </c>
      <c r="O608" s="14">
        <f>IF(H608="Post-Bill Void", IF(AND(G608="M-904", I608="Cash"), "EXCEPTION: Concurrent Cash Void", IF(AND(I608="Cash", N608&gt;120), "CRITICAL: Delayed Cash Void", IF(N608&gt;120, "EXCEPTION: Delayed Void", "Standard Void"))), IF(H608="Line Item Void", IF(I608="Cash", "EXCEPTION: Cash Line Void", "Standard Line Void"), IF(H608="No-Sale Drawer Opening", "DRAWER OPENING", "Standard Sale")))</f>
        <v/>
      </c>
    </row>
    <row r="609" ht="18" customHeight="1">
      <c r="A609" s="12" t="inlineStr">
        <is>
          <t>EVT-10502</t>
        </is>
      </c>
      <c r="B609" s="12" t="inlineStr">
        <is>
          <t>TX-80502</t>
        </is>
      </c>
      <c r="C609" s="24" t="n">
        <v>46311.60423611111</v>
      </c>
      <c r="D609" s="12" t="inlineStr">
        <is>
          <t>BR-04</t>
        </is>
      </c>
      <c r="E609" s="12" t="inlineStr">
        <is>
          <t>T-01</t>
        </is>
      </c>
      <c r="F609" s="12" t="inlineStr">
        <is>
          <t>C-114</t>
        </is>
      </c>
      <c r="G609" s="12" t="inlineStr">
        <is>
          <t>NONE</t>
        </is>
      </c>
      <c r="H609" s="11" t="inlineStr">
        <is>
          <t>Sale Tender</t>
        </is>
      </c>
      <c r="I609" s="12" t="inlineStr">
        <is>
          <t>Cash</t>
        </is>
      </c>
      <c r="J609" s="20" t="n">
        <v>1</v>
      </c>
      <c r="K609" s="25" t="n">
        <v>14.44</v>
      </c>
      <c r="L609" s="25" t="n">
        <v>14.44</v>
      </c>
      <c r="M609" s="24" t="n">
        <v>46311.60313657407</v>
      </c>
      <c r="N609" s="26">
        <f>IFERROR(IF(OR(ISBLANK(M609), M609="", ISBLANK(C609), C609=""), 0, MAX(0, ROUND((C609-M609)*86400, 0))), 0)</f>
        <v/>
      </c>
      <c r="O609" s="11">
        <f>IF(H609="Post-Bill Void", IF(AND(G609="M-904", I609="Cash"), "EXCEPTION: Concurrent Cash Void", IF(AND(I609="Cash", N609&gt;120), "CRITICAL: Delayed Cash Void", IF(N609&gt;120, "EXCEPTION: Delayed Void", "Standard Void"))), IF(H609="Line Item Void", IF(I609="Cash", "EXCEPTION: Cash Line Void", "Standard Line Void"), IF(H609="No-Sale Drawer Opening", "DRAWER OPENING", "Standard Sale")))</f>
        <v/>
      </c>
    </row>
    <row r="610" ht="18" customHeight="1">
      <c r="A610" s="15" t="inlineStr">
        <is>
          <t>EVT-10503</t>
        </is>
      </c>
      <c r="B610" s="15" t="inlineStr">
        <is>
          <t>TX-80503</t>
        </is>
      </c>
      <c r="C610" s="27" t="n">
        <v>46311.6115625</v>
      </c>
      <c r="D610" s="15" t="inlineStr">
        <is>
          <t>BR-03</t>
        </is>
      </c>
      <c r="E610" s="15" t="inlineStr">
        <is>
          <t>T-02</t>
        </is>
      </c>
      <c r="F610" s="15" t="inlineStr">
        <is>
          <t>C-110</t>
        </is>
      </c>
      <c r="G610" s="15" t="inlineStr">
        <is>
          <t>NONE</t>
        </is>
      </c>
      <c r="H610" s="14" t="inlineStr">
        <is>
          <t>Sale Tender</t>
        </is>
      </c>
      <c r="I610" s="15" t="inlineStr">
        <is>
          <t>Delivery Aggregator</t>
        </is>
      </c>
      <c r="J610" s="17" t="n">
        <v>3</v>
      </c>
      <c r="K610" s="28" t="n">
        <v>44.07</v>
      </c>
      <c r="L610" s="28" t="n">
        <v>44.07</v>
      </c>
      <c r="M610" s="27" t="n">
        <v>46311.61060185185</v>
      </c>
      <c r="N610" s="29">
        <f>IFERROR(IF(OR(ISBLANK(M610), M610="", ISBLANK(C610), C610=""), 0, MAX(0, ROUND((C610-M610)*86400, 0))), 0)</f>
        <v/>
      </c>
      <c r="O610" s="14">
        <f>IF(H610="Post-Bill Void", IF(AND(G610="M-904", I610="Cash"), "EXCEPTION: Concurrent Cash Void", IF(AND(I610="Cash", N610&gt;120), "CRITICAL: Delayed Cash Void", IF(N610&gt;120, "EXCEPTION: Delayed Void", "Standard Void"))), IF(H610="Line Item Void", IF(I610="Cash", "EXCEPTION: Cash Line Void", "Standard Line Void"), IF(H610="No-Sale Drawer Opening", "DRAWER OPENING", "Standard Sale")))</f>
        <v/>
      </c>
    </row>
    <row r="611" ht="18" customHeight="1">
      <c r="A611" s="12" t="inlineStr">
        <is>
          <t>EVT-10504</t>
        </is>
      </c>
      <c r="B611" s="12" t="inlineStr">
        <is>
          <t>TX-80504</t>
        </is>
      </c>
      <c r="C611" s="24" t="n">
        <v>46311.61865740741</v>
      </c>
      <c r="D611" s="12" t="inlineStr">
        <is>
          <t>BR-02</t>
        </is>
      </c>
      <c r="E611" s="12" t="inlineStr">
        <is>
          <t>T-01</t>
        </is>
      </c>
      <c r="F611" s="12" t="inlineStr">
        <is>
          <t>C-108</t>
        </is>
      </c>
      <c r="G611" s="12" t="inlineStr">
        <is>
          <t>NONE</t>
        </is>
      </c>
      <c r="H611" s="11" t="inlineStr">
        <is>
          <t>Sale Tender</t>
        </is>
      </c>
      <c r="I611" s="12" t="inlineStr">
        <is>
          <t>Card</t>
        </is>
      </c>
      <c r="J611" s="20" t="n">
        <v>3</v>
      </c>
      <c r="K611" s="25" t="n">
        <v>41.61</v>
      </c>
      <c r="L611" s="25" t="n">
        <v>41.61</v>
      </c>
      <c r="M611" s="24" t="n">
        <v>46311.61767361111</v>
      </c>
      <c r="N611" s="26">
        <f>IFERROR(IF(OR(ISBLANK(M611), M611="", ISBLANK(C611), C611=""), 0, MAX(0, ROUND((C611-M611)*86400, 0))), 0)</f>
        <v/>
      </c>
      <c r="O611" s="11">
        <f>IF(H611="Post-Bill Void", IF(AND(G611="M-904", I611="Cash"), "EXCEPTION: Concurrent Cash Void", IF(AND(I611="Cash", N611&gt;120), "CRITICAL: Delayed Cash Void", IF(N611&gt;120, "EXCEPTION: Delayed Void", "Standard Void"))), IF(H611="Line Item Void", IF(I611="Cash", "EXCEPTION: Cash Line Void", "Standard Line Void"), IF(H611="No-Sale Drawer Opening", "DRAWER OPENING", "Standard Sale")))</f>
        <v/>
      </c>
    </row>
    <row r="612" ht="18" customHeight="1">
      <c r="A612" s="15" t="inlineStr">
        <is>
          <t>EVT-10505</t>
        </is>
      </c>
      <c r="B612" s="15" t="inlineStr">
        <is>
          <t>TX-80505</t>
        </is>
      </c>
      <c r="C612" s="27" t="n">
        <v>46311.62508101852</v>
      </c>
      <c r="D612" s="15" t="inlineStr">
        <is>
          <t>BR-01</t>
        </is>
      </c>
      <c r="E612" s="15" t="inlineStr">
        <is>
          <t>T-01</t>
        </is>
      </c>
      <c r="F612" s="15" t="inlineStr">
        <is>
          <t>C-102</t>
        </is>
      </c>
      <c r="G612" s="15" t="inlineStr">
        <is>
          <t>NONE</t>
        </is>
      </c>
      <c r="H612" s="14" t="inlineStr">
        <is>
          <t>Sale Tender</t>
        </is>
      </c>
      <c r="I612" s="15" t="inlineStr">
        <is>
          <t>Card</t>
        </is>
      </c>
      <c r="J612" s="17" t="n">
        <v>3</v>
      </c>
      <c r="K612" s="28" t="n">
        <v>37.82</v>
      </c>
      <c r="L612" s="28" t="n">
        <v>37.82</v>
      </c>
      <c r="M612" s="27" t="n">
        <v>46311.62427083333</v>
      </c>
      <c r="N612" s="29">
        <f>IFERROR(IF(OR(ISBLANK(M612), M612="", ISBLANK(C612), C612=""), 0, MAX(0, ROUND((C612-M612)*86400, 0))), 0)</f>
        <v/>
      </c>
      <c r="O612" s="14">
        <f>IF(H612="Post-Bill Void", IF(AND(G612="M-904", I612="Cash"), "EXCEPTION: Concurrent Cash Void", IF(AND(I612="Cash", N612&gt;120), "CRITICAL: Delayed Cash Void", IF(N612&gt;120, "EXCEPTION: Delayed Void", "Standard Void"))), IF(H612="Line Item Void", IF(I612="Cash", "EXCEPTION: Cash Line Void", "Standard Line Void"), IF(H612="No-Sale Drawer Opening", "DRAWER OPENING", "Standard Sale")))</f>
        <v/>
      </c>
    </row>
    <row r="613" ht="18" customHeight="1">
      <c r="A613" s="12" t="inlineStr">
        <is>
          <t>EVT-10506</t>
        </is>
      </c>
      <c r="B613" s="12" t="inlineStr">
        <is>
          <t>TX-80506</t>
        </is>
      </c>
      <c r="C613" s="24" t="n">
        <v>46311.63221064815</v>
      </c>
      <c r="D613" s="12" t="inlineStr">
        <is>
          <t>BR-01</t>
        </is>
      </c>
      <c r="E613" s="12" t="inlineStr">
        <is>
          <t>T-02</t>
        </is>
      </c>
      <c r="F613" s="12" t="inlineStr">
        <is>
          <t>C-101</t>
        </is>
      </c>
      <c r="G613" s="12" t="inlineStr">
        <is>
          <t>NONE</t>
        </is>
      </c>
      <c r="H613" s="11" t="inlineStr">
        <is>
          <t>Sale Tender</t>
        </is>
      </c>
      <c r="I613" s="12" t="inlineStr">
        <is>
          <t>Cash</t>
        </is>
      </c>
      <c r="J613" s="20" t="n">
        <v>6</v>
      </c>
      <c r="K613" s="25" t="n">
        <v>84.41</v>
      </c>
      <c r="L613" s="25" t="n">
        <v>84.41</v>
      </c>
      <c r="M613" s="24" t="n">
        <v>46311.63119212963</v>
      </c>
      <c r="N613" s="26">
        <f>IFERROR(IF(OR(ISBLANK(M613), M613="", ISBLANK(C613), C613=""), 0, MAX(0, ROUND((C613-M613)*86400, 0))), 0)</f>
        <v/>
      </c>
      <c r="O613" s="11">
        <f>IF(H613="Post-Bill Void", IF(AND(G613="M-904", I613="Cash"), "EXCEPTION: Concurrent Cash Void", IF(AND(I613="Cash", N613&gt;120), "CRITICAL: Delayed Cash Void", IF(N613&gt;120, "EXCEPTION: Delayed Void", "Standard Void"))), IF(H613="Line Item Void", IF(I613="Cash", "EXCEPTION: Cash Line Void", "Standard Line Void"), IF(H613="No-Sale Drawer Opening", "DRAWER OPENING", "Standard Sale")))</f>
        <v/>
      </c>
    </row>
    <row r="614" ht="18" customHeight="1">
      <c r="A614" s="15" t="inlineStr">
        <is>
          <t>EVT-10507</t>
        </is>
      </c>
      <c r="B614" s="15" t="inlineStr">
        <is>
          <t>TX-80507</t>
        </is>
      </c>
      <c r="C614" s="27" t="n">
        <v>46311.63918981481</v>
      </c>
      <c r="D614" s="15" t="inlineStr">
        <is>
          <t>BR-01</t>
        </is>
      </c>
      <c r="E614" s="15" t="inlineStr">
        <is>
          <t>T-02</t>
        </is>
      </c>
      <c r="F614" s="15" t="inlineStr">
        <is>
          <t>C-103</t>
        </is>
      </c>
      <c r="G614" s="15" t="inlineStr">
        <is>
          <t>NONE</t>
        </is>
      </c>
      <c r="H614" s="14" t="inlineStr">
        <is>
          <t>Sale Tender</t>
        </is>
      </c>
      <c r="I614" s="15" t="inlineStr">
        <is>
          <t>Cash</t>
        </is>
      </c>
      <c r="J614" s="17" t="n">
        <v>4</v>
      </c>
      <c r="K614" s="28" t="n">
        <v>40.47</v>
      </c>
      <c r="L614" s="28" t="n">
        <v>40.47</v>
      </c>
      <c r="M614" s="27" t="n">
        <v>46311.63862268518</v>
      </c>
      <c r="N614" s="29">
        <f>IFERROR(IF(OR(ISBLANK(M614), M614="", ISBLANK(C614), C614=""), 0, MAX(0, ROUND((C614-M614)*86400, 0))), 0)</f>
        <v/>
      </c>
      <c r="O614" s="14">
        <f>IF(H614="Post-Bill Void", IF(AND(G614="M-904", I614="Cash"), "EXCEPTION: Concurrent Cash Void", IF(AND(I614="Cash", N614&gt;120), "CRITICAL: Delayed Cash Void", IF(N614&gt;120, "EXCEPTION: Delayed Void", "Standard Void"))), IF(H614="Line Item Void", IF(I614="Cash", "EXCEPTION: Cash Line Void", "Standard Line Void"), IF(H614="No-Sale Drawer Opening", "DRAWER OPENING", "Standard Sale")))</f>
        <v/>
      </c>
    </row>
    <row r="615" ht="18" customHeight="1">
      <c r="A615" s="12" t="inlineStr">
        <is>
          <t>EVT-10508</t>
        </is>
      </c>
      <c r="B615" s="12" t="inlineStr">
        <is>
          <t>TX-80508</t>
        </is>
      </c>
      <c r="C615" s="24" t="n">
        <v>46311.64643518518</v>
      </c>
      <c r="D615" s="12" t="inlineStr">
        <is>
          <t>BR-02</t>
        </is>
      </c>
      <c r="E615" s="12" t="inlineStr">
        <is>
          <t>T-01</t>
        </is>
      </c>
      <c r="F615" s="12" t="inlineStr">
        <is>
          <t>C-107</t>
        </is>
      </c>
      <c r="G615" s="12" t="inlineStr">
        <is>
          <t>NONE</t>
        </is>
      </c>
      <c r="H615" s="11" t="inlineStr">
        <is>
          <t>Sale Tender</t>
        </is>
      </c>
      <c r="I615" s="12" t="inlineStr">
        <is>
          <t>Cash</t>
        </is>
      </c>
      <c r="J615" s="20" t="n">
        <v>6</v>
      </c>
      <c r="K615" s="25" t="n">
        <v>88.69</v>
      </c>
      <c r="L615" s="25" t="n">
        <v>88.69</v>
      </c>
      <c r="M615" s="24" t="n">
        <v>46311.6455324074</v>
      </c>
      <c r="N615" s="26">
        <f>IFERROR(IF(OR(ISBLANK(M615), M615="", ISBLANK(C615), C615=""), 0, MAX(0, ROUND((C615-M615)*86400, 0))), 0)</f>
        <v/>
      </c>
      <c r="O615" s="11">
        <f>IF(H615="Post-Bill Void", IF(AND(G615="M-904", I615="Cash"), "EXCEPTION: Concurrent Cash Void", IF(AND(I615="Cash", N615&gt;120), "CRITICAL: Delayed Cash Void", IF(N615&gt;120, "EXCEPTION: Delayed Void", "Standard Void"))), IF(H615="Line Item Void", IF(I615="Cash", "EXCEPTION: Cash Line Void", "Standard Line Void"), IF(H615="No-Sale Drawer Opening", "DRAWER OPENING", "Standard Sale")))</f>
        <v/>
      </c>
    </row>
    <row r="616" ht="18" customHeight="1">
      <c r="A616" s="15" t="inlineStr">
        <is>
          <t>EVT-10509</t>
        </is>
      </c>
      <c r="B616" s="15" t="inlineStr">
        <is>
          <t>TX-80509</t>
        </is>
      </c>
      <c r="C616" s="27" t="n">
        <v>46311.65320601852</v>
      </c>
      <c r="D616" s="15" t="inlineStr">
        <is>
          <t>BR-01</t>
        </is>
      </c>
      <c r="E616" s="15" t="inlineStr">
        <is>
          <t>T-01</t>
        </is>
      </c>
      <c r="F616" s="15" t="inlineStr">
        <is>
          <t>C-104</t>
        </is>
      </c>
      <c r="G616" s="15" t="inlineStr">
        <is>
          <t>NONE</t>
        </is>
      </c>
      <c r="H616" s="14" t="inlineStr">
        <is>
          <t>Sale Tender</t>
        </is>
      </c>
      <c r="I616" s="15" t="inlineStr">
        <is>
          <t>Cash</t>
        </is>
      </c>
      <c r="J616" s="17" t="n">
        <v>4</v>
      </c>
      <c r="K616" s="28" t="n">
        <v>34.13</v>
      </c>
      <c r="L616" s="28" t="n">
        <v>34.13</v>
      </c>
      <c r="M616" s="27" t="n">
        <v>46311.65217592593</v>
      </c>
      <c r="N616" s="29">
        <f>IFERROR(IF(OR(ISBLANK(M616), M616="", ISBLANK(C616), C616=""), 0, MAX(0, ROUND((C616-M616)*86400, 0))), 0)</f>
        <v/>
      </c>
      <c r="O616" s="14">
        <f>IF(H616="Post-Bill Void", IF(AND(G616="M-904", I616="Cash"), "EXCEPTION: Concurrent Cash Void", IF(AND(I616="Cash", N616&gt;120), "CRITICAL: Delayed Cash Void", IF(N616&gt;120, "EXCEPTION: Delayed Void", "Standard Void"))), IF(H616="Line Item Void", IF(I616="Cash", "EXCEPTION: Cash Line Void", "Standard Line Void"), IF(H616="No-Sale Drawer Opening", "DRAWER OPENING", "Standard Sale")))</f>
        <v/>
      </c>
    </row>
    <row r="617" ht="18" customHeight="1">
      <c r="A617" s="12" t="inlineStr">
        <is>
          <t>EVT-10510</t>
        </is>
      </c>
      <c r="B617" s="12" t="inlineStr">
        <is>
          <t>TX-80510</t>
        </is>
      </c>
      <c r="C617" s="24" t="n">
        <v>46311.6602662037</v>
      </c>
      <c r="D617" s="12" t="inlineStr">
        <is>
          <t>BR-01</t>
        </is>
      </c>
      <c r="E617" s="12" t="inlineStr">
        <is>
          <t>T-02</t>
        </is>
      </c>
      <c r="F617" s="12" t="inlineStr">
        <is>
          <t>C-104</t>
        </is>
      </c>
      <c r="G617" s="12" t="inlineStr">
        <is>
          <t>NONE</t>
        </is>
      </c>
      <c r="H617" s="11" t="inlineStr">
        <is>
          <t>Sale Tender</t>
        </is>
      </c>
      <c r="I617" s="12" t="inlineStr">
        <is>
          <t>Delivery Aggregator</t>
        </is>
      </c>
      <c r="J617" s="20" t="n">
        <v>2</v>
      </c>
      <c r="K617" s="25" t="n">
        <v>27.38</v>
      </c>
      <c r="L617" s="25" t="n">
        <v>27.38</v>
      </c>
      <c r="M617" s="24" t="n">
        <v>46311.65927083333</v>
      </c>
      <c r="N617" s="26">
        <f>IFERROR(IF(OR(ISBLANK(M617), M617="", ISBLANK(C617), C617=""), 0, MAX(0, ROUND((C617-M617)*86400, 0))), 0)</f>
        <v/>
      </c>
      <c r="O617" s="11">
        <f>IF(H617="Post-Bill Void", IF(AND(G617="M-904", I617="Cash"), "EXCEPTION: Concurrent Cash Void", IF(AND(I617="Cash", N617&gt;120), "CRITICAL: Delayed Cash Void", IF(N617&gt;120, "EXCEPTION: Delayed Void", "Standard Void"))), IF(H617="Line Item Void", IF(I617="Cash", "EXCEPTION: Cash Line Void", "Standard Line Void"), IF(H617="No-Sale Drawer Opening", "DRAWER OPENING", "Standard Sale")))</f>
        <v/>
      </c>
    </row>
    <row r="618" ht="18" customHeight="1">
      <c r="A618" s="15" t="inlineStr">
        <is>
          <t>EVT-10511</t>
        </is>
      </c>
      <c r="B618" s="15" t="inlineStr">
        <is>
          <t>TX-80511</t>
        </is>
      </c>
      <c r="C618" s="27" t="n">
        <v>46311.66679398148</v>
      </c>
      <c r="D618" s="15" t="inlineStr">
        <is>
          <t>BR-02</t>
        </is>
      </c>
      <c r="E618" s="15" t="inlineStr">
        <is>
          <t>T-01</t>
        </is>
      </c>
      <c r="F618" s="15" t="inlineStr">
        <is>
          <t>C-105</t>
        </is>
      </c>
      <c r="G618" s="15" t="inlineStr">
        <is>
          <t>NONE</t>
        </is>
      </c>
      <c r="H618" s="14" t="inlineStr">
        <is>
          <t>Sale Tender</t>
        </is>
      </c>
      <c r="I618" s="15" t="inlineStr">
        <is>
          <t>Card</t>
        </is>
      </c>
      <c r="J618" s="17" t="n">
        <v>4</v>
      </c>
      <c r="K618" s="28" t="n">
        <v>46.56</v>
      </c>
      <c r="L618" s="28" t="n">
        <v>46.56</v>
      </c>
      <c r="M618" s="27" t="n">
        <v>46311.66603009259</v>
      </c>
      <c r="N618" s="29">
        <f>IFERROR(IF(OR(ISBLANK(M618), M618="", ISBLANK(C618), C618=""), 0, MAX(0, ROUND((C618-M618)*86400, 0))), 0)</f>
        <v/>
      </c>
      <c r="O618" s="14">
        <f>IF(H618="Post-Bill Void", IF(AND(G618="M-904", I618="Cash"), "EXCEPTION: Concurrent Cash Void", IF(AND(I618="Cash", N618&gt;120), "CRITICAL: Delayed Cash Void", IF(N618&gt;120, "EXCEPTION: Delayed Void", "Standard Void"))), IF(H618="Line Item Void", IF(I618="Cash", "EXCEPTION: Cash Line Void", "Standard Line Void"), IF(H618="No-Sale Drawer Opening", "DRAWER OPENING", "Standard Sale")))</f>
        <v/>
      </c>
    </row>
    <row r="619" ht="18" customHeight="1">
      <c r="A619" s="12" t="inlineStr">
        <is>
          <t>EVT-10512</t>
        </is>
      </c>
      <c r="B619" s="12" t="inlineStr">
        <is>
          <t>TX-80512</t>
        </is>
      </c>
      <c r="C619" s="24" t="n">
        <v>46311.67405092593</v>
      </c>
      <c r="D619" s="12" t="inlineStr">
        <is>
          <t>BR-02</t>
        </is>
      </c>
      <c r="E619" s="12" t="inlineStr">
        <is>
          <t>T-01</t>
        </is>
      </c>
      <c r="F619" s="12" t="inlineStr">
        <is>
          <t>C-107</t>
        </is>
      </c>
      <c r="G619" s="12" t="inlineStr">
        <is>
          <t>NONE</t>
        </is>
      </c>
      <c r="H619" s="11" t="inlineStr">
        <is>
          <t>Sale Tender</t>
        </is>
      </c>
      <c r="I619" s="12" t="inlineStr">
        <is>
          <t>Delivery Aggregator</t>
        </is>
      </c>
      <c r="J619" s="20" t="n">
        <v>4</v>
      </c>
      <c r="K619" s="25" t="n">
        <v>58.14</v>
      </c>
      <c r="L619" s="25" t="n">
        <v>58.14</v>
      </c>
      <c r="M619" s="24" t="n">
        <v>46311.67326388889</v>
      </c>
      <c r="N619" s="26">
        <f>IFERROR(IF(OR(ISBLANK(M619), M619="", ISBLANK(C619), C619=""), 0, MAX(0, ROUND((C619-M619)*86400, 0))), 0)</f>
        <v/>
      </c>
      <c r="O619" s="11">
        <f>IF(H619="Post-Bill Void", IF(AND(G619="M-904", I619="Cash"), "EXCEPTION: Concurrent Cash Void", IF(AND(I619="Cash", N619&gt;120), "CRITICAL: Delayed Cash Void", IF(N619&gt;120, "EXCEPTION: Delayed Void", "Standard Void"))), IF(H619="Line Item Void", IF(I619="Cash", "EXCEPTION: Cash Line Void", "Standard Line Void"), IF(H619="No-Sale Drawer Opening", "DRAWER OPENING", "Standard Sale")))</f>
        <v/>
      </c>
    </row>
    <row r="620" ht="18" customHeight="1">
      <c r="A620" s="15" t="inlineStr">
        <is>
          <t>EVT-10513</t>
        </is>
      </c>
      <c r="B620" s="15" t="inlineStr">
        <is>
          <t>TX-80513</t>
        </is>
      </c>
      <c r="C620" s="27" t="n">
        <v>46311.68064814815</v>
      </c>
      <c r="D620" s="15" t="inlineStr">
        <is>
          <t>BR-04</t>
        </is>
      </c>
      <c r="E620" s="15" t="inlineStr">
        <is>
          <t>T-02</t>
        </is>
      </c>
      <c r="F620" s="15" t="inlineStr">
        <is>
          <t>C-115</t>
        </is>
      </c>
      <c r="G620" s="15" t="inlineStr">
        <is>
          <t>NONE</t>
        </is>
      </c>
      <c r="H620" s="14" t="inlineStr">
        <is>
          <t>Sale Tender</t>
        </is>
      </c>
      <c r="I620" s="15" t="inlineStr">
        <is>
          <t>Cash</t>
        </is>
      </c>
      <c r="J620" s="17" t="n">
        <v>6</v>
      </c>
      <c r="K620" s="28" t="n">
        <v>75.65000000000001</v>
      </c>
      <c r="L620" s="28" t="n">
        <v>75.65000000000001</v>
      </c>
      <c r="M620" s="27" t="n">
        <v>46311.67960648148</v>
      </c>
      <c r="N620" s="29">
        <f>IFERROR(IF(OR(ISBLANK(M620), M620="", ISBLANK(C620), C620=""), 0, MAX(0, ROUND((C620-M620)*86400, 0))), 0)</f>
        <v/>
      </c>
      <c r="O620" s="14">
        <f>IF(H620="Post-Bill Void", IF(AND(G620="M-904", I620="Cash"), "EXCEPTION: Concurrent Cash Void", IF(AND(I620="Cash", N620&gt;120), "CRITICAL: Delayed Cash Void", IF(N620&gt;120, "EXCEPTION: Delayed Void", "Standard Void"))), IF(H620="Line Item Void", IF(I620="Cash", "EXCEPTION: Cash Line Void", "Standard Line Void"), IF(H620="No-Sale Drawer Opening", "DRAWER OPENING", "Standard Sale")))</f>
        <v/>
      </c>
    </row>
    <row r="621" ht="18" customHeight="1">
      <c r="A621" s="12" t="inlineStr">
        <is>
          <t>EVT-10514</t>
        </is>
      </c>
      <c r="B621" s="12" t="inlineStr">
        <is>
          <t>TX-80514</t>
        </is>
      </c>
      <c r="C621" s="24" t="n">
        <v>46311.68773148148</v>
      </c>
      <c r="D621" s="12" t="inlineStr">
        <is>
          <t>BR-02</t>
        </is>
      </c>
      <c r="E621" s="12" t="inlineStr">
        <is>
          <t>T-01</t>
        </is>
      </c>
      <c r="F621" s="12" t="inlineStr">
        <is>
          <t>C-106</t>
        </is>
      </c>
      <c r="G621" s="12" t="inlineStr">
        <is>
          <t>NONE</t>
        </is>
      </c>
      <c r="H621" s="11" t="inlineStr">
        <is>
          <t>Sale Tender</t>
        </is>
      </c>
      <c r="I621" s="12" t="inlineStr">
        <is>
          <t>Card</t>
        </is>
      </c>
      <c r="J621" s="20" t="n">
        <v>6</v>
      </c>
      <c r="K621" s="25" t="n">
        <v>56.97</v>
      </c>
      <c r="L621" s="25" t="n">
        <v>56.97</v>
      </c>
      <c r="M621" s="24" t="n">
        <v>46311.68701388889</v>
      </c>
      <c r="N621" s="26">
        <f>IFERROR(IF(OR(ISBLANK(M621), M621="", ISBLANK(C621), C621=""), 0, MAX(0, ROUND((C621-M621)*86400, 0))), 0)</f>
        <v/>
      </c>
      <c r="O621" s="11">
        <f>IF(H621="Post-Bill Void", IF(AND(G621="M-904", I621="Cash"), "EXCEPTION: Concurrent Cash Void", IF(AND(I621="Cash", N621&gt;120), "CRITICAL: Delayed Cash Void", IF(N621&gt;120, "EXCEPTION: Delayed Void", "Standard Void"))), IF(H621="Line Item Void", IF(I621="Cash", "EXCEPTION: Cash Line Void", "Standard Line Void"), IF(H621="No-Sale Drawer Opening", "DRAWER OPENING", "Standard Sale")))</f>
        <v/>
      </c>
    </row>
    <row r="622" ht="18" customHeight="1">
      <c r="A622" s="15" t="inlineStr">
        <is>
          <t>EVT-10515</t>
        </is>
      </c>
      <c r="B622" s="15" t="inlineStr">
        <is>
          <t>TX-80515</t>
        </is>
      </c>
      <c r="C622" s="27" t="n">
        <v>46311.69496527778</v>
      </c>
      <c r="D622" s="15" t="inlineStr">
        <is>
          <t>BR-02</t>
        </is>
      </c>
      <c r="E622" s="15" t="inlineStr">
        <is>
          <t>T-02</t>
        </is>
      </c>
      <c r="F622" s="15" t="inlineStr">
        <is>
          <t>C-107</t>
        </is>
      </c>
      <c r="G622" s="15" t="inlineStr">
        <is>
          <t>NONE</t>
        </is>
      </c>
      <c r="H622" s="14" t="inlineStr">
        <is>
          <t>Sale Tender</t>
        </is>
      </c>
      <c r="I622" s="15" t="inlineStr">
        <is>
          <t>Card</t>
        </is>
      </c>
      <c r="J622" s="17" t="n">
        <v>5</v>
      </c>
      <c r="K622" s="28" t="n">
        <v>63.9</v>
      </c>
      <c r="L622" s="28" t="n">
        <v>63.9</v>
      </c>
      <c r="M622" s="27" t="n">
        <v>46311.69415509259</v>
      </c>
      <c r="N622" s="29">
        <f>IFERROR(IF(OR(ISBLANK(M622), M622="", ISBLANK(C622), C622=""), 0, MAX(0, ROUND((C622-M622)*86400, 0))), 0)</f>
        <v/>
      </c>
      <c r="O622" s="14">
        <f>IF(H622="Post-Bill Void", IF(AND(G622="M-904", I622="Cash"), "EXCEPTION: Concurrent Cash Void", IF(AND(I622="Cash", N622&gt;120), "CRITICAL: Delayed Cash Void", IF(N622&gt;120, "EXCEPTION: Delayed Void", "Standard Void"))), IF(H622="Line Item Void", IF(I622="Cash", "EXCEPTION: Cash Line Void", "Standard Line Void"), IF(H622="No-Sale Drawer Opening", "DRAWER OPENING", "Standard Sale")))</f>
        <v/>
      </c>
    </row>
    <row r="623" ht="18" customHeight="1">
      <c r="A623" s="12" t="inlineStr">
        <is>
          <t>EVT-10516</t>
        </is>
      </c>
      <c r="B623" s="12" t="inlineStr">
        <is>
          <t>TX-80516</t>
        </is>
      </c>
      <c r="C623" s="24" t="n">
        <v>46311.701875</v>
      </c>
      <c r="D623" s="12" t="inlineStr">
        <is>
          <t>BR-04</t>
        </is>
      </c>
      <c r="E623" s="12" t="inlineStr">
        <is>
          <t>T-02</t>
        </is>
      </c>
      <c r="F623" s="12" t="inlineStr">
        <is>
          <t>C-115</t>
        </is>
      </c>
      <c r="G623" s="12" t="inlineStr">
        <is>
          <t>NONE</t>
        </is>
      </c>
      <c r="H623" s="11" t="inlineStr">
        <is>
          <t>Sale Tender</t>
        </is>
      </c>
      <c r="I623" s="12" t="inlineStr">
        <is>
          <t>Cash</t>
        </is>
      </c>
      <c r="J623" s="20" t="n">
        <v>4</v>
      </c>
      <c r="K623" s="25" t="n">
        <v>58.25</v>
      </c>
      <c r="L623" s="25" t="n">
        <v>58.25</v>
      </c>
      <c r="M623" s="24" t="n">
        <v>46311.70079861111</v>
      </c>
      <c r="N623" s="26">
        <f>IFERROR(IF(OR(ISBLANK(M623), M623="", ISBLANK(C623), C623=""), 0, MAX(0, ROUND((C623-M623)*86400, 0))), 0)</f>
        <v/>
      </c>
      <c r="O623" s="11">
        <f>IF(H623="Post-Bill Void", IF(AND(G623="M-904", I623="Cash"), "EXCEPTION: Concurrent Cash Void", IF(AND(I623="Cash", N623&gt;120), "CRITICAL: Delayed Cash Void", IF(N623&gt;120, "EXCEPTION: Delayed Void", "Standard Void"))), IF(H623="Line Item Void", IF(I623="Cash", "EXCEPTION: Cash Line Void", "Standard Line Void"), IF(H623="No-Sale Drawer Opening", "DRAWER OPENING", "Standard Sale")))</f>
        <v/>
      </c>
    </row>
    <row r="624" ht="18" customHeight="1">
      <c r="A624" s="15" t="inlineStr">
        <is>
          <t>EVT-10517</t>
        </is>
      </c>
      <c r="B624" s="15" t="inlineStr">
        <is>
          <t>TX-80517</t>
        </is>
      </c>
      <c r="C624" s="27" t="n">
        <v>46311.70871527777</v>
      </c>
      <c r="D624" s="15" t="inlineStr">
        <is>
          <t>BR-01</t>
        </is>
      </c>
      <c r="E624" s="15" t="inlineStr">
        <is>
          <t>T-01</t>
        </is>
      </c>
      <c r="F624" s="15" t="inlineStr">
        <is>
          <t>C-101</t>
        </is>
      </c>
      <c r="G624" s="15" t="inlineStr">
        <is>
          <t>NONE</t>
        </is>
      </c>
      <c r="H624" s="14" t="inlineStr">
        <is>
          <t>Sale Tender</t>
        </is>
      </c>
      <c r="I624" s="15" t="inlineStr">
        <is>
          <t>Card</t>
        </is>
      </c>
      <c r="J624" s="17" t="n">
        <v>2</v>
      </c>
      <c r="K624" s="28" t="n">
        <v>21</v>
      </c>
      <c r="L624" s="28" t="n">
        <v>21</v>
      </c>
      <c r="M624" s="27" t="n">
        <v>46311.70835648148</v>
      </c>
      <c r="N624" s="29">
        <f>IFERROR(IF(OR(ISBLANK(M624), M624="", ISBLANK(C624), C624=""), 0, MAX(0, ROUND((C624-M624)*86400, 0))), 0)</f>
        <v/>
      </c>
      <c r="O624" s="14">
        <f>IF(H624="Post-Bill Void", IF(AND(G624="M-904", I624="Cash"), "EXCEPTION: Concurrent Cash Void", IF(AND(I624="Cash", N624&gt;120), "CRITICAL: Delayed Cash Void", IF(N624&gt;120, "EXCEPTION: Delayed Void", "Standard Void"))), IF(H624="Line Item Void", IF(I624="Cash", "EXCEPTION: Cash Line Void", "Standard Line Void"), IF(H624="No-Sale Drawer Opening", "DRAWER OPENING", "Standard Sale")))</f>
        <v/>
      </c>
    </row>
    <row r="625" ht="18" customHeight="1">
      <c r="A625" s="12" t="inlineStr">
        <is>
          <t>EVT-10518</t>
        </is>
      </c>
      <c r="B625" s="12" t="inlineStr">
        <is>
          <t>TX-80518</t>
        </is>
      </c>
      <c r="C625" s="24" t="n">
        <v>46311.71585648148</v>
      </c>
      <c r="D625" s="12" t="inlineStr">
        <is>
          <t>BR-02</t>
        </is>
      </c>
      <c r="E625" s="12" t="inlineStr">
        <is>
          <t>T-02</t>
        </is>
      </c>
      <c r="F625" s="12" t="inlineStr">
        <is>
          <t>C-107</t>
        </is>
      </c>
      <c r="G625" s="12" t="inlineStr">
        <is>
          <t>NONE</t>
        </is>
      </c>
      <c r="H625" s="11" t="inlineStr">
        <is>
          <t>Sale Tender</t>
        </is>
      </c>
      <c r="I625" s="12" t="inlineStr">
        <is>
          <t>Card</t>
        </is>
      </c>
      <c r="J625" s="20" t="n">
        <v>6</v>
      </c>
      <c r="K625" s="25" t="n">
        <v>86.3</v>
      </c>
      <c r="L625" s="25" t="n">
        <v>86.3</v>
      </c>
      <c r="M625" s="24" t="n">
        <v>46311.7153587963</v>
      </c>
      <c r="N625" s="26">
        <f>IFERROR(IF(OR(ISBLANK(M625), M625="", ISBLANK(C625), C625=""), 0, MAX(0, ROUND((C625-M625)*86400, 0))), 0)</f>
        <v/>
      </c>
      <c r="O625" s="11">
        <f>IF(H625="Post-Bill Void", IF(AND(G625="M-904", I625="Cash"), "EXCEPTION: Concurrent Cash Void", IF(AND(I625="Cash", N625&gt;120), "CRITICAL: Delayed Cash Void", IF(N625&gt;120, "EXCEPTION: Delayed Void", "Standard Void"))), IF(H625="Line Item Void", IF(I625="Cash", "EXCEPTION: Cash Line Void", "Standard Line Void"), IF(H625="No-Sale Drawer Opening", "DRAWER OPENING", "Standard Sale")))</f>
        <v/>
      </c>
    </row>
    <row r="626" ht="18" customHeight="1">
      <c r="A626" s="15" t="inlineStr">
        <is>
          <t>EVT-10519</t>
        </is>
      </c>
      <c r="B626" s="15" t="inlineStr">
        <is>
          <t>TX-80519</t>
        </is>
      </c>
      <c r="C626" s="27" t="n">
        <v>46311.72237268519</v>
      </c>
      <c r="D626" s="15" t="inlineStr">
        <is>
          <t>BR-01</t>
        </is>
      </c>
      <c r="E626" s="15" t="inlineStr">
        <is>
          <t>T-02</t>
        </is>
      </c>
      <c r="F626" s="15" t="inlineStr">
        <is>
          <t>C-103</t>
        </is>
      </c>
      <c r="G626" s="15" t="inlineStr">
        <is>
          <t>NONE</t>
        </is>
      </c>
      <c r="H626" s="14" t="inlineStr">
        <is>
          <t>Sale Tender</t>
        </is>
      </c>
      <c r="I626" s="15" t="inlineStr">
        <is>
          <t>Card</t>
        </is>
      </c>
      <c r="J626" s="17" t="n">
        <v>6</v>
      </c>
      <c r="K626" s="28" t="n">
        <v>84.28</v>
      </c>
      <c r="L626" s="28" t="n">
        <v>84.28</v>
      </c>
      <c r="M626" s="27" t="n">
        <v>46311.72193287037</v>
      </c>
      <c r="N626" s="29">
        <f>IFERROR(IF(OR(ISBLANK(M626), M626="", ISBLANK(C626), C626=""), 0, MAX(0, ROUND((C626-M626)*86400, 0))), 0)</f>
        <v/>
      </c>
      <c r="O626" s="14">
        <f>IF(H626="Post-Bill Void", IF(AND(G626="M-904", I626="Cash"), "EXCEPTION: Concurrent Cash Void", IF(AND(I626="Cash", N626&gt;120), "CRITICAL: Delayed Cash Void", IF(N626&gt;120, "EXCEPTION: Delayed Void", "Standard Void"))), IF(H626="Line Item Void", IF(I626="Cash", "EXCEPTION: Cash Line Void", "Standard Line Void"), IF(H626="No-Sale Drawer Opening", "DRAWER OPENING", "Standard Sale")))</f>
        <v/>
      </c>
    </row>
    <row r="627" ht="18" customHeight="1">
      <c r="A627" s="12" t="inlineStr">
        <is>
          <t>EVT-10520</t>
        </is>
      </c>
      <c r="B627" s="12" t="inlineStr">
        <is>
          <t>TX-80520</t>
        </is>
      </c>
      <c r="C627" s="24" t="n">
        <v>46311.72980324074</v>
      </c>
      <c r="D627" s="12" t="inlineStr">
        <is>
          <t>BR-02</t>
        </is>
      </c>
      <c r="E627" s="12" t="inlineStr">
        <is>
          <t>T-01</t>
        </is>
      </c>
      <c r="F627" s="12" t="inlineStr">
        <is>
          <t>C-108</t>
        </is>
      </c>
      <c r="G627" s="12" t="inlineStr">
        <is>
          <t>NONE</t>
        </is>
      </c>
      <c r="H627" s="11" t="inlineStr">
        <is>
          <t>Sale Tender</t>
        </is>
      </c>
      <c r="I627" s="12" t="inlineStr">
        <is>
          <t>Card</t>
        </is>
      </c>
      <c r="J627" s="20" t="n">
        <v>1</v>
      </c>
      <c r="K627" s="25" t="n">
        <v>15.45</v>
      </c>
      <c r="L627" s="25" t="n">
        <v>15.45</v>
      </c>
      <c r="M627" s="24" t="n">
        <v>46311.72909722223</v>
      </c>
      <c r="N627" s="26">
        <f>IFERROR(IF(OR(ISBLANK(M627), M627="", ISBLANK(C627), C627=""), 0, MAX(0, ROUND((C627-M627)*86400, 0))), 0)</f>
        <v/>
      </c>
      <c r="O627" s="11">
        <f>IF(H627="Post-Bill Void", IF(AND(G627="M-904", I627="Cash"), "EXCEPTION: Concurrent Cash Void", IF(AND(I627="Cash", N627&gt;120), "CRITICAL: Delayed Cash Void", IF(N627&gt;120, "EXCEPTION: Delayed Void", "Standard Void"))), IF(H627="Line Item Void", IF(I627="Cash", "EXCEPTION: Cash Line Void", "Standard Line Void"), IF(H627="No-Sale Drawer Opening", "DRAWER OPENING", "Standard Sale")))</f>
        <v/>
      </c>
    </row>
    <row r="628" ht="18" customHeight="1">
      <c r="A628" s="15" t="inlineStr">
        <is>
          <t>EVT-10521</t>
        </is>
      </c>
      <c r="B628" s="15" t="inlineStr">
        <is>
          <t>TX-80521</t>
        </is>
      </c>
      <c r="C628" s="27" t="n">
        <v>46311.73638888889</v>
      </c>
      <c r="D628" s="15" t="inlineStr">
        <is>
          <t>BR-04</t>
        </is>
      </c>
      <c r="E628" s="15" t="inlineStr">
        <is>
          <t>T-01</t>
        </is>
      </c>
      <c r="F628" s="15" t="inlineStr">
        <is>
          <t>C-115</t>
        </is>
      </c>
      <c r="G628" s="15" t="inlineStr">
        <is>
          <t>NONE</t>
        </is>
      </c>
      <c r="H628" s="14" t="inlineStr">
        <is>
          <t>Sale Tender</t>
        </is>
      </c>
      <c r="I628" s="15" t="inlineStr">
        <is>
          <t>Cash</t>
        </is>
      </c>
      <c r="J628" s="17" t="n">
        <v>6</v>
      </c>
      <c r="K628" s="28" t="n">
        <v>62.31</v>
      </c>
      <c r="L628" s="28" t="n">
        <v>62.31</v>
      </c>
      <c r="M628" s="27" t="n">
        <v>46311.73528935185</v>
      </c>
      <c r="N628" s="29">
        <f>IFERROR(IF(OR(ISBLANK(M628), M628="", ISBLANK(C628), C628=""), 0, MAX(0, ROUND((C628-M628)*86400, 0))), 0)</f>
        <v/>
      </c>
      <c r="O628" s="14">
        <f>IF(H628="Post-Bill Void", IF(AND(G628="M-904", I628="Cash"), "EXCEPTION: Concurrent Cash Void", IF(AND(I628="Cash", N628&gt;120), "CRITICAL: Delayed Cash Void", IF(N628&gt;120, "EXCEPTION: Delayed Void", "Standard Void"))), IF(H628="Line Item Void", IF(I628="Cash", "EXCEPTION: Cash Line Void", "Standard Line Void"), IF(H628="No-Sale Drawer Opening", "DRAWER OPENING", "Standard Sale")))</f>
        <v/>
      </c>
    </row>
    <row r="629" ht="18" customHeight="1">
      <c r="A629" s="12" t="inlineStr">
        <is>
          <t>EVT-10522</t>
        </is>
      </c>
      <c r="B629" s="12" t="inlineStr">
        <is>
          <t>TX-80522</t>
        </is>
      </c>
      <c r="C629" s="24" t="n">
        <v>46311.74350694445</v>
      </c>
      <c r="D629" s="12" t="inlineStr">
        <is>
          <t>BR-04</t>
        </is>
      </c>
      <c r="E629" s="12" t="inlineStr">
        <is>
          <t>T-02</t>
        </is>
      </c>
      <c r="F629" s="12" t="inlineStr">
        <is>
          <t>C-113</t>
        </is>
      </c>
      <c r="G629" s="12" t="inlineStr">
        <is>
          <t>NONE</t>
        </is>
      </c>
      <c r="H629" s="11" t="inlineStr">
        <is>
          <t>Sale Tender</t>
        </is>
      </c>
      <c r="I629" s="12" t="inlineStr">
        <is>
          <t>Card</t>
        </is>
      </c>
      <c r="J629" s="20" t="n">
        <v>5</v>
      </c>
      <c r="K629" s="25" t="n">
        <v>70.19</v>
      </c>
      <c r="L629" s="25" t="n">
        <v>70.19</v>
      </c>
      <c r="M629" s="24" t="n">
        <v>46311.74267361111</v>
      </c>
      <c r="N629" s="26">
        <f>IFERROR(IF(OR(ISBLANK(M629), M629="", ISBLANK(C629), C629=""), 0, MAX(0, ROUND((C629-M629)*86400, 0))), 0)</f>
        <v/>
      </c>
      <c r="O629" s="11">
        <f>IF(H629="Post-Bill Void", IF(AND(G629="M-904", I629="Cash"), "EXCEPTION: Concurrent Cash Void", IF(AND(I629="Cash", N629&gt;120), "CRITICAL: Delayed Cash Void", IF(N629&gt;120, "EXCEPTION: Delayed Void", "Standard Void"))), IF(H629="Line Item Void", IF(I629="Cash", "EXCEPTION: Cash Line Void", "Standard Line Void"), IF(H629="No-Sale Drawer Opening", "DRAWER OPENING", "Standard Sale")))</f>
        <v/>
      </c>
    </row>
    <row r="630" ht="18" customHeight="1">
      <c r="A630" s="15" t="inlineStr">
        <is>
          <t>EVT-10523</t>
        </is>
      </c>
      <c r="B630" s="15" t="inlineStr">
        <is>
          <t>TX-80523</t>
        </is>
      </c>
      <c r="C630" s="27" t="n">
        <v>46311.75013888889</v>
      </c>
      <c r="D630" s="15" t="inlineStr">
        <is>
          <t>BR-02</t>
        </is>
      </c>
      <c r="E630" s="15" t="inlineStr">
        <is>
          <t>T-01</t>
        </is>
      </c>
      <c r="F630" s="15" t="inlineStr">
        <is>
          <t>C-107</t>
        </is>
      </c>
      <c r="G630" s="15" t="inlineStr">
        <is>
          <t>NONE</t>
        </is>
      </c>
      <c r="H630" s="14" t="inlineStr">
        <is>
          <t>Sale Tender</t>
        </is>
      </c>
      <c r="I630" s="15" t="inlineStr">
        <is>
          <t>Cash</t>
        </is>
      </c>
      <c r="J630" s="17" t="n">
        <v>2</v>
      </c>
      <c r="K630" s="28" t="n">
        <v>28.03</v>
      </c>
      <c r="L630" s="28" t="n">
        <v>28.03</v>
      </c>
      <c r="M630" s="27" t="n">
        <v>46311.74974537037</v>
      </c>
      <c r="N630" s="29">
        <f>IFERROR(IF(OR(ISBLANK(M630), M630="", ISBLANK(C630), C630=""), 0, MAX(0, ROUND((C630-M630)*86400, 0))), 0)</f>
        <v/>
      </c>
      <c r="O630" s="14">
        <f>IF(H630="Post-Bill Void", IF(AND(G630="M-904", I630="Cash"), "EXCEPTION: Concurrent Cash Void", IF(AND(I630="Cash", N630&gt;120), "CRITICAL: Delayed Cash Void", IF(N630&gt;120, "EXCEPTION: Delayed Void", "Standard Void"))), IF(H630="Line Item Void", IF(I630="Cash", "EXCEPTION: Cash Line Void", "Standard Line Void"), IF(H630="No-Sale Drawer Opening", "DRAWER OPENING", "Standard Sale")))</f>
        <v/>
      </c>
    </row>
    <row r="631" ht="18" customHeight="1">
      <c r="A631" s="12" t="inlineStr">
        <is>
          <t>EVT-10524</t>
        </is>
      </c>
      <c r="B631" s="12" t="inlineStr">
        <is>
          <t>TX-80524</t>
        </is>
      </c>
      <c r="C631" s="24" t="n">
        <v>46311.75702546296</v>
      </c>
      <c r="D631" s="12" t="inlineStr">
        <is>
          <t>BR-04</t>
        </is>
      </c>
      <c r="E631" s="12" t="inlineStr">
        <is>
          <t>T-01</t>
        </is>
      </c>
      <c r="F631" s="12" t="inlineStr">
        <is>
          <t>C-113</t>
        </is>
      </c>
      <c r="G631" s="12" t="inlineStr">
        <is>
          <t>NONE</t>
        </is>
      </c>
      <c r="H631" s="11" t="inlineStr">
        <is>
          <t>Sale Tender</t>
        </is>
      </c>
      <c r="I631" s="12" t="inlineStr">
        <is>
          <t>Cash</t>
        </is>
      </c>
      <c r="J631" s="20" t="n">
        <v>5</v>
      </c>
      <c r="K631" s="25" t="n">
        <v>74.23</v>
      </c>
      <c r="L631" s="25" t="n">
        <v>74.23</v>
      </c>
      <c r="M631" s="24" t="n">
        <v>46311.75635416667</v>
      </c>
      <c r="N631" s="26">
        <f>IFERROR(IF(OR(ISBLANK(M631), M631="", ISBLANK(C631), C631=""), 0, MAX(0, ROUND((C631-M631)*86400, 0))), 0)</f>
        <v/>
      </c>
      <c r="O631" s="11">
        <f>IF(H631="Post-Bill Void", IF(AND(G631="M-904", I631="Cash"), "EXCEPTION: Concurrent Cash Void", IF(AND(I631="Cash", N631&gt;120), "CRITICAL: Delayed Cash Void", IF(N631&gt;120, "EXCEPTION: Delayed Void", "Standard Void"))), IF(H631="Line Item Void", IF(I631="Cash", "EXCEPTION: Cash Line Void", "Standard Line Void"), IF(H631="No-Sale Drawer Opening", "DRAWER OPENING", "Standard Sale")))</f>
        <v/>
      </c>
    </row>
    <row r="632" ht="18" customHeight="1">
      <c r="A632" s="15" t="inlineStr">
        <is>
          <t>EVT-10525</t>
        </is>
      </c>
      <c r="B632" s="15" t="inlineStr">
        <is>
          <t>TX-80525</t>
        </is>
      </c>
      <c r="C632" s="27" t="n">
        <v>46311.76388888889</v>
      </c>
      <c r="D632" s="15" t="inlineStr">
        <is>
          <t>BR-03</t>
        </is>
      </c>
      <c r="E632" s="15" t="inlineStr">
        <is>
          <t>T-02</t>
        </is>
      </c>
      <c r="F632" s="15" t="inlineStr">
        <is>
          <t>C-112</t>
        </is>
      </c>
      <c r="G632" s="15" t="inlineStr">
        <is>
          <t>NONE</t>
        </is>
      </c>
      <c r="H632" s="14" t="inlineStr">
        <is>
          <t>Sale Tender</t>
        </is>
      </c>
      <c r="I632" s="15" t="inlineStr">
        <is>
          <t>Cash</t>
        </is>
      </c>
      <c r="J632" s="17" t="n">
        <v>3</v>
      </c>
      <c r="K632" s="28" t="n">
        <v>38.93</v>
      </c>
      <c r="L632" s="28" t="n">
        <v>38.93</v>
      </c>
      <c r="M632" s="27" t="n">
        <v>46311.76337962963</v>
      </c>
      <c r="N632" s="29">
        <f>IFERROR(IF(OR(ISBLANK(M632), M632="", ISBLANK(C632), C632=""), 0, MAX(0, ROUND((C632-M632)*86400, 0))), 0)</f>
        <v/>
      </c>
      <c r="O632" s="14">
        <f>IF(H632="Post-Bill Void", IF(AND(G632="M-904", I632="Cash"), "EXCEPTION: Concurrent Cash Void", IF(AND(I632="Cash", N632&gt;120), "CRITICAL: Delayed Cash Void", IF(N632&gt;120, "EXCEPTION: Delayed Void", "Standard Void"))), IF(H632="Line Item Void", IF(I632="Cash", "EXCEPTION: Cash Line Void", "Standard Line Void"), IF(H632="No-Sale Drawer Opening", "DRAWER OPENING", "Standard Sale")))</f>
        <v/>
      </c>
    </row>
    <row r="633" ht="18" customHeight="1">
      <c r="A633" s="12" t="inlineStr">
        <is>
          <t>EVT-10526</t>
        </is>
      </c>
      <c r="B633" s="12" t="inlineStr">
        <is>
          <t>TX-80526</t>
        </is>
      </c>
      <c r="C633" s="24" t="n">
        <v>46311.77140046296</v>
      </c>
      <c r="D633" s="12" t="inlineStr">
        <is>
          <t>BR-03</t>
        </is>
      </c>
      <c r="E633" s="12" t="inlineStr">
        <is>
          <t>T-02</t>
        </is>
      </c>
      <c r="F633" s="12" t="inlineStr">
        <is>
          <t>C-112</t>
        </is>
      </c>
      <c r="G633" s="12" t="inlineStr">
        <is>
          <t>NONE</t>
        </is>
      </c>
      <c r="H633" s="11" t="inlineStr">
        <is>
          <t>Sale Tender</t>
        </is>
      </c>
      <c r="I633" s="12" t="inlineStr">
        <is>
          <t>Card</t>
        </is>
      </c>
      <c r="J633" s="20" t="n">
        <v>6</v>
      </c>
      <c r="K633" s="25" t="n">
        <v>65.3</v>
      </c>
      <c r="L633" s="25" t="n">
        <v>65.3</v>
      </c>
      <c r="M633" s="24" t="n">
        <v>46311.77030092593</v>
      </c>
      <c r="N633" s="26">
        <f>IFERROR(IF(OR(ISBLANK(M633), M633="", ISBLANK(C633), C633=""), 0, MAX(0, ROUND((C633-M633)*86400, 0))), 0)</f>
        <v/>
      </c>
      <c r="O633" s="11">
        <f>IF(H633="Post-Bill Void", IF(AND(G633="M-904", I633="Cash"), "EXCEPTION: Concurrent Cash Void", IF(AND(I633="Cash", N633&gt;120), "CRITICAL: Delayed Cash Void", IF(N633&gt;120, "EXCEPTION: Delayed Void", "Standard Void"))), IF(H633="Line Item Void", IF(I633="Cash", "EXCEPTION: Cash Line Void", "Standard Line Void"), IF(H633="No-Sale Drawer Opening", "DRAWER OPENING", "Standard Sale")))</f>
        <v/>
      </c>
    </row>
    <row r="634" ht="18" customHeight="1">
      <c r="A634" s="15" t="inlineStr">
        <is>
          <t>EVT-10527</t>
        </is>
      </c>
      <c r="B634" s="15" t="inlineStr">
        <is>
          <t>TX-80527</t>
        </is>
      </c>
      <c r="C634" s="27" t="n">
        <v>46311.77793981481</v>
      </c>
      <c r="D634" s="15" t="inlineStr">
        <is>
          <t>BR-02</t>
        </is>
      </c>
      <c r="E634" s="15" t="inlineStr">
        <is>
          <t>T-02</t>
        </is>
      </c>
      <c r="F634" s="15" t="inlineStr">
        <is>
          <t>C-105</t>
        </is>
      </c>
      <c r="G634" s="15" t="inlineStr">
        <is>
          <t>NONE</t>
        </is>
      </c>
      <c r="H634" s="14" t="inlineStr">
        <is>
          <t>Sale Tender</t>
        </is>
      </c>
      <c r="I634" s="15" t="inlineStr">
        <is>
          <t>Card</t>
        </is>
      </c>
      <c r="J634" s="17" t="n">
        <v>5</v>
      </c>
      <c r="K634" s="28" t="n">
        <v>57.63</v>
      </c>
      <c r="L634" s="28" t="n">
        <v>57.63</v>
      </c>
      <c r="M634" s="27" t="n">
        <v>46311.77741898148</v>
      </c>
      <c r="N634" s="29">
        <f>IFERROR(IF(OR(ISBLANK(M634), M634="", ISBLANK(C634), C634=""), 0, MAX(0, ROUND((C634-M634)*86400, 0))), 0)</f>
        <v/>
      </c>
      <c r="O634" s="14">
        <f>IF(H634="Post-Bill Void", IF(AND(G634="M-904", I634="Cash"), "EXCEPTION: Concurrent Cash Void", IF(AND(I634="Cash", N634&gt;120), "CRITICAL: Delayed Cash Void", IF(N634&gt;120, "EXCEPTION: Delayed Void", "Standard Void"))), IF(H634="Line Item Void", IF(I634="Cash", "EXCEPTION: Cash Line Void", "Standard Line Void"), IF(H634="No-Sale Drawer Opening", "DRAWER OPENING", "Standard Sale")))</f>
        <v/>
      </c>
    </row>
    <row r="635" ht="18" customHeight="1">
      <c r="A635" s="12" t="inlineStr">
        <is>
          <t>EVT-10528</t>
        </is>
      </c>
      <c r="B635" s="12" t="inlineStr">
        <is>
          <t>TX-80528</t>
        </is>
      </c>
      <c r="C635" s="24" t="n">
        <v>46311.78497685185</v>
      </c>
      <c r="D635" s="12" t="inlineStr">
        <is>
          <t>BR-02</t>
        </is>
      </c>
      <c r="E635" s="12" t="inlineStr">
        <is>
          <t>T-02</t>
        </is>
      </c>
      <c r="F635" s="12" t="inlineStr">
        <is>
          <t>C-106</t>
        </is>
      </c>
      <c r="G635" s="12" t="inlineStr">
        <is>
          <t>NONE</t>
        </is>
      </c>
      <c r="H635" s="11" t="inlineStr">
        <is>
          <t>Sale Tender</t>
        </is>
      </c>
      <c r="I635" s="12" t="inlineStr">
        <is>
          <t>Card</t>
        </is>
      </c>
      <c r="J635" s="20" t="n">
        <v>2</v>
      </c>
      <c r="K635" s="25" t="n">
        <v>31.25</v>
      </c>
      <c r="L635" s="25" t="n">
        <v>31.25</v>
      </c>
      <c r="M635" s="24" t="n">
        <v>46311.78420138889</v>
      </c>
      <c r="N635" s="26">
        <f>IFERROR(IF(OR(ISBLANK(M635), M635="", ISBLANK(C635), C635=""), 0, MAX(0, ROUND((C635-M635)*86400, 0))), 0)</f>
        <v/>
      </c>
      <c r="O635" s="11">
        <f>IF(H635="Post-Bill Void", IF(AND(G635="M-904", I635="Cash"), "EXCEPTION: Concurrent Cash Void", IF(AND(I635="Cash", N635&gt;120), "CRITICAL: Delayed Cash Void", IF(N635&gt;120, "EXCEPTION: Delayed Void", "Standard Void"))), IF(H635="Line Item Void", IF(I635="Cash", "EXCEPTION: Cash Line Void", "Standard Line Void"), IF(H635="No-Sale Drawer Opening", "DRAWER OPENING", "Standard Sale")))</f>
        <v/>
      </c>
    </row>
    <row r="636" ht="18" customHeight="1">
      <c r="A636" s="15" t="inlineStr">
        <is>
          <t>EVT-10529</t>
        </is>
      </c>
      <c r="B636" s="15" t="inlineStr">
        <is>
          <t>TX-80529</t>
        </is>
      </c>
      <c r="C636" s="27" t="n">
        <v>46311.79211805556</v>
      </c>
      <c r="D636" s="15" t="inlineStr">
        <is>
          <t>BR-04</t>
        </is>
      </c>
      <c r="E636" s="15" t="inlineStr">
        <is>
          <t>T-02</t>
        </is>
      </c>
      <c r="F636" s="15" t="inlineStr">
        <is>
          <t>C-115</t>
        </is>
      </c>
      <c r="G636" s="15" t="inlineStr">
        <is>
          <t>NONE</t>
        </is>
      </c>
      <c r="H636" s="14" t="inlineStr">
        <is>
          <t>Sale Tender</t>
        </is>
      </c>
      <c r="I636" s="15" t="inlineStr">
        <is>
          <t>Cash</t>
        </is>
      </c>
      <c r="J636" s="17" t="n">
        <v>3</v>
      </c>
      <c r="K636" s="28" t="n">
        <v>35.53</v>
      </c>
      <c r="L636" s="28" t="n">
        <v>35.53</v>
      </c>
      <c r="M636" s="27" t="n">
        <v>46311.79181712963</v>
      </c>
      <c r="N636" s="29">
        <f>IFERROR(IF(OR(ISBLANK(M636), M636="", ISBLANK(C636), C636=""), 0, MAX(0, ROUND((C636-M636)*86400, 0))), 0)</f>
        <v/>
      </c>
      <c r="O636" s="14">
        <f>IF(H636="Post-Bill Void", IF(AND(G636="M-904", I636="Cash"), "EXCEPTION: Concurrent Cash Void", IF(AND(I636="Cash", N636&gt;120), "CRITICAL: Delayed Cash Void", IF(N636&gt;120, "EXCEPTION: Delayed Void", "Standard Void"))), IF(H636="Line Item Void", IF(I636="Cash", "EXCEPTION: Cash Line Void", "Standard Line Void"), IF(H636="No-Sale Drawer Opening", "DRAWER OPENING", "Standard Sale")))</f>
        <v/>
      </c>
    </row>
    <row r="637" ht="18" customHeight="1">
      <c r="A637" s="12" t="inlineStr">
        <is>
          <t>EVT-10530</t>
        </is>
      </c>
      <c r="B637" s="12" t="inlineStr">
        <is>
          <t>TX-80530</t>
        </is>
      </c>
      <c r="C637" s="24" t="n">
        <v>46311.79927083333</v>
      </c>
      <c r="D637" s="12" t="inlineStr">
        <is>
          <t>BR-02</t>
        </is>
      </c>
      <c r="E637" s="12" t="inlineStr">
        <is>
          <t>T-02</t>
        </is>
      </c>
      <c r="F637" s="12" t="inlineStr">
        <is>
          <t>C-105</t>
        </is>
      </c>
      <c r="G637" s="12" t="inlineStr">
        <is>
          <t>NONE</t>
        </is>
      </c>
      <c r="H637" s="11" t="inlineStr">
        <is>
          <t>Sale Tender</t>
        </is>
      </c>
      <c r="I637" s="12" t="inlineStr">
        <is>
          <t>Card</t>
        </is>
      </c>
      <c r="J637" s="20" t="n">
        <v>1</v>
      </c>
      <c r="K637" s="25" t="n">
        <v>11.39</v>
      </c>
      <c r="L637" s="25" t="n">
        <v>11.39</v>
      </c>
      <c r="M637" s="24" t="n">
        <v>46311.79850694445</v>
      </c>
      <c r="N637" s="26">
        <f>IFERROR(IF(OR(ISBLANK(M637), M637="", ISBLANK(C637), C637=""), 0, MAX(0, ROUND((C637-M637)*86400, 0))), 0)</f>
        <v/>
      </c>
      <c r="O637" s="11">
        <f>IF(H637="Post-Bill Void", IF(AND(G637="M-904", I637="Cash"), "EXCEPTION: Concurrent Cash Void", IF(AND(I637="Cash", N637&gt;120), "CRITICAL: Delayed Cash Void", IF(N637&gt;120, "EXCEPTION: Delayed Void", "Standard Void"))), IF(H637="Line Item Void", IF(I637="Cash", "EXCEPTION: Cash Line Void", "Standard Line Void"), IF(H637="No-Sale Drawer Opening", "DRAWER OPENING", "Standard Sale")))</f>
        <v/>
      </c>
    </row>
    <row r="638" ht="18" customHeight="1">
      <c r="A638" s="15" t="inlineStr">
        <is>
          <t>EVT-10531</t>
        </is>
      </c>
      <c r="B638" s="15" t="inlineStr">
        <is>
          <t>TX-80531</t>
        </is>
      </c>
      <c r="C638" s="27" t="n">
        <v>46311.80594907407</v>
      </c>
      <c r="D638" s="15" t="inlineStr">
        <is>
          <t>BR-03</t>
        </is>
      </c>
      <c r="E638" s="15" t="inlineStr">
        <is>
          <t>T-02</t>
        </is>
      </c>
      <c r="F638" s="15" t="inlineStr">
        <is>
          <t>C-109</t>
        </is>
      </c>
      <c r="G638" s="15" t="inlineStr">
        <is>
          <t>NONE</t>
        </is>
      </c>
      <c r="H638" s="14" t="inlineStr">
        <is>
          <t>Sale Tender</t>
        </is>
      </c>
      <c r="I638" s="15" t="inlineStr">
        <is>
          <t>Card</t>
        </is>
      </c>
      <c r="J638" s="17" t="n">
        <v>5</v>
      </c>
      <c r="K638" s="28" t="n">
        <v>59.21</v>
      </c>
      <c r="L638" s="28" t="n">
        <v>59.21</v>
      </c>
      <c r="M638" s="27" t="n">
        <v>46311.80511574074</v>
      </c>
      <c r="N638" s="29">
        <f>IFERROR(IF(OR(ISBLANK(M638), M638="", ISBLANK(C638), C638=""), 0, MAX(0, ROUND((C638-M638)*86400, 0))), 0)</f>
        <v/>
      </c>
      <c r="O638" s="14">
        <f>IF(H638="Post-Bill Void", IF(AND(G638="M-904", I638="Cash"), "EXCEPTION: Concurrent Cash Void", IF(AND(I638="Cash", N638&gt;120), "CRITICAL: Delayed Cash Void", IF(N638&gt;120, "EXCEPTION: Delayed Void", "Standard Void"))), IF(H638="Line Item Void", IF(I638="Cash", "EXCEPTION: Cash Line Void", "Standard Line Void"), IF(H638="No-Sale Drawer Opening", "DRAWER OPENING", "Standard Sale")))</f>
        <v/>
      </c>
    </row>
    <row r="639" ht="18" customHeight="1">
      <c r="A639" s="12" t="inlineStr">
        <is>
          <t>EVT-10532</t>
        </is>
      </c>
      <c r="B639" s="12" t="inlineStr">
        <is>
          <t>TX-80532</t>
        </is>
      </c>
      <c r="C639" s="24" t="n">
        <v>46311.81252314815</v>
      </c>
      <c r="D639" s="12" t="inlineStr">
        <is>
          <t>BR-03</t>
        </is>
      </c>
      <c r="E639" s="12" t="inlineStr">
        <is>
          <t>T-01</t>
        </is>
      </c>
      <c r="F639" s="12" t="inlineStr">
        <is>
          <t>C-110</t>
        </is>
      </c>
      <c r="G639" s="12" t="inlineStr">
        <is>
          <t>NONE</t>
        </is>
      </c>
      <c r="H639" s="11" t="inlineStr">
        <is>
          <t>Sale Tender</t>
        </is>
      </c>
      <c r="I639" s="12" t="inlineStr">
        <is>
          <t>Delivery Aggregator</t>
        </is>
      </c>
      <c r="J639" s="20" t="n">
        <v>2</v>
      </c>
      <c r="K639" s="25" t="n">
        <v>31.57</v>
      </c>
      <c r="L639" s="25" t="n">
        <v>31.57</v>
      </c>
      <c r="M639" s="24" t="n">
        <v>46311.81211805555</v>
      </c>
      <c r="N639" s="26">
        <f>IFERROR(IF(OR(ISBLANK(M639), M639="", ISBLANK(C639), C639=""), 0, MAX(0, ROUND((C639-M639)*86400, 0))), 0)</f>
        <v/>
      </c>
      <c r="O639" s="11">
        <f>IF(H639="Post-Bill Void", IF(AND(G639="M-904", I639="Cash"), "EXCEPTION: Concurrent Cash Void", IF(AND(I639="Cash", N639&gt;120), "CRITICAL: Delayed Cash Void", IF(N639&gt;120, "EXCEPTION: Delayed Void", "Standard Void"))), IF(H639="Line Item Void", IF(I639="Cash", "EXCEPTION: Cash Line Void", "Standard Line Void"), IF(H639="No-Sale Drawer Opening", "DRAWER OPENING", "Standard Sale")))</f>
        <v/>
      </c>
    </row>
    <row r="640" ht="18" customHeight="1">
      <c r="A640" s="15" t="inlineStr">
        <is>
          <t>EVT-10533</t>
        </is>
      </c>
      <c r="B640" s="15" t="inlineStr">
        <is>
          <t>TX-80533</t>
        </is>
      </c>
      <c r="C640" s="27" t="n">
        <v>46311.82001157408</v>
      </c>
      <c r="D640" s="15" t="inlineStr">
        <is>
          <t>BR-01</t>
        </is>
      </c>
      <c r="E640" s="15" t="inlineStr">
        <is>
          <t>T-01</t>
        </is>
      </c>
      <c r="F640" s="15" t="inlineStr">
        <is>
          <t>C-101</t>
        </is>
      </c>
      <c r="G640" s="15" t="inlineStr">
        <is>
          <t>NONE</t>
        </is>
      </c>
      <c r="H640" s="14" t="inlineStr">
        <is>
          <t>Sale Tender</t>
        </is>
      </c>
      <c r="I640" s="15" t="inlineStr">
        <is>
          <t>Delivery Aggregator</t>
        </is>
      </c>
      <c r="J640" s="17" t="n">
        <v>4</v>
      </c>
      <c r="K640" s="28" t="n">
        <v>59.07</v>
      </c>
      <c r="L640" s="28" t="n">
        <v>59.07</v>
      </c>
      <c r="M640" s="27" t="n">
        <v>46311.81940972222</v>
      </c>
      <c r="N640" s="29">
        <f>IFERROR(IF(OR(ISBLANK(M640), M640="", ISBLANK(C640), C640=""), 0, MAX(0, ROUND((C640-M640)*86400, 0))), 0)</f>
        <v/>
      </c>
      <c r="O640" s="14">
        <f>IF(H640="Post-Bill Void", IF(AND(G640="M-904", I640="Cash"), "EXCEPTION: Concurrent Cash Void", IF(AND(I640="Cash", N640&gt;120), "CRITICAL: Delayed Cash Void", IF(N640&gt;120, "EXCEPTION: Delayed Void", "Standard Void"))), IF(H640="Line Item Void", IF(I640="Cash", "EXCEPTION: Cash Line Void", "Standard Line Void"), IF(H640="No-Sale Drawer Opening", "DRAWER OPENING", "Standard Sale")))</f>
        <v/>
      </c>
    </row>
    <row r="641" ht="18" customHeight="1">
      <c r="A641" s="12" t="inlineStr">
        <is>
          <t>EVT-10534</t>
        </is>
      </c>
      <c r="B641" s="12" t="inlineStr">
        <is>
          <t>TX-80534</t>
        </is>
      </c>
      <c r="C641" s="24" t="n">
        <v>46311.82653935185</v>
      </c>
      <c r="D641" s="12" t="inlineStr">
        <is>
          <t>BR-04</t>
        </is>
      </c>
      <c r="E641" s="12" t="inlineStr">
        <is>
          <t>T-02</t>
        </is>
      </c>
      <c r="F641" s="12" t="inlineStr">
        <is>
          <t>C-115</t>
        </is>
      </c>
      <c r="G641" s="12" t="inlineStr">
        <is>
          <t>NONE</t>
        </is>
      </c>
      <c r="H641" s="11" t="inlineStr">
        <is>
          <t>Sale Tender</t>
        </is>
      </c>
      <c r="I641" s="12" t="inlineStr">
        <is>
          <t>Card</t>
        </is>
      </c>
      <c r="J641" s="20" t="n">
        <v>2</v>
      </c>
      <c r="K641" s="25" t="n">
        <v>17.36</v>
      </c>
      <c r="L641" s="25" t="n">
        <v>17.36</v>
      </c>
      <c r="M641" s="24" t="n">
        <v>46311.82614583334</v>
      </c>
      <c r="N641" s="26">
        <f>IFERROR(IF(OR(ISBLANK(M641), M641="", ISBLANK(C641), C641=""), 0, MAX(0, ROUND((C641-M641)*86400, 0))), 0)</f>
        <v/>
      </c>
      <c r="O641" s="11">
        <f>IF(H641="Post-Bill Void", IF(AND(G641="M-904", I641="Cash"), "EXCEPTION: Concurrent Cash Void", IF(AND(I641="Cash", N641&gt;120), "CRITICAL: Delayed Cash Void", IF(N641&gt;120, "EXCEPTION: Delayed Void", "Standard Void"))), IF(H641="Line Item Void", IF(I641="Cash", "EXCEPTION: Cash Line Void", "Standard Line Void"), IF(H641="No-Sale Drawer Opening", "DRAWER OPENING", "Standard Sale")))</f>
        <v/>
      </c>
    </row>
    <row r="642" ht="18" customHeight="1">
      <c r="A642" s="15" t="inlineStr">
        <is>
          <t>EVT-10535</t>
        </is>
      </c>
      <c r="B642" s="15" t="inlineStr">
        <is>
          <t>TX-80535</t>
        </is>
      </c>
      <c r="C642" s="27" t="n">
        <v>46311.83385416667</v>
      </c>
      <c r="D642" s="15" t="inlineStr">
        <is>
          <t>BR-03</t>
        </is>
      </c>
      <c r="E642" s="15" t="inlineStr">
        <is>
          <t>T-01</t>
        </is>
      </c>
      <c r="F642" s="15" t="inlineStr">
        <is>
          <t>C-109</t>
        </is>
      </c>
      <c r="G642" s="15" t="inlineStr">
        <is>
          <t>NONE</t>
        </is>
      </c>
      <c r="H642" s="14" t="inlineStr">
        <is>
          <t>Sale Tender</t>
        </is>
      </c>
      <c r="I642" s="15" t="inlineStr">
        <is>
          <t>Cash</t>
        </is>
      </c>
      <c r="J642" s="17" t="n">
        <v>3</v>
      </c>
      <c r="K642" s="28" t="n">
        <v>38.06</v>
      </c>
      <c r="L642" s="28" t="n">
        <v>38.06</v>
      </c>
      <c r="M642" s="27" t="n">
        <v>46311.83349537037</v>
      </c>
      <c r="N642" s="29">
        <f>IFERROR(IF(OR(ISBLANK(M642), M642="", ISBLANK(C642), C642=""), 0, MAX(0, ROUND((C642-M642)*86400, 0))), 0)</f>
        <v/>
      </c>
      <c r="O642" s="14">
        <f>IF(H642="Post-Bill Void", IF(AND(G642="M-904", I642="Cash"), "EXCEPTION: Concurrent Cash Void", IF(AND(I642="Cash", N642&gt;120), "CRITICAL: Delayed Cash Void", IF(N642&gt;120, "EXCEPTION: Delayed Void", "Standard Void"))), IF(H642="Line Item Void", IF(I642="Cash", "EXCEPTION: Cash Line Void", "Standard Line Void"), IF(H642="No-Sale Drawer Opening", "DRAWER OPENING", "Standard Sale")))</f>
        <v/>
      </c>
    </row>
    <row r="643" ht="18" customHeight="1">
      <c r="A643" s="12" t="inlineStr">
        <is>
          <t>EVT-10536</t>
        </is>
      </c>
      <c r="B643" s="12" t="inlineStr">
        <is>
          <t>TX-80536</t>
        </is>
      </c>
      <c r="C643" s="24" t="n">
        <v>46311.84069444444</v>
      </c>
      <c r="D643" s="12" t="inlineStr">
        <is>
          <t>BR-02</t>
        </is>
      </c>
      <c r="E643" s="12" t="inlineStr">
        <is>
          <t>T-01</t>
        </is>
      </c>
      <c r="F643" s="12" t="inlineStr">
        <is>
          <t>C-107</t>
        </is>
      </c>
      <c r="G643" s="12" t="inlineStr">
        <is>
          <t>NONE</t>
        </is>
      </c>
      <c r="H643" s="11" t="inlineStr">
        <is>
          <t>Sale Tender</t>
        </is>
      </c>
      <c r="I643" s="12" t="inlineStr">
        <is>
          <t>Card</t>
        </is>
      </c>
      <c r="J643" s="20" t="n">
        <v>4</v>
      </c>
      <c r="K643" s="25" t="n">
        <v>43.49</v>
      </c>
      <c r="L643" s="25" t="n">
        <v>43.49</v>
      </c>
      <c r="M643" s="24" t="n">
        <v>46311.83974537037</v>
      </c>
      <c r="N643" s="26">
        <f>IFERROR(IF(OR(ISBLANK(M643), M643="", ISBLANK(C643), C643=""), 0, MAX(0, ROUND((C643-M643)*86400, 0))), 0)</f>
        <v/>
      </c>
      <c r="O643" s="11">
        <f>IF(H643="Post-Bill Void", IF(AND(G643="M-904", I643="Cash"), "EXCEPTION: Concurrent Cash Void", IF(AND(I643="Cash", N643&gt;120), "CRITICAL: Delayed Cash Void", IF(N643&gt;120, "EXCEPTION: Delayed Void", "Standard Void"))), IF(H643="Line Item Void", IF(I643="Cash", "EXCEPTION: Cash Line Void", "Standard Line Void"), IF(H643="No-Sale Drawer Opening", "DRAWER OPENING", "Standard Sale")))</f>
        <v/>
      </c>
    </row>
    <row r="644" ht="18" customHeight="1">
      <c r="A644" s="15" t="inlineStr">
        <is>
          <t>EVT-10537</t>
        </is>
      </c>
      <c r="B644" s="15" t="inlineStr">
        <is>
          <t>TX-80537</t>
        </is>
      </c>
      <c r="C644" s="27" t="n">
        <v>46311.8475</v>
      </c>
      <c r="D644" s="15" t="inlineStr">
        <is>
          <t>BR-01</t>
        </is>
      </c>
      <c r="E644" s="15" t="inlineStr">
        <is>
          <t>T-02</t>
        </is>
      </c>
      <c r="F644" s="15" t="inlineStr">
        <is>
          <t>C-101</t>
        </is>
      </c>
      <c r="G644" s="15" t="inlineStr">
        <is>
          <t>NONE</t>
        </is>
      </c>
      <c r="H644" s="14" t="inlineStr">
        <is>
          <t>Sale Tender</t>
        </is>
      </c>
      <c r="I644" s="15" t="inlineStr">
        <is>
          <t>Card</t>
        </is>
      </c>
      <c r="J644" s="17" t="n">
        <v>5</v>
      </c>
      <c r="K644" s="28" t="n">
        <v>44.21</v>
      </c>
      <c r="L644" s="28" t="n">
        <v>44.21</v>
      </c>
      <c r="M644" s="27" t="n">
        <v>46311.84711805556</v>
      </c>
      <c r="N644" s="29">
        <f>IFERROR(IF(OR(ISBLANK(M644), M644="", ISBLANK(C644), C644=""), 0, MAX(0, ROUND((C644-M644)*86400, 0))), 0)</f>
        <v/>
      </c>
      <c r="O644" s="14">
        <f>IF(H644="Post-Bill Void", IF(AND(G644="M-904", I644="Cash"), "EXCEPTION: Concurrent Cash Void", IF(AND(I644="Cash", N644&gt;120), "CRITICAL: Delayed Cash Void", IF(N644&gt;120, "EXCEPTION: Delayed Void", "Standard Void"))), IF(H644="Line Item Void", IF(I644="Cash", "EXCEPTION: Cash Line Void", "Standard Line Void"), IF(H644="No-Sale Drawer Opening", "DRAWER OPENING", "Standard Sale")))</f>
        <v/>
      </c>
    </row>
    <row r="645" ht="18" customHeight="1">
      <c r="A645" s="12" t="inlineStr">
        <is>
          <t>EVT-10538</t>
        </is>
      </c>
      <c r="B645" s="12" t="inlineStr">
        <is>
          <t>TX-80538</t>
        </is>
      </c>
      <c r="C645" s="24" t="n">
        <v>46311.85479166666</v>
      </c>
      <c r="D645" s="12" t="inlineStr">
        <is>
          <t>BR-01</t>
        </is>
      </c>
      <c r="E645" s="12" t="inlineStr">
        <is>
          <t>T-02</t>
        </is>
      </c>
      <c r="F645" s="12" t="inlineStr">
        <is>
          <t>C-103</t>
        </is>
      </c>
      <c r="G645" s="12" t="inlineStr">
        <is>
          <t>NONE</t>
        </is>
      </c>
      <c r="H645" s="11" t="inlineStr">
        <is>
          <t>Sale Tender</t>
        </is>
      </c>
      <c r="I645" s="12" t="inlineStr">
        <is>
          <t>Cash</t>
        </is>
      </c>
      <c r="J645" s="20" t="n">
        <v>6</v>
      </c>
      <c r="K645" s="25" t="n">
        <v>64.56</v>
      </c>
      <c r="L645" s="25" t="n">
        <v>64.56</v>
      </c>
      <c r="M645" s="24" t="n">
        <v>46311.85435185185</v>
      </c>
      <c r="N645" s="26">
        <f>IFERROR(IF(OR(ISBLANK(M645), M645="", ISBLANK(C645), C645=""), 0, MAX(0, ROUND((C645-M645)*86400, 0))), 0)</f>
        <v/>
      </c>
      <c r="O645" s="11">
        <f>IF(H645="Post-Bill Void", IF(AND(G645="M-904", I645="Cash"), "EXCEPTION: Concurrent Cash Void", IF(AND(I645="Cash", N645&gt;120), "CRITICAL: Delayed Cash Void", IF(N645&gt;120, "EXCEPTION: Delayed Void", "Standard Void"))), IF(H645="Line Item Void", IF(I645="Cash", "EXCEPTION: Cash Line Void", "Standard Line Void"), IF(H645="No-Sale Drawer Opening", "DRAWER OPENING", "Standard Sale")))</f>
        <v/>
      </c>
    </row>
    <row r="646" ht="18" customHeight="1">
      <c r="A646" s="15" t="inlineStr">
        <is>
          <t>EVT-10539</t>
        </is>
      </c>
      <c r="B646" s="15" t="inlineStr">
        <is>
          <t>TX-80539</t>
        </is>
      </c>
      <c r="C646" s="27" t="n">
        <v>46311.86116898148</v>
      </c>
      <c r="D646" s="15" t="inlineStr">
        <is>
          <t>BR-03</t>
        </is>
      </c>
      <c r="E646" s="15" t="inlineStr">
        <is>
          <t>T-01</t>
        </is>
      </c>
      <c r="F646" s="15" t="inlineStr">
        <is>
          <t>C-112</t>
        </is>
      </c>
      <c r="G646" s="15" t="inlineStr">
        <is>
          <t>NONE</t>
        </is>
      </c>
      <c r="H646" s="14" t="inlineStr">
        <is>
          <t>Sale Tender</t>
        </is>
      </c>
      <c r="I646" s="15" t="inlineStr">
        <is>
          <t>Card</t>
        </is>
      </c>
      <c r="J646" s="17" t="n">
        <v>5</v>
      </c>
      <c r="K646" s="28" t="n">
        <v>50.74</v>
      </c>
      <c r="L646" s="28" t="n">
        <v>50.74</v>
      </c>
      <c r="M646" s="27" t="n">
        <v>46311.86084490741</v>
      </c>
      <c r="N646" s="29">
        <f>IFERROR(IF(OR(ISBLANK(M646), M646="", ISBLANK(C646), C646=""), 0, MAX(0, ROUND((C646-M646)*86400, 0))), 0)</f>
        <v/>
      </c>
      <c r="O646" s="14">
        <f>IF(H646="Post-Bill Void", IF(AND(G646="M-904", I646="Cash"), "EXCEPTION: Concurrent Cash Void", IF(AND(I646="Cash", N646&gt;120), "CRITICAL: Delayed Cash Void", IF(N646&gt;120, "EXCEPTION: Delayed Void", "Standard Void"))), IF(H646="Line Item Void", IF(I646="Cash", "EXCEPTION: Cash Line Void", "Standard Line Void"), IF(H646="No-Sale Drawer Opening", "DRAWER OPENING", "Standard Sale")))</f>
        <v/>
      </c>
    </row>
    <row r="647" ht="18" customHeight="1">
      <c r="A647" s="12" t="inlineStr">
        <is>
          <t>EVT-10540</t>
        </is>
      </c>
      <c r="B647" s="12" t="inlineStr">
        <is>
          <t>TX-80540</t>
        </is>
      </c>
      <c r="C647" s="24" t="n">
        <v>46311.86859953704</v>
      </c>
      <c r="D647" s="12" t="inlineStr">
        <is>
          <t>BR-04</t>
        </is>
      </c>
      <c r="E647" s="12" t="inlineStr">
        <is>
          <t>T-01</t>
        </is>
      </c>
      <c r="F647" s="12" t="inlineStr">
        <is>
          <t>C-115</t>
        </is>
      </c>
      <c r="G647" s="12" t="inlineStr">
        <is>
          <t>NONE</t>
        </is>
      </c>
      <c r="H647" s="11" t="inlineStr">
        <is>
          <t>Sale Tender</t>
        </is>
      </c>
      <c r="I647" s="12" t="inlineStr">
        <is>
          <t>Cash</t>
        </is>
      </c>
      <c r="J647" s="20" t="n">
        <v>6</v>
      </c>
      <c r="K647" s="25" t="n">
        <v>80.16</v>
      </c>
      <c r="L647" s="25" t="n">
        <v>80.16</v>
      </c>
      <c r="M647" s="24" t="n">
        <v>46311.86810185185</v>
      </c>
      <c r="N647" s="26">
        <f>IFERROR(IF(OR(ISBLANK(M647), M647="", ISBLANK(C647), C647=""), 0, MAX(0, ROUND((C647-M647)*86400, 0))), 0)</f>
        <v/>
      </c>
      <c r="O647" s="11">
        <f>IF(H647="Post-Bill Void", IF(AND(G647="M-904", I647="Cash"), "EXCEPTION: Concurrent Cash Void", IF(AND(I647="Cash", N647&gt;120), "CRITICAL: Delayed Cash Void", IF(N647&gt;120, "EXCEPTION: Delayed Void", "Standard Void"))), IF(H647="Line Item Void", IF(I647="Cash", "EXCEPTION: Cash Line Void", "Standard Line Void"), IF(H647="No-Sale Drawer Opening", "DRAWER OPENING", "Standard Sale")))</f>
        <v/>
      </c>
    </row>
    <row r="648" ht="18" customHeight="1">
      <c r="A648" s="15" t="inlineStr">
        <is>
          <t>EVT-10541</t>
        </is>
      </c>
      <c r="B648" s="15" t="inlineStr">
        <is>
          <t>TX-80541</t>
        </is>
      </c>
      <c r="C648" s="27" t="n">
        <v>46311.875</v>
      </c>
      <c r="D648" s="15" t="inlineStr">
        <is>
          <t>BR-02</t>
        </is>
      </c>
      <c r="E648" s="15" t="inlineStr">
        <is>
          <t>T-01</t>
        </is>
      </c>
      <c r="F648" s="15" t="inlineStr">
        <is>
          <t>C-105</t>
        </is>
      </c>
      <c r="G648" s="15" t="inlineStr">
        <is>
          <t>NONE</t>
        </is>
      </c>
      <c r="H648" s="14" t="inlineStr">
        <is>
          <t>Sale Tender</t>
        </is>
      </c>
      <c r="I648" s="15" t="inlineStr">
        <is>
          <t>Card</t>
        </is>
      </c>
      <c r="J648" s="17" t="n">
        <v>1</v>
      </c>
      <c r="K648" s="28" t="n">
        <v>10.79</v>
      </c>
      <c r="L648" s="28" t="n">
        <v>10.79</v>
      </c>
      <c r="M648" s="27" t="n">
        <v>46311.87413194445</v>
      </c>
      <c r="N648" s="29">
        <f>IFERROR(IF(OR(ISBLANK(M648), M648="", ISBLANK(C648), C648=""), 0, MAX(0, ROUND((C648-M648)*86400, 0))), 0)</f>
        <v/>
      </c>
      <c r="O648" s="14">
        <f>IF(H648="Post-Bill Void", IF(AND(G648="M-904", I648="Cash"), "EXCEPTION: Concurrent Cash Void", IF(AND(I648="Cash", N648&gt;120), "CRITICAL: Delayed Cash Void", IF(N648&gt;120, "EXCEPTION: Delayed Void", "Standard Void"))), IF(H648="Line Item Void", IF(I648="Cash", "EXCEPTION: Cash Line Void", "Standard Line Void"), IF(H648="No-Sale Drawer Opening", "DRAWER OPENING", "Standard Sale")))</f>
        <v/>
      </c>
    </row>
    <row r="649" ht="18" customHeight="1">
      <c r="A649" s="12" t="inlineStr">
        <is>
          <t>EVT-10631</t>
        </is>
      </c>
      <c r="B649" s="12" t="inlineStr">
        <is>
          <t>N/A - NO SALE</t>
        </is>
      </c>
      <c r="C649" s="24" t="n">
        <v>46311.88194444445</v>
      </c>
      <c r="D649" s="12" t="inlineStr">
        <is>
          <t>BR-01</t>
        </is>
      </c>
      <c r="E649" s="12" t="inlineStr">
        <is>
          <t>T-01</t>
        </is>
      </c>
      <c r="F649" s="12" t="inlineStr">
        <is>
          <t>C-102</t>
        </is>
      </c>
      <c r="G649" s="12" t="inlineStr">
        <is>
          <t>NONE</t>
        </is>
      </c>
      <c r="H649" s="11" t="inlineStr">
        <is>
          <t>No-Sale Drawer Opening</t>
        </is>
      </c>
      <c r="I649" s="12" t="inlineStr">
        <is>
          <t>N/A</t>
        </is>
      </c>
      <c r="J649" s="20" t="n">
        <v>0</v>
      </c>
      <c r="K649" s="25" t="n">
        <v>0</v>
      </c>
      <c r="L649" s="25" t="n">
        <v>0</v>
      </c>
      <c r="M649" s="24" t="n">
        <v>46311.88194444445</v>
      </c>
      <c r="N649" s="26">
        <f>IFERROR(IF(OR(ISBLANK(M649), M649="", ISBLANK(C649), C649=""), 0, MAX(0, ROUND((C649-M649)*86400, 0))), 0)</f>
        <v/>
      </c>
      <c r="O649" s="11">
        <f>IF(H649="Post-Bill Void", IF(AND(G649="M-904", I649="Cash"), "EXCEPTION: Concurrent Cash Void", IF(AND(I649="Cash", N649&gt;120), "CRITICAL: Delayed Cash Void", IF(N649&gt;120, "EXCEPTION: Delayed Void", "Standard Void"))), IF(H649="Line Item Void", IF(I649="Cash", "EXCEPTION: Cash Line Void", "Standard Line Void"), IF(H649="No-Sale Drawer Opening", "DRAWER OPENING", "Standard Sale")))</f>
        <v/>
      </c>
    </row>
    <row r="650" ht="18" customHeight="1">
      <c r="A650" s="15" t="inlineStr">
        <is>
          <t>EVT-10542</t>
        </is>
      </c>
      <c r="B650" s="15" t="inlineStr">
        <is>
          <t>TX-80542</t>
        </is>
      </c>
      <c r="C650" s="27" t="n">
        <v>46311.88248842592</v>
      </c>
      <c r="D650" s="15" t="inlineStr">
        <is>
          <t>BR-03</t>
        </is>
      </c>
      <c r="E650" s="15" t="inlineStr">
        <is>
          <t>T-01</t>
        </is>
      </c>
      <c r="F650" s="15" t="inlineStr">
        <is>
          <t>C-110</t>
        </is>
      </c>
      <c r="G650" s="15" t="inlineStr">
        <is>
          <t>NONE</t>
        </is>
      </c>
      <c r="H650" s="14" t="inlineStr">
        <is>
          <t>Sale Tender</t>
        </is>
      </c>
      <c r="I650" s="15" t="inlineStr">
        <is>
          <t>Cash</t>
        </is>
      </c>
      <c r="J650" s="17" t="n">
        <v>2</v>
      </c>
      <c r="K650" s="28" t="n">
        <v>20.31</v>
      </c>
      <c r="L650" s="28" t="n">
        <v>20.31</v>
      </c>
      <c r="M650" s="27" t="n">
        <v>46311.88144675926</v>
      </c>
      <c r="N650" s="29">
        <f>IFERROR(IF(OR(ISBLANK(M650), M650="", ISBLANK(C650), C650=""), 0, MAX(0, ROUND((C650-M650)*86400, 0))), 0)</f>
        <v/>
      </c>
      <c r="O650" s="14">
        <f>IF(H650="Post-Bill Void", IF(AND(G650="M-904", I650="Cash"), "EXCEPTION: Concurrent Cash Void", IF(AND(I650="Cash", N650&gt;120), "CRITICAL: Delayed Cash Void", IF(N650&gt;120, "EXCEPTION: Delayed Void", "Standard Void"))), IF(H650="Line Item Void", IF(I650="Cash", "EXCEPTION: Cash Line Void", "Standard Line Void"), IF(H650="No-Sale Drawer Opening", "DRAWER OPENING", "Standard Sale")))</f>
        <v/>
      </c>
    </row>
    <row r="651" ht="18" customHeight="1">
      <c r="A651" s="12" t="inlineStr">
        <is>
          <t>EVT-10543</t>
        </is>
      </c>
      <c r="B651" s="12" t="inlineStr">
        <is>
          <t>TX-80543</t>
        </is>
      </c>
      <c r="C651" s="24" t="n">
        <v>46311.88950231481</v>
      </c>
      <c r="D651" s="12" t="inlineStr">
        <is>
          <t>BR-03</t>
        </is>
      </c>
      <c r="E651" s="12" t="inlineStr">
        <is>
          <t>T-01</t>
        </is>
      </c>
      <c r="F651" s="12" t="inlineStr">
        <is>
          <t>C-110</t>
        </is>
      </c>
      <c r="G651" s="12" t="inlineStr">
        <is>
          <t>NONE</t>
        </is>
      </c>
      <c r="H651" s="11" t="inlineStr">
        <is>
          <t>Sale Tender</t>
        </is>
      </c>
      <c r="I651" s="12" t="inlineStr">
        <is>
          <t>Delivery Aggregator</t>
        </is>
      </c>
      <c r="J651" s="20" t="n">
        <v>5</v>
      </c>
      <c r="K651" s="25" t="n">
        <v>59.8</v>
      </c>
      <c r="L651" s="25" t="n">
        <v>59.8</v>
      </c>
      <c r="M651" s="24" t="n">
        <v>46311.88914351852</v>
      </c>
      <c r="N651" s="26">
        <f>IFERROR(IF(OR(ISBLANK(M651), M651="", ISBLANK(C651), C651=""), 0, MAX(0, ROUND((C651-M651)*86400, 0))), 0)</f>
        <v/>
      </c>
      <c r="O651" s="11">
        <f>IF(H651="Post-Bill Void", IF(AND(G651="M-904", I651="Cash"), "EXCEPTION: Concurrent Cash Void", IF(AND(I651="Cash", N651&gt;120), "CRITICAL: Delayed Cash Void", IF(N651&gt;120, "EXCEPTION: Delayed Void", "Standard Void"))), IF(H651="Line Item Void", IF(I651="Cash", "EXCEPTION: Cash Line Void", "Standard Line Void"), IF(H651="No-Sale Drawer Opening", "DRAWER OPENING", "Standard Sale")))</f>
        <v/>
      </c>
    </row>
    <row r="652" ht="18" customHeight="1">
      <c r="A652" s="15" t="inlineStr">
        <is>
          <t>EVT-10544</t>
        </is>
      </c>
      <c r="B652" s="15" t="inlineStr">
        <is>
          <t>TX-80544</t>
        </is>
      </c>
      <c r="C652" s="27" t="n">
        <v>46311.89623842593</v>
      </c>
      <c r="D652" s="15" t="inlineStr">
        <is>
          <t>BR-01</t>
        </is>
      </c>
      <c r="E652" s="15" t="inlineStr">
        <is>
          <t>T-02</t>
        </is>
      </c>
      <c r="F652" s="15" t="inlineStr">
        <is>
          <t>C-103</t>
        </is>
      </c>
      <c r="G652" s="15" t="inlineStr">
        <is>
          <t>NONE</t>
        </is>
      </c>
      <c r="H652" s="14" t="inlineStr">
        <is>
          <t>Sale Tender</t>
        </is>
      </c>
      <c r="I652" s="15" t="inlineStr">
        <is>
          <t>Cash</t>
        </is>
      </c>
      <c r="J652" s="17" t="n">
        <v>6</v>
      </c>
      <c r="K652" s="28" t="n">
        <v>77.13</v>
      </c>
      <c r="L652" s="28" t="n">
        <v>77.13</v>
      </c>
      <c r="M652" s="27" t="n">
        <v>46311.8955787037</v>
      </c>
      <c r="N652" s="29">
        <f>IFERROR(IF(OR(ISBLANK(M652), M652="", ISBLANK(C652), C652=""), 0, MAX(0, ROUND((C652-M652)*86400, 0))), 0)</f>
        <v/>
      </c>
      <c r="O652" s="14">
        <f>IF(H652="Post-Bill Void", IF(AND(G652="M-904", I652="Cash"), "EXCEPTION: Concurrent Cash Void", IF(AND(I652="Cash", N652&gt;120), "CRITICAL: Delayed Cash Void", IF(N652&gt;120, "EXCEPTION: Delayed Void", "Standard Void"))), IF(H652="Line Item Void", IF(I652="Cash", "EXCEPTION: Cash Line Void", "Standard Line Void"), IF(H652="No-Sale Drawer Opening", "DRAWER OPENING", "Standard Sale")))</f>
        <v/>
      </c>
    </row>
    <row r="653" ht="18" customHeight="1">
      <c r="A653" s="12" t="inlineStr">
        <is>
          <t>EVT-10545</t>
        </is>
      </c>
      <c r="B653" s="12" t="inlineStr">
        <is>
          <t>TX-80545</t>
        </is>
      </c>
      <c r="C653" s="24" t="n">
        <v>46311.90302083334</v>
      </c>
      <c r="D653" s="12" t="inlineStr">
        <is>
          <t>BR-03</t>
        </is>
      </c>
      <c r="E653" s="12" t="inlineStr">
        <is>
          <t>T-02</t>
        </is>
      </c>
      <c r="F653" s="12" t="inlineStr">
        <is>
          <t>C-110</t>
        </is>
      </c>
      <c r="G653" s="12" t="inlineStr">
        <is>
          <t>NONE</t>
        </is>
      </c>
      <c r="H653" s="11" t="inlineStr">
        <is>
          <t>Sale Tender</t>
        </is>
      </c>
      <c r="I653" s="12" t="inlineStr">
        <is>
          <t>Cash</t>
        </is>
      </c>
      <c r="J653" s="20" t="n">
        <v>5</v>
      </c>
      <c r="K653" s="25" t="n">
        <v>45.12</v>
      </c>
      <c r="L653" s="25" t="n">
        <v>45.12</v>
      </c>
      <c r="M653" s="24" t="n">
        <v>46311.90238425926</v>
      </c>
      <c r="N653" s="26">
        <f>IFERROR(IF(OR(ISBLANK(M653), M653="", ISBLANK(C653), C653=""), 0, MAX(0, ROUND((C653-M653)*86400, 0))), 0)</f>
        <v/>
      </c>
      <c r="O653" s="11">
        <f>IF(H653="Post-Bill Void", IF(AND(G653="M-904", I653="Cash"), "EXCEPTION: Concurrent Cash Void", IF(AND(I653="Cash", N653&gt;120), "CRITICAL: Delayed Cash Void", IF(N653&gt;120, "EXCEPTION: Delayed Void", "Standard Void"))), IF(H653="Line Item Void", IF(I653="Cash", "EXCEPTION: Cash Line Void", "Standard Line Void"), IF(H653="No-Sale Drawer Opening", "DRAWER OPENING", "Standard Sale")))</f>
        <v/>
      </c>
    </row>
    <row r="654" ht="18" customHeight="1">
      <c r="A654" s="15" t="inlineStr">
        <is>
          <t>EVT-10546</t>
        </is>
      </c>
      <c r="B654" s="15" t="inlineStr">
        <is>
          <t>TX-80546</t>
        </is>
      </c>
      <c r="C654" s="27" t="n">
        <v>46311.90986111111</v>
      </c>
      <c r="D654" s="15" t="inlineStr">
        <is>
          <t>BR-03</t>
        </is>
      </c>
      <c r="E654" s="15" t="inlineStr">
        <is>
          <t>T-01</t>
        </is>
      </c>
      <c r="F654" s="15" t="inlineStr">
        <is>
          <t>C-112</t>
        </is>
      </c>
      <c r="G654" s="15" t="inlineStr">
        <is>
          <t>NONE</t>
        </is>
      </c>
      <c r="H654" s="14" t="inlineStr">
        <is>
          <t>Sale Tender</t>
        </is>
      </c>
      <c r="I654" s="15" t="inlineStr">
        <is>
          <t>Card</t>
        </is>
      </c>
      <c r="J654" s="17" t="n">
        <v>2</v>
      </c>
      <c r="K654" s="28" t="n">
        <v>25.48</v>
      </c>
      <c r="L654" s="28" t="n">
        <v>25.48</v>
      </c>
      <c r="M654" s="27" t="n">
        <v>46311.90912037037</v>
      </c>
      <c r="N654" s="29">
        <f>IFERROR(IF(OR(ISBLANK(M654), M654="", ISBLANK(C654), C654=""), 0, MAX(0, ROUND((C654-M654)*86400, 0))), 0)</f>
        <v/>
      </c>
      <c r="O654" s="14">
        <f>IF(H654="Post-Bill Void", IF(AND(G654="M-904", I654="Cash"), "EXCEPTION: Concurrent Cash Void", IF(AND(I654="Cash", N654&gt;120), "CRITICAL: Delayed Cash Void", IF(N654&gt;120, "EXCEPTION: Delayed Void", "Standard Void"))), IF(H654="Line Item Void", IF(I654="Cash", "EXCEPTION: Cash Line Void", "Standard Line Void"), IF(H654="No-Sale Drawer Opening", "DRAWER OPENING", "Standard Sale")))</f>
        <v/>
      </c>
    </row>
    <row r="655" ht="18" customHeight="1">
      <c r="A655" s="12" t="inlineStr">
        <is>
          <t>EVT-10594</t>
        </is>
      </c>
      <c r="B655" s="12" t="inlineStr">
        <is>
          <t>N/A - NO SALE</t>
        </is>
      </c>
      <c r="C655" s="24" t="n">
        <v>46311.91111111111</v>
      </c>
      <c r="D655" s="12" t="inlineStr">
        <is>
          <t>BR-03</t>
        </is>
      </c>
      <c r="E655" s="12" t="inlineStr">
        <is>
          <t>T-02</t>
        </is>
      </c>
      <c r="F655" s="12" t="inlineStr">
        <is>
          <t>C-112</t>
        </is>
      </c>
      <c r="G655" s="12" t="inlineStr">
        <is>
          <t>NONE</t>
        </is>
      </c>
      <c r="H655" s="11" t="inlineStr">
        <is>
          <t>No-Sale Drawer Opening</t>
        </is>
      </c>
      <c r="I655" s="12" t="inlineStr">
        <is>
          <t>N/A</t>
        </is>
      </c>
      <c r="J655" s="20" t="n">
        <v>0</v>
      </c>
      <c r="K655" s="25" t="n">
        <v>0</v>
      </c>
      <c r="L655" s="25" t="n">
        <v>0</v>
      </c>
      <c r="M655" s="24" t="n">
        <v>46311.91111111111</v>
      </c>
      <c r="N655" s="26">
        <f>IFERROR(IF(OR(ISBLANK(M655), M655="", ISBLANK(C655), C655=""), 0, MAX(0, ROUND((C655-M655)*86400, 0))), 0)</f>
        <v/>
      </c>
      <c r="O655" s="11">
        <f>IF(H655="Post-Bill Void", IF(AND(G655="M-904", I655="Cash"), "EXCEPTION: Concurrent Cash Void", IF(AND(I655="Cash", N655&gt;120), "CRITICAL: Delayed Cash Void", IF(N655&gt;120, "EXCEPTION: Delayed Void", "Standard Void"))), IF(H655="Line Item Void", IF(I655="Cash", "EXCEPTION: Cash Line Void", "Standard Line Void"), IF(H655="No-Sale Drawer Opening", "DRAWER OPENING", "Standard Sale")))</f>
        <v/>
      </c>
    </row>
    <row r="656" ht="18" customHeight="1">
      <c r="A656" s="15" t="inlineStr">
        <is>
          <t>EVT-10566</t>
        </is>
      </c>
      <c r="B656" s="15" t="inlineStr">
        <is>
          <t>TX-80566</t>
        </is>
      </c>
      <c r="C656" s="27" t="n">
        <v>46311.91875</v>
      </c>
      <c r="D656" s="15" t="inlineStr">
        <is>
          <t>BR-02</t>
        </is>
      </c>
      <c r="E656" s="15" t="inlineStr">
        <is>
          <t>T-01</t>
        </is>
      </c>
      <c r="F656" s="15" t="inlineStr">
        <is>
          <t>C-108</t>
        </is>
      </c>
      <c r="G656" s="15" t="inlineStr">
        <is>
          <t>M-902</t>
        </is>
      </c>
      <c r="H656" s="14" t="inlineStr">
        <is>
          <t>Line Item Void</t>
        </is>
      </c>
      <c r="I656" s="15" t="inlineStr">
        <is>
          <t>Cash</t>
        </is>
      </c>
      <c r="J656" s="17" t="n">
        <v>2</v>
      </c>
      <c r="K656" s="28" t="n">
        <v>31.78</v>
      </c>
      <c r="L656" s="28" t="n">
        <v>0</v>
      </c>
      <c r="M656" s="27" t="n">
        <v>46311.91810185185</v>
      </c>
      <c r="N656" s="29">
        <f>IFERROR(IF(OR(ISBLANK(M656), M656="", ISBLANK(C656), C656=""), 0, MAX(0, ROUND((C656-M656)*86400, 0))), 0)</f>
        <v/>
      </c>
      <c r="O656" s="14">
        <f>IF(H656="Post-Bill Void", IF(AND(G656="M-904", I656="Cash"), "EXCEPTION: Concurrent Cash Void", IF(AND(I656="Cash", N656&gt;120), "CRITICAL: Delayed Cash Void", IF(N656&gt;120, "EXCEPTION: Delayed Void", "Standard Void"))), IF(H656="Line Item Void", IF(I656="Cash", "EXCEPTION: Cash Line Void", "Standard Line Void"), IF(H656="No-Sale Drawer Opening", "DRAWER OPENING", "Standard Sale")))</f>
        <v/>
      </c>
    </row>
    <row r="657" ht="18" customHeight="1">
      <c r="A657" s="12" t="inlineStr">
        <is>
          <t>EVT-10647</t>
        </is>
      </c>
      <c r="B657" s="12" t="inlineStr">
        <is>
          <t>N/A - NO SALE</t>
        </is>
      </c>
      <c r="C657" s="24" t="n">
        <v>46311.92569444444</v>
      </c>
      <c r="D657" s="12" t="inlineStr">
        <is>
          <t>BR-03</t>
        </is>
      </c>
      <c r="E657" s="12" t="inlineStr">
        <is>
          <t>T-01</t>
        </is>
      </c>
      <c r="F657" s="12" t="inlineStr">
        <is>
          <t>C-109</t>
        </is>
      </c>
      <c r="G657" s="12" t="inlineStr">
        <is>
          <t>NONE</t>
        </is>
      </c>
      <c r="H657" s="11" t="inlineStr">
        <is>
          <t>No-Sale Drawer Opening</t>
        </is>
      </c>
      <c r="I657" s="12" t="inlineStr">
        <is>
          <t>N/A</t>
        </is>
      </c>
      <c r="J657" s="20" t="n">
        <v>0</v>
      </c>
      <c r="K657" s="25" t="n">
        <v>0</v>
      </c>
      <c r="L657" s="25" t="n">
        <v>0</v>
      </c>
      <c r="M657" s="24" t="n">
        <v>46311.92569444444</v>
      </c>
      <c r="N657" s="26">
        <f>IFERROR(IF(OR(ISBLANK(M657), M657="", ISBLANK(C657), C657=""), 0, MAX(0, ROUND((C657-M657)*86400, 0))), 0)</f>
        <v/>
      </c>
      <c r="O657" s="11">
        <f>IF(H657="Post-Bill Void", IF(AND(G657="M-904", I657="Cash"), "EXCEPTION: Concurrent Cash Void", IF(AND(I657="Cash", N657&gt;120), "CRITICAL: Delayed Cash Void", IF(N657&gt;120, "EXCEPTION: Delayed Void", "Standard Void"))), IF(H657="Line Item Void", IF(I657="Cash", "EXCEPTION: Cash Line Void", "Standard Line Void"), IF(H657="No-Sale Drawer Opening", "DRAWER OPENING", "Standard Sale")))</f>
        <v/>
      </c>
    </row>
    <row r="658" ht="18" customHeight="1">
      <c r="A658" s="15" t="inlineStr">
        <is>
          <t>EVT-10593</t>
        </is>
      </c>
      <c r="B658" s="15" t="inlineStr">
        <is>
          <t>N/A - NO SALE</t>
        </is>
      </c>
      <c r="C658" s="27" t="n">
        <v>46311.93055555555</v>
      </c>
      <c r="D658" s="15" t="inlineStr">
        <is>
          <t>BR-03</t>
        </is>
      </c>
      <c r="E658" s="15" t="inlineStr">
        <is>
          <t>T-02</t>
        </is>
      </c>
      <c r="F658" s="15" t="inlineStr">
        <is>
          <t>C-112</t>
        </is>
      </c>
      <c r="G658" s="15" t="inlineStr">
        <is>
          <t>NONE</t>
        </is>
      </c>
      <c r="H658" s="14" t="inlineStr">
        <is>
          <t>No-Sale Drawer Opening</t>
        </is>
      </c>
      <c r="I658" s="15" t="inlineStr">
        <is>
          <t>N/A</t>
        </is>
      </c>
      <c r="J658" s="17" t="n">
        <v>0</v>
      </c>
      <c r="K658" s="28" t="n">
        <v>0</v>
      </c>
      <c r="L658" s="28" t="n">
        <v>0</v>
      </c>
      <c r="M658" s="27" t="n">
        <v>46311.93055555555</v>
      </c>
      <c r="N658" s="29">
        <f>IFERROR(IF(OR(ISBLANK(M658), M658="", ISBLANK(C658), C658=""), 0, MAX(0, ROUND((C658-M658)*86400, 0))), 0)</f>
        <v/>
      </c>
      <c r="O658" s="14">
        <f>IF(H658="Post-Bill Void", IF(AND(G658="M-904", I658="Cash"), "EXCEPTION: Concurrent Cash Void", IF(AND(I658="Cash", N658&gt;120), "CRITICAL: Delayed Cash Void", IF(N658&gt;120, "EXCEPTION: Delayed Void", "Standard Void"))), IF(H658="Line Item Void", IF(I658="Cash", "EXCEPTION: Cash Line Void", "Standard Line Void"), IF(H658="No-Sale Drawer Opening", "DRAWER OPENING", "Standard Sale")))</f>
        <v/>
      </c>
    </row>
    <row r="659" ht="18" customHeight="1">
      <c r="A659" s="12" t="inlineStr">
        <is>
          <t>EVT-10620</t>
        </is>
      </c>
      <c r="B659" s="12" t="inlineStr">
        <is>
          <t>N/A - NO SALE</t>
        </is>
      </c>
      <c r="C659" s="24" t="n">
        <v>46311.94236111111</v>
      </c>
      <c r="D659" s="12" t="inlineStr">
        <is>
          <t>BR-03</t>
        </is>
      </c>
      <c r="E659" s="12" t="inlineStr">
        <is>
          <t>T-02</t>
        </is>
      </c>
      <c r="F659" s="12" t="inlineStr">
        <is>
          <t>C-112</t>
        </is>
      </c>
      <c r="G659" s="12" t="inlineStr">
        <is>
          <t>NONE</t>
        </is>
      </c>
      <c r="H659" s="11" t="inlineStr">
        <is>
          <t>No-Sale Drawer Opening</t>
        </is>
      </c>
      <c r="I659" s="12" t="inlineStr">
        <is>
          <t>N/A</t>
        </is>
      </c>
      <c r="J659" s="20" t="n">
        <v>0</v>
      </c>
      <c r="K659" s="25" t="n">
        <v>0</v>
      </c>
      <c r="L659" s="25" t="n">
        <v>0</v>
      </c>
      <c r="M659" s="24" t="n">
        <v>46311.94236111111</v>
      </c>
      <c r="N659" s="26">
        <f>IFERROR(IF(OR(ISBLANK(M659), M659="", ISBLANK(C659), C659=""), 0, MAX(0, ROUND((C659-M659)*86400, 0))), 0)</f>
        <v/>
      </c>
      <c r="O659" s="11">
        <f>IF(H659="Post-Bill Void", IF(AND(G659="M-904", I659="Cash"), "EXCEPTION: Concurrent Cash Void", IF(AND(I659="Cash", N659&gt;120), "CRITICAL: Delayed Cash Void", IF(N659&gt;120, "EXCEPTION: Delayed Void", "Standard Void"))), IF(H659="Line Item Void", IF(I659="Cash", "EXCEPTION: Cash Line Void", "Standard Line Void"), IF(H659="No-Sale Drawer Opening", "DRAWER OPENING", "Standard Sale")))</f>
        <v/>
      </c>
    </row>
    <row r="660" ht="18" customHeight="1">
      <c r="A660" s="15" t="inlineStr">
        <is>
          <t>EVT-10622</t>
        </is>
      </c>
      <c r="B660" s="15" t="inlineStr">
        <is>
          <t>N/A - NO SALE</t>
        </is>
      </c>
      <c r="C660" s="27" t="n">
        <v>46311.94444444445</v>
      </c>
      <c r="D660" s="15" t="inlineStr">
        <is>
          <t>BR-03</t>
        </is>
      </c>
      <c r="E660" s="15" t="inlineStr">
        <is>
          <t>T-02</t>
        </is>
      </c>
      <c r="F660" s="15" t="inlineStr">
        <is>
          <t>C-112</t>
        </is>
      </c>
      <c r="G660" s="15" t="inlineStr">
        <is>
          <t>NONE</t>
        </is>
      </c>
      <c r="H660" s="14" t="inlineStr">
        <is>
          <t>No-Sale Drawer Opening</t>
        </is>
      </c>
      <c r="I660" s="15" t="inlineStr">
        <is>
          <t>N/A</t>
        </is>
      </c>
      <c r="J660" s="17" t="n">
        <v>0</v>
      </c>
      <c r="K660" s="28" t="n">
        <v>0</v>
      </c>
      <c r="L660" s="28" t="n">
        <v>0</v>
      </c>
      <c r="M660" s="27" t="n">
        <v>46311.94444444445</v>
      </c>
      <c r="N660" s="29">
        <f>IFERROR(IF(OR(ISBLANK(M660), M660="", ISBLANK(C660), C660=""), 0, MAX(0, ROUND((C660-M660)*86400, 0))), 0)</f>
        <v/>
      </c>
      <c r="O660" s="14">
        <f>IF(H660="Post-Bill Void", IF(AND(G660="M-904", I660="Cash"), "EXCEPTION: Concurrent Cash Void", IF(AND(I660="Cash", N660&gt;120), "CRITICAL: Delayed Cash Void", IF(N660&gt;120, "EXCEPTION: Delayed Void", "Standard Void"))), IF(H660="Line Item Void", IF(I660="Cash", "EXCEPTION: Cash Line Void", "Standard Line Void"), IF(H660="No-Sale Drawer Opening", "DRAWER OPENING", "Standard Sale")))</f>
        <v/>
      </c>
    </row>
    <row r="661" ht="18" customHeight="1">
      <c r="A661" s="12" t="inlineStr">
        <is>
          <t>EVT-10618</t>
        </is>
      </c>
      <c r="B661" s="12" t="inlineStr">
        <is>
          <t>N/A - NO SALE</t>
        </is>
      </c>
      <c r="C661" s="24" t="n">
        <v>46311.95486111111</v>
      </c>
      <c r="D661" s="12" t="inlineStr">
        <is>
          <t>BR-03</t>
        </is>
      </c>
      <c r="E661" s="12" t="inlineStr">
        <is>
          <t>T-02</t>
        </is>
      </c>
      <c r="F661" s="12" t="inlineStr">
        <is>
          <t>C-112</t>
        </is>
      </c>
      <c r="G661" s="12" t="inlineStr">
        <is>
          <t>NONE</t>
        </is>
      </c>
      <c r="H661" s="11" t="inlineStr">
        <is>
          <t>No-Sale Drawer Opening</t>
        </is>
      </c>
      <c r="I661" s="12" t="inlineStr">
        <is>
          <t>N/A</t>
        </is>
      </c>
      <c r="J661" s="20" t="n">
        <v>0</v>
      </c>
      <c r="K661" s="25" t="n">
        <v>0</v>
      </c>
      <c r="L661" s="25" t="n">
        <v>0</v>
      </c>
      <c r="M661" s="24" t="n">
        <v>46311.95486111111</v>
      </c>
      <c r="N661" s="26">
        <f>IFERROR(IF(OR(ISBLANK(M661), M661="", ISBLANK(C661), C661=""), 0, MAX(0, ROUND((C661-M661)*86400, 0))), 0)</f>
        <v/>
      </c>
      <c r="O661" s="11">
        <f>IF(H661="Post-Bill Void", IF(AND(G661="M-904", I661="Cash"), "EXCEPTION: Concurrent Cash Void", IF(AND(I661="Cash", N661&gt;120), "CRITICAL: Delayed Cash Void", IF(N661&gt;120, "EXCEPTION: Delayed Void", "Standard Void"))), IF(H661="Line Item Void", IF(I661="Cash", "EXCEPTION: Cash Line Void", "Standard Line Void"), IF(H661="No-Sale Drawer Opening", "DRAWER OPENING", "Standard Sale")))</f>
        <v/>
      </c>
    </row>
    <row r="662" ht="18" customHeight="1">
      <c r="A662" s="15" t="inlineStr">
        <is>
          <t>EVT-10614</t>
        </is>
      </c>
      <c r="B662" s="15" t="inlineStr">
        <is>
          <t>N/A - NO SALE</t>
        </is>
      </c>
      <c r="C662" s="27" t="n">
        <v>46311.95833333334</v>
      </c>
      <c r="D662" s="15" t="inlineStr">
        <is>
          <t>BR-03</t>
        </is>
      </c>
      <c r="E662" s="15" t="inlineStr">
        <is>
          <t>T-02</t>
        </is>
      </c>
      <c r="F662" s="15" t="inlineStr">
        <is>
          <t>C-112</t>
        </is>
      </c>
      <c r="G662" s="15" t="inlineStr">
        <is>
          <t>NONE</t>
        </is>
      </c>
      <c r="H662" s="14" t="inlineStr">
        <is>
          <t>No-Sale Drawer Opening</t>
        </is>
      </c>
      <c r="I662" s="15" t="inlineStr">
        <is>
          <t>N/A</t>
        </is>
      </c>
      <c r="J662" s="17" t="n">
        <v>0</v>
      </c>
      <c r="K662" s="28" t="n">
        <v>0</v>
      </c>
      <c r="L662" s="28" t="n">
        <v>0</v>
      </c>
      <c r="M662" s="27" t="n">
        <v>46311.95833333334</v>
      </c>
      <c r="N662" s="29">
        <f>IFERROR(IF(OR(ISBLANK(M662), M662="", ISBLANK(C662), C662=""), 0, MAX(0, ROUND((C662-M662)*86400, 0))), 0)</f>
        <v/>
      </c>
      <c r="O662" s="14">
        <f>IF(H662="Post-Bill Void", IF(AND(G662="M-904", I662="Cash"), "EXCEPTION: Concurrent Cash Void", IF(AND(I662="Cash", N662&gt;120), "CRITICAL: Delayed Cash Void", IF(N662&gt;120, "EXCEPTION: Delayed Void", "Standard Void"))), IF(H662="Line Item Void", IF(I662="Cash", "EXCEPTION: Cash Line Void", "Standard Line Void"), IF(H662="No-Sale Drawer Opening", "DRAWER OPENING", "Standard Sale")))</f>
        <v/>
      </c>
    </row>
    <row r="663" ht="18" customHeight="1">
      <c r="A663" s="12" t="inlineStr">
        <is>
          <t>EVT-10596</t>
        </is>
      </c>
      <c r="B663" s="12" t="inlineStr">
        <is>
          <t>N/A - NO SALE</t>
        </is>
      </c>
      <c r="C663" s="24" t="n">
        <v>46311.9625</v>
      </c>
      <c r="D663" s="12" t="inlineStr">
        <is>
          <t>BR-03</t>
        </is>
      </c>
      <c r="E663" s="12" t="inlineStr">
        <is>
          <t>T-02</t>
        </is>
      </c>
      <c r="F663" s="12" t="inlineStr">
        <is>
          <t>C-112</t>
        </is>
      </c>
      <c r="G663" s="12" t="inlineStr">
        <is>
          <t>NONE</t>
        </is>
      </c>
      <c r="H663" s="11" t="inlineStr">
        <is>
          <t>No-Sale Drawer Opening</t>
        </is>
      </c>
      <c r="I663" s="12" t="inlineStr">
        <is>
          <t>N/A</t>
        </is>
      </c>
      <c r="J663" s="20" t="n">
        <v>0</v>
      </c>
      <c r="K663" s="25" t="n">
        <v>0</v>
      </c>
      <c r="L663" s="25" t="n">
        <v>0</v>
      </c>
      <c r="M663" s="24" t="n">
        <v>46311.9625</v>
      </c>
      <c r="N663" s="26">
        <f>IFERROR(IF(OR(ISBLANK(M663), M663="", ISBLANK(C663), C663=""), 0, MAX(0, ROUND((C663-M663)*86400, 0))), 0)</f>
        <v/>
      </c>
      <c r="O663" s="11">
        <f>IF(H663="Post-Bill Void", IF(AND(G663="M-904", I663="Cash"), "EXCEPTION: Concurrent Cash Void", IF(AND(I663="Cash", N663&gt;120), "CRITICAL: Delayed Cash Void", IF(N663&gt;120, "EXCEPTION: Delayed Void", "Standard Void"))), IF(H663="Line Item Void", IF(I663="Cash", "EXCEPTION: Cash Line Void", "Standard Line Void"), IF(H663="No-Sale Drawer Opening", "DRAWER OPENING", "Standard Sale")))</f>
        <v/>
      </c>
    </row>
    <row r="664" ht="18" customHeight="1">
      <c r="A664" s="15" t="inlineStr">
        <is>
          <t>EVT-10648</t>
        </is>
      </c>
      <c r="B664" s="15" t="inlineStr">
        <is>
          <t>TX-80598</t>
        </is>
      </c>
      <c r="C664" s="27" t="n">
        <v>46311.99722222222</v>
      </c>
      <c r="D664" s="15" t="inlineStr">
        <is>
          <t>BR-03</t>
        </is>
      </c>
      <c r="E664" s="15" t="inlineStr">
        <is>
          <t>T-01</t>
        </is>
      </c>
      <c r="F664" s="15" t="inlineStr">
        <is>
          <t>C-110</t>
        </is>
      </c>
      <c r="G664" s="15" t="inlineStr">
        <is>
          <t>M-903</t>
        </is>
      </c>
      <c r="H664" s="14" t="inlineStr">
        <is>
          <t>Post-Bill Void</t>
        </is>
      </c>
      <c r="I664" s="15" t="inlineStr">
        <is>
          <t>Card</t>
        </is>
      </c>
      <c r="J664" s="17" t="n">
        <v>1</v>
      </c>
      <c r="K664" s="28" t="n">
        <v>21.11</v>
      </c>
      <c r="L664" s="28" t="n">
        <v>0</v>
      </c>
      <c r="M664" s="27" t="n">
        <v>46311.99685185185</v>
      </c>
      <c r="N664" s="29">
        <f>IFERROR(IF(OR(ISBLANK(M664), M664="", ISBLANK(C664), C664=""), 0, MAX(0, ROUND((C664-M664)*86400, 0))), 0)</f>
        <v/>
      </c>
      <c r="O664" s="14">
        <f>IF(H664="Post-Bill Void", IF(AND(G664="M-904", I664="Cash"), "EXCEPTION: Concurrent Cash Void", IF(AND(I664="Cash", N664&gt;120), "CRITICAL: Delayed Cash Void", IF(N664&gt;120, "EXCEPTION: Delayed Void", "Standard Void"))), IF(H664="Line Item Void", IF(I664="Cash", "EXCEPTION: Cash Line Void", "Standard Line Void"), IF(H664="No-Sale Drawer Opening", "DRAWER OPENING", "Standard Sale")))</f>
        <v/>
      </c>
    </row>
    <row r="665" ht="18" customHeight="1">
      <c r="A665" s="12" t="inlineStr">
        <is>
          <t>EVT-10669</t>
        </is>
      </c>
      <c r="B665" s="12" t="inlineStr">
        <is>
          <t>TX-80613</t>
        </is>
      </c>
      <c r="C665" s="24" t="n">
        <v>46312.01111111111</v>
      </c>
      <c r="D665" s="12" t="inlineStr">
        <is>
          <t>BR-04</t>
        </is>
      </c>
      <c r="E665" s="12" t="inlineStr">
        <is>
          <t>T-02</t>
        </is>
      </c>
      <c r="F665" s="12" t="inlineStr">
        <is>
          <t>C-115</t>
        </is>
      </c>
      <c r="G665" s="12" t="inlineStr">
        <is>
          <t>M-904</t>
        </is>
      </c>
      <c r="H665" s="11" t="inlineStr">
        <is>
          <t>Post-Bill Void</t>
        </is>
      </c>
      <c r="I665" s="12" t="inlineStr">
        <is>
          <t>Cash</t>
        </is>
      </c>
      <c r="J665" s="20" t="n">
        <v>2</v>
      </c>
      <c r="K665" s="25" t="n">
        <v>49.71</v>
      </c>
      <c r="L665" s="25" t="n">
        <v>0</v>
      </c>
      <c r="M665" s="24" t="n">
        <v>46312.01056712963</v>
      </c>
      <c r="N665" s="26">
        <f>IFERROR(IF(OR(ISBLANK(M665), M665="", ISBLANK(C665), C665=""), 0, MAX(0, ROUND((C665-M665)*86400, 0))), 0)</f>
        <v/>
      </c>
      <c r="O665" s="11">
        <f>IF(H665="Post-Bill Void", IF(AND(G665="M-904", I665="Cash"), "EXCEPTION: Concurrent Cash Void", IF(AND(I665="Cash", N665&gt;120), "CRITICAL: Delayed Cash Void", IF(N665&gt;120, "EXCEPTION: Delayed Void", "Standard Void"))), IF(H665="Line Item Void", IF(I665="Cash", "EXCEPTION: Cash Line Void", "Standard Line Void"), IF(H665="No-Sale Drawer Opening", "DRAWER OPENING", "Standard Sale")))</f>
        <v/>
      </c>
    </row>
    <row r="666" ht="18" customHeight="1">
      <c r="A666" s="15" t="inlineStr">
        <is>
          <t>EVT-10552</t>
        </is>
      </c>
      <c r="B666" s="15" t="inlineStr">
        <is>
          <t>TX-80552</t>
        </is>
      </c>
      <c r="C666" s="27" t="n">
        <v>46312.01875</v>
      </c>
      <c r="D666" s="15" t="inlineStr">
        <is>
          <t>BR-01</t>
        </is>
      </c>
      <c r="E666" s="15" t="inlineStr">
        <is>
          <t>T-02</t>
        </is>
      </c>
      <c r="F666" s="15" t="inlineStr">
        <is>
          <t>C-104</t>
        </is>
      </c>
      <c r="G666" s="15" t="inlineStr">
        <is>
          <t>M-901</t>
        </is>
      </c>
      <c r="H666" s="14" t="inlineStr">
        <is>
          <t>Post-Bill Void</t>
        </is>
      </c>
      <c r="I666" s="15" t="inlineStr">
        <is>
          <t>Cash</t>
        </is>
      </c>
      <c r="J666" s="17" t="n">
        <v>3</v>
      </c>
      <c r="K666" s="28" t="n">
        <v>48.32</v>
      </c>
      <c r="L666" s="28" t="n">
        <v>0</v>
      </c>
      <c r="M666" s="27" t="n">
        <v>46312.01525462963</v>
      </c>
      <c r="N666" s="29">
        <f>IFERROR(IF(OR(ISBLANK(M666), M666="", ISBLANK(C666), C666=""), 0, MAX(0, ROUND((C666-M666)*86400, 0))), 0)</f>
        <v/>
      </c>
      <c r="O666" s="14">
        <f>IF(H666="Post-Bill Void", IF(AND(G666="M-904", I666="Cash"), "EXCEPTION: Concurrent Cash Void", IF(AND(I666="Cash", N666&gt;120), "CRITICAL: Delayed Cash Void", IF(N666&gt;120, "EXCEPTION: Delayed Void", "Standard Void"))), IF(H666="Line Item Void", IF(I666="Cash", "EXCEPTION: Cash Line Void", "Standard Line Void"), IF(H666="No-Sale Drawer Opening", "DRAWER OPENING", "Standard Sale")))</f>
        <v/>
      </c>
    </row>
    <row r="667" ht="18" customHeight="1">
      <c r="A667" s="12" t="inlineStr">
        <is>
          <t>EVT-10548</t>
        </is>
      </c>
      <c r="B667" s="12" t="inlineStr">
        <is>
          <t>TX-80548</t>
        </is>
      </c>
      <c r="C667" s="24" t="n">
        <v>46312.05208333334</v>
      </c>
      <c r="D667" s="12" t="inlineStr">
        <is>
          <t>BR-01</t>
        </is>
      </c>
      <c r="E667" s="12" t="inlineStr">
        <is>
          <t>T-02</t>
        </is>
      </c>
      <c r="F667" s="12" t="inlineStr">
        <is>
          <t>C-104</t>
        </is>
      </c>
      <c r="G667" s="12" t="inlineStr">
        <is>
          <t>M-901</t>
        </is>
      </c>
      <c r="H667" s="11" t="inlineStr">
        <is>
          <t>Post-Bill Void</t>
        </is>
      </c>
      <c r="I667" s="12" t="inlineStr">
        <is>
          <t>Cash</t>
        </is>
      </c>
      <c r="J667" s="20" t="n">
        <v>5</v>
      </c>
      <c r="K667" s="25" t="n">
        <v>81.06999999999999</v>
      </c>
      <c r="L667" s="25" t="n">
        <v>0</v>
      </c>
      <c r="M667" s="24" t="n">
        <v>46312.04798611111</v>
      </c>
      <c r="N667" s="26">
        <f>IFERROR(IF(OR(ISBLANK(M667), M667="", ISBLANK(C667), C667=""), 0, MAX(0, ROUND((C667-M667)*86400, 0))), 0)</f>
        <v/>
      </c>
      <c r="O667" s="11">
        <f>IF(H667="Post-Bill Void", IF(AND(G667="M-904", I667="Cash"), "EXCEPTION: Concurrent Cash Void", IF(AND(I667="Cash", N667&gt;120), "CRITICAL: Delayed Cash Void", IF(N667&gt;120, "EXCEPTION: Delayed Void", "Standard Void"))), IF(H667="Line Item Void", IF(I667="Cash", "EXCEPTION: Cash Line Void", "Standard Line Void"), IF(H667="No-Sale Drawer Opening", "DRAWER OPENING", "Standard Sale")))</f>
        <v/>
      </c>
    </row>
    <row r="668" ht="18" customHeight="1">
      <c r="A668" s="15" t="inlineStr">
        <is>
          <t>EVT-10664</t>
        </is>
      </c>
      <c r="B668" s="15" t="inlineStr">
        <is>
          <t>TX-80608</t>
        </is>
      </c>
      <c r="C668" s="27" t="n">
        <v>46312.07013888889</v>
      </c>
      <c r="D668" s="15" t="inlineStr">
        <is>
          <t>BR-04</t>
        </is>
      </c>
      <c r="E668" s="15" t="inlineStr">
        <is>
          <t>T-02</t>
        </is>
      </c>
      <c r="F668" s="15" t="inlineStr">
        <is>
          <t>C-115</t>
        </is>
      </c>
      <c r="G668" s="15" t="inlineStr">
        <is>
          <t>M-904</t>
        </is>
      </c>
      <c r="H668" s="14" t="inlineStr">
        <is>
          <t>Post-Bill Void</t>
        </is>
      </c>
      <c r="I668" s="15" t="inlineStr">
        <is>
          <t>Cash</t>
        </is>
      </c>
      <c r="J668" s="17" t="n">
        <v>2</v>
      </c>
      <c r="K668" s="28" t="n">
        <v>35.1</v>
      </c>
      <c r="L668" s="28" t="n">
        <v>0</v>
      </c>
      <c r="M668" s="27" t="n">
        <v>46312.06938657408</v>
      </c>
      <c r="N668" s="29">
        <f>IFERROR(IF(OR(ISBLANK(M668), M668="", ISBLANK(C668), C668=""), 0, MAX(0, ROUND((C668-M668)*86400, 0))), 0)</f>
        <v/>
      </c>
      <c r="O668" s="14">
        <f>IF(H668="Post-Bill Void", IF(AND(G668="M-904", I668="Cash"), "EXCEPTION: Concurrent Cash Void", IF(AND(I668="Cash", N668&gt;120), "CRITICAL: Delayed Cash Void", IF(N668&gt;120, "EXCEPTION: Delayed Void", "Standard Void"))), IF(H668="Line Item Void", IF(I668="Cash", "EXCEPTION: Cash Line Void", "Standard Line Void"), IF(H668="No-Sale Drawer Opening", "DRAWER OPENING", "Standard Sale")))</f>
        <v/>
      </c>
    </row>
    <row r="669" ht="18" customHeight="1">
      <c r="A669" s="12" t="inlineStr">
        <is>
          <t>EVT-10656</t>
        </is>
      </c>
      <c r="B669" s="12" t="inlineStr">
        <is>
          <t>N/A - NO SALE</t>
        </is>
      </c>
      <c r="C669" s="24" t="n">
        <v>46312.07847222222</v>
      </c>
      <c r="D669" s="12" t="inlineStr">
        <is>
          <t>BR-04</t>
        </is>
      </c>
      <c r="E669" s="12" t="inlineStr">
        <is>
          <t>T-01</t>
        </is>
      </c>
      <c r="F669" s="12" t="inlineStr">
        <is>
          <t>C-113</t>
        </is>
      </c>
      <c r="G669" s="12" t="inlineStr">
        <is>
          <t>NONE</t>
        </is>
      </c>
      <c r="H669" s="11" t="inlineStr">
        <is>
          <t>No-Sale Drawer Opening</t>
        </is>
      </c>
      <c r="I669" s="12" t="inlineStr">
        <is>
          <t>N/A</t>
        </is>
      </c>
      <c r="J669" s="20" t="n">
        <v>0</v>
      </c>
      <c r="K669" s="25" t="n">
        <v>0</v>
      </c>
      <c r="L669" s="25" t="n">
        <v>0</v>
      </c>
      <c r="M669" s="24" t="n">
        <v>46312.07847222222</v>
      </c>
      <c r="N669" s="26">
        <f>IFERROR(IF(OR(ISBLANK(M669), M669="", ISBLANK(C669), C669=""), 0, MAX(0, ROUND((C669-M669)*86400, 0))), 0)</f>
        <v/>
      </c>
      <c r="O669" s="11">
        <f>IF(H669="Post-Bill Void", IF(AND(G669="M-904", I669="Cash"), "EXCEPTION: Concurrent Cash Void", IF(AND(I669="Cash", N669&gt;120), "CRITICAL: Delayed Cash Void", IF(N669&gt;120, "EXCEPTION: Delayed Void", "Standard Void"))), IF(H669="Line Item Void", IF(I669="Cash", "EXCEPTION: Cash Line Void", "Standard Line Void"), IF(H669="No-Sale Drawer Opening", "DRAWER OPENING", "Standard Sale")))</f>
        <v/>
      </c>
    </row>
    <row r="670" ht="18" customHeight="1">
      <c r="A670" s="15" t="inlineStr">
        <is>
          <t>EVT-10645</t>
        </is>
      </c>
      <c r="B670" s="15" t="inlineStr">
        <is>
          <t>TX-80597</t>
        </is>
      </c>
      <c r="C670" s="27" t="n">
        <v>46312.09236111111</v>
      </c>
      <c r="D670" s="15" t="inlineStr">
        <is>
          <t>BR-03</t>
        </is>
      </c>
      <c r="E670" s="15" t="inlineStr">
        <is>
          <t>T-01</t>
        </is>
      </c>
      <c r="F670" s="15" t="inlineStr">
        <is>
          <t>C-109</t>
        </is>
      </c>
      <c r="G670" s="15" t="inlineStr">
        <is>
          <t>M-903</t>
        </is>
      </c>
      <c r="H670" s="14" t="inlineStr">
        <is>
          <t>Post-Bill Void</t>
        </is>
      </c>
      <c r="I670" s="15" t="inlineStr">
        <is>
          <t>Card</t>
        </is>
      </c>
      <c r="J670" s="17" t="n">
        <v>1</v>
      </c>
      <c r="K670" s="28" t="n">
        <v>18.27</v>
      </c>
      <c r="L670" s="28" t="n">
        <v>0</v>
      </c>
      <c r="M670" s="27" t="n">
        <v>46312.09190972222</v>
      </c>
      <c r="N670" s="29">
        <f>IFERROR(IF(OR(ISBLANK(M670), M670="", ISBLANK(C670), C670=""), 0, MAX(0, ROUND((C670-M670)*86400, 0))), 0)</f>
        <v/>
      </c>
      <c r="O670" s="14">
        <f>IF(H670="Post-Bill Void", IF(AND(G670="M-904", I670="Cash"), "EXCEPTION: Concurrent Cash Void", IF(AND(I670="Cash", N670&gt;120), "CRITICAL: Delayed Cash Void", IF(N670&gt;120, "EXCEPTION: Delayed Void", "Standard Void"))), IF(H670="Line Item Void", IF(I670="Cash", "EXCEPTION: Cash Line Void", "Standard Line Void"), IF(H670="No-Sale Drawer Opening", "DRAWER OPENING", "Standard Sale")))</f>
        <v/>
      </c>
    </row>
    <row r="671" ht="18" customHeight="1">
      <c r="A671" s="12" t="inlineStr">
        <is>
          <t>EVT-10658</t>
        </is>
      </c>
      <c r="B671" s="12" t="inlineStr">
        <is>
          <t>TX-80604</t>
        </is>
      </c>
      <c r="C671" s="24" t="n">
        <v>46312.11597222222</v>
      </c>
      <c r="D671" s="12" t="inlineStr">
        <is>
          <t>BR-04</t>
        </is>
      </c>
      <c r="E671" s="12" t="inlineStr">
        <is>
          <t>T-01</t>
        </is>
      </c>
      <c r="F671" s="12" t="inlineStr">
        <is>
          <t>C-114</t>
        </is>
      </c>
      <c r="G671" s="12" t="inlineStr">
        <is>
          <t>M-904</t>
        </is>
      </c>
      <c r="H671" s="11" t="inlineStr">
        <is>
          <t>Post-Bill Void</t>
        </is>
      </c>
      <c r="I671" s="12" t="inlineStr">
        <is>
          <t>Card</t>
        </is>
      </c>
      <c r="J671" s="20" t="n">
        <v>1</v>
      </c>
      <c r="K671" s="25" t="n">
        <v>21.75</v>
      </c>
      <c r="L671" s="25" t="n">
        <v>0</v>
      </c>
      <c r="M671" s="24" t="n">
        <v>46312.11556712963</v>
      </c>
      <c r="N671" s="26">
        <f>IFERROR(IF(OR(ISBLANK(M671), M671="", ISBLANK(C671), C671=""), 0, MAX(0, ROUND((C671-M671)*86400, 0))), 0)</f>
        <v/>
      </c>
      <c r="O671" s="11">
        <f>IF(H671="Post-Bill Void", IF(AND(G671="M-904", I671="Cash"), "EXCEPTION: Concurrent Cash Void", IF(AND(I671="Cash", N671&gt;120), "CRITICAL: Delayed Cash Void", IF(N671&gt;120, "EXCEPTION: Delayed Void", "Standard Void"))), IF(H671="Line Item Void", IF(I671="Cash", "EXCEPTION: Cash Line Void", "Standard Line Void"), IF(H671="No-Sale Drawer Opening", "DRAWER OPENING", "Standard Sale")))</f>
        <v/>
      </c>
    </row>
    <row r="672" ht="18" customHeight="1">
      <c r="A672" s="15" t="inlineStr">
        <is>
          <t>EVT-10674</t>
        </is>
      </c>
      <c r="B672" s="15" t="inlineStr">
        <is>
          <t>TX-80618</t>
        </is>
      </c>
      <c r="C672" s="27" t="n">
        <v>46312.11736111111</v>
      </c>
      <c r="D672" s="15" t="inlineStr">
        <is>
          <t>BR-04</t>
        </is>
      </c>
      <c r="E672" s="15" t="inlineStr">
        <is>
          <t>T-02</t>
        </is>
      </c>
      <c r="F672" s="15" t="inlineStr">
        <is>
          <t>C-115</t>
        </is>
      </c>
      <c r="G672" s="15" t="inlineStr">
        <is>
          <t>M-904</t>
        </is>
      </c>
      <c r="H672" s="14" t="inlineStr">
        <is>
          <t>Post-Bill Void</t>
        </is>
      </c>
      <c r="I672" s="15" t="inlineStr">
        <is>
          <t>Cash</t>
        </is>
      </c>
      <c r="J672" s="17" t="n">
        <v>2</v>
      </c>
      <c r="K672" s="28" t="n">
        <v>43.18</v>
      </c>
      <c r="L672" s="28" t="n">
        <v>0</v>
      </c>
      <c r="M672" s="27" t="n">
        <v>46312.11682870371</v>
      </c>
      <c r="N672" s="29">
        <f>IFERROR(IF(OR(ISBLANK(M672), M672="", ISBLANK(C672), C672=""), 0, MAX(0, ROUND((C672-M672)*86400, 0))), 0)</f>
        <v/>
      </c>
      <c r="O672" s="14">
        <f>IF(H672="Post-Bill Void", IF(AND(G672="M-904", I672="Cash"), "EXCEPTION: Concurrent Cash Void", IF(AND(I672="Cash", N672&gt;120), "CRITICAL: Delayed Cash Void", IF(N672&gt;120, "EXCEPTION: Delayed Void", "Standard Void"))), IF(H672="Line Item Void", IF(I672="Cash", "EXCEPTION: Cash Line Void", "Standard Line Void"), IF(H672="No-Sale Drawer Opening", "DRAWER OPENING", "Standard Sale")))</f>
        <v/>
      </c>
    </row>
    <row r="673" ht="18" customHeight="1">
      <c r="A673" s="12" t="inlineStr">
        <is>
          <t>EVT-10562</t>
        </is>
      </c>
      <c r="B673" s="12" t="inlineStr">
        <is>
          <t>TX-80562</t>
        </is>
      </c>
      <c r="C673" s="24" t="n">
        <v>46312.12083333333</v>
      </c>
      <c r="D673" s="12" t="inlineStr">
        <is>
          <t>BR-01</t>
        </is>
      </c>
      <c r="E673" s="12" t="inlineStr">
        <is>
          <t>T-02</t>
        </is>
      </c>
      <c r="F673" s="12" t="inlineStr">
        <is>
          <t>C-104</t>
        </is>
      </c>
      <c r="G673" s="12" t="inlineStr">
        <is>
          <t>M-901</t>
        </is>
      </c>
      <c r="H673" s="11" t="inlineStr">
        <is>
          <t>Post-Bill Void</t>
        </is>
      </c>
      <c r="I673" s="12" t="inlineStr">
        <is>
          <t>Cash</t>
        </is>
      </c>
      <c r="J673" s="20" t="n">
        <v>5</v>
      </c>
      <c r="K673" s="25" t="n">
        <v>105.26</v>
      </c>
      <c r="L673" s="25" t="n">
        <v>0</v>
      </c>
      <c r="M673" s="24" t="n">
        <v>46312.11753472222</v>
      </c>
      <c r="N673" s="26">
        <f>IFERROR(IF(OR(ISBLANK(M673), M673="", ISBLANK(C673), C673=""), 0, MAX(0, ROUND((C673-M673)*86400, 0))), 0)</f>
        <v/>
      </c>
      <c r="O673" s="11">
        <f>IF(H673="Post-Bill Void", IF(AND(G673="M-904", I673="Cash"), "EXCEPTION: Concurrent Cash Void", IF(AND(I673="Cash", N673&gt;120), "CRITICAL: Delayed Cash Void", IF(N673&gt;120, "EXCEPTION: Delayed Void", "Standard Void"))), IF(H673="Line Item Void", IF(I673="Cash", "EXCEPTION: Cash Line Void", "Standard Line Void"), IF(H673="No-Sale Drawer Opening", "DRAWER OPENING", "Standard Sale")))</f>
        <v/>
      </c>
    </row>
    <row r="674" ht="18" customHeight="1">
      <c r="A674" s="15" t="inlineStr">
        <is>
          <t>EVT-10633</t>
        </is>
      </c>
      <c r="B674" s="15" t="inlineStr">
        <is>
          <t>TX-80592</t>
        </is>
      </c>
      <c r="C674" s="27" t="n">
        <v>46312.16805555556</v>
      </c>
      <c r="D674" s="15" t="inlineStr">
        <is>
          <t>BR-01</t>
        </is>
      </c>
      <c r="E674" s="15" t="inlineStr">
        <is>
          <t>T-01</t>
        </is>
      </c>
      <c r="F674" s="15" t="inlineStr">
        <is>
          <t>C-103</t>
        </is>
      </c>
      <c r="G674" s="15" t="inlineStr">
        <is>
          <t>M-901</t>
        </is>
      </c>
      <c r="H674" s="14" t="inlineStr">
        <is>
          <t>Post-Bill Void</t>
        </is>
      </c>
      <c r="I674" s="15" t="inlineStr">
        <is>
          <t>Card</t>
        </is>
      </c>
      <c r="J674" s="17" t="n">
        <v>1</v>
      </c>
      <c r="K674" s="28" t="n">
        <v>20</v>
      </c>
      <c r="L674" s="28" t="n">
        <v>0</v>
      </c>
      <c r="M674" s="27" t="n">
        <v>46312.16755787037</v>
      </c>
      <c r="N674" s="29">
        <f>IFERROR(IF(OR(ISBLANK(M674), M674="", ISBLANK(C674), C674=""), 0, MAX(0, ROUND((C674-M674)*86400, 0))), 0)</f>
        <v/>
      </c>
      <c r="O674" s="14">
        <f>IF(H674="Post-Bill Void", IF(AND(G674="M-904", I674="Cash"), "EXCEPTION: Concurrent Cash Void", IF(AND(I674="Cash", N674&gt;120), "CRITICAL: Delayed Cash Void", IF(N674&gt;120, "EXCEPTION: Delayed Void", "Standard Void"))), IF(H674="Line Item Void", IF(I674="Cash", "EXCEPTION: Cash Line Void", "Standard Line Void"), IF(H674="No-Sale Drawer Opening", "DRAWER OPENING", "Standard Sale")))</f>
        <v/>
      </c>
    </row>
    <row r="675" ht="18" customHeight="1">
      <c r="A675" s="12" t="inlineStr">
        <is>
          <t>EVT-10671</t>
        </is>
      </c>
      <c r="B675" s="12" t="inlineStr">
        <is>
          <t>TX-80615</t>
        </is>
      </c>
      <c r="C675" s="24" t="n">
        <v>46312.19375</v>
      </c>
      <c r="D675" s="12" t="inlineStr">
        <is>
          <t>BR-04</t>
        </is>
      </c>
      <c r="E675" s="12" t="inlineStr">
        <is>
          <t>T-02</t>
        </is>
      </c>
      <c r="F675" s="12" t="inlineStr">
        <is>
          <t>C-115</t>
        </is>
      </c>
      <c r="G675" s="12" t="inlineStr">
        <is>
          <t>M-904</t>
        </is>
      </c>
      <c r="H675" s="11" t="inlineStr">
        <is>
          <t>Post-Bill Void</t>
        </is>
      </c>
      <c r="I675" s="12" t="inlineStr">
        <is>
          <t>Cash</t>
        </is>
      </c>
      <c r="J675" s="20" t="n">
        <v>2</v>
      </c>
      <c r="K675" s="25" t="n">
        <v>49.75</v>
      </c>
      <c r="L675" s="25" t="n">
        <v>0</v>
      </c>
      <c r="M675" s="24" t="n">
        <v>46312.19305555556</v>
      </c>
      <c r="N675" s="26">
        <f>IFERROR(IF(OR(ISBLANK(M675), M675="", ISBLANK(C675), C675=""), 0, MAX(0, ROUND((C675-M675)*86400, 0))), 0)</f>
        <v/>
      </c>
      <c r="O675" s="11">
        <f>IF(H675="Post-Bill Void", IF(AND(G675="M-904", I675="Cash"), "EXCEPTION: Concurrent Cash Void", IF(AND(I675="Cash", N675&gt;120), "CRITICAL: Delayed Cash Void", IF(N675&gt;120, "EXCEPTION: Delayed Void", "Standard Void"))), IF(H675="Line Item Void", IF(I675="Cash", "EXCEPTION: Cash Line Void", "Standard Line Void"), IF(H675="No-Sale Drawer Opening", "DRAWER OPENING", "Standard Sale")))</f>
        <v/>
      </c>
    </row>
    <row r="676" ht="18" customHeight="1">
      <c r="A676" s="15" t="inlineStr">
        <is>
          <t>EVT-10587</t>
        </is>
      </c>
      <c r="B676" s="15" t="inlineStr">
        <is>
          <t>TX-80587</t>
        </is>
      </c>
      <c r="C676" s="27" t="n">
        <v>46312.20972222222</v>
      </c>
      <c r="D676" s="15" t="inlineStr">
        <is>
          <t>BR-02</t>
        </is>
      </c>
      <c r="E676" s="15" t="inlineStr">
        <is>
          <t>T-01</t>
        </is>
      </c>
      <c r="F676" s="15" t="inlineStr">
        <is>
          <t>C-108</t>
        </is>
      </c>
      <c r="G676" s="15" t="inlineStr">
        <is>
          <t>M-902</t>
        </is>
      </c>
      <c r="H676" s="14" t="inlineStr">
        <is>
          <t>Line Item Void</t>
        </is>
      </c>
      <c r="I676" s="15" t="inlineStr">
        <is>
          <t>Cash</t>
        </is>
      </c>
      <c r="J676" s="17" t="n">
        <v>2</v>
      </c>
      <c r="K676" s="28" t="n">
        <v>24.42</v>
      </c>
      <c r="L676" s="28" t="n">
        <v>0</v>
      </c>
      <c r="M676" s="27" t="n">
        <v>46312.20917824074</v>
      </c>
      <c r="N676" s="29">
        <f>IFERROR(IF(OR(ISBLANK(M676), M676="", ISBLANK(C676), C676=""), 0, MAX(0, ROUND((C676-M676)*86400, 0))), 0)</f>
        <v/>
      </c>
      <c r="O676" s="14">
        <f>IF(H676="Post-Bill Void", IF(AND(G676="M-904", I676="Cash"), "EXCEPTION: Concurrent Cash Void", IF(AND(I676="Cash", N676&gt;120), "CRITICAL: Delayed Cash Void", IF(N676&gt;120, "EXCEPTION: Delayed Void", "Standard Void"))), IF(H676="Line Item Void", IF(I676="Cash", "EXCEPTION: Cash Line Void", "Standard Line Void"), IF(H676="No-Sale Drawer Opening", "DRAWER OPENING", "Standard Sale")))</f>
        <v/>
      </c>
    </row>
    <row r="677" ht="18" customHeight="1">
      <c r="A677" s="12" t="inlineStr">
        <is>
          <t>EVT-10673</t>
        </is>
      </c>
      <c r="B677" s="12" t="inlineStr">
        <is>
          <t>TX-80617</t>
        </is>
      </c>
      <c r="C677" s="24" t="n">
        <v>46312.21041666667</v>
      </c>
      <c r="D677" s="12" t="inlineStr">
        <is>
          <t>BR-04</t>
        </is>
      </c>
      <c r="E677" s="12" t="inlineStr">
        <is>
          <t>T-02</t>
        </is>
      </c>
      <c r="F677" s="12" t="inlineStr">
        <is>
          <t>C-115</t>
        </is>
      </c>
      <c r="G677" s="12" t="inlineStr">
        <is>
          <t>M-904</t>
        </is>
      </c>
      <c r="H677" s="11" t="inlineStr">
        <is>
          <t>Post-Bill Void</t>
        </is>
      </c>
      <c r="I677" s="12" t="inlineStr">
        <is>
          <t>Cash</t>
        </is>
      </c>
      <c r="J677" s="20" t="n">
        <v>2</v>
      </c>
      <c r="K677" s="25" t="n">
        <v>47.46</v>
      </c>
      <c r="L677" s="25" t="n">
        <v>0</v>
      </c>
      <c r="M677" s="24" t="n">
        <v>46312.20967592593</v>
      </c>
      <c r="N677" s="26">
        <f>IFERROR(IF(OR(ISBLANK(M677), M677="", ISBLANK(C677), C677=""), 0, MAX(0, ROUND((C677-M677)*86400, 0))), 0)</f>
        <v/>
      </c>
      <c r="O677" s="11">
        <f>IF(H677="Post-Bill Void", IF(AND(G677="M-904", I677="Cash"), "EXCEPTION: Concurrent Cash Void", IF(AND(I677="Cash", N677&gt;120), "CRITICAL: Delayed Cash Void", IF(N677&gt;120, "EXCEPTION: Delayed Void", "Standard Void"))), IF(H677="Line Item Void", IF(I677="Cash", "EXCEPTION: Cash Line Void", "Standard Line Void"), IF(H677="No-Sale Drawer Opening", "DRAWER OPENING", "Standard Sale")))</f>
        <v/>
      </c>
    </row>
    <row r="678" ht="18" customHeight="1">
      <c r="A678" s="15" t="inlineStr">
        <is>
          <t>EVT-10581</t>
        </is>
      </c>
      <c r="B678" s="15" t="inlineStr">
        <is>
          <t>TX-80581</t>
        </is>
      </c>
      <c r="C678" s="27" t="n">
        <v>46312.26527777778</v>
      </c>
      <c r="D678" s="15" t="inlineStr">
        <is>
          <t>BR-02</t>
        </is>
      </c>
      <c r="E678" s="15" t="inlineStr">
        <is>
          <t>T-01</t>
        </is>
      </c>
      <c r="F678" s="15" t="inlineStr">
        <is>
          <t>C-108</t>
        </is>
      </c>
      <c r="G678" s="15" t="inlineStr">
        <is>
          <t>M-902</t>
        </is>
      </c>
      <c r="H678" s="14" t="inlineStr">
        <is>
          <t>Line Item Void</t>
        </is>
      </c>
      <c r="I678" s="15" t="inlineStr">
        <is>
          <t>Cash</t>
        </is>
      </c>
      <c r="J678" s="17" t="n">
        <v>2</v>
      </c>
      <c r="K678" s="28" t="n">
        <v>38.2</v>
      </c>
      <c r="L678" s="28" t="n">
        <v>0</v>
      </c>
      <c r="M678" s="27" t="n">
        <v>46312.2646875</v>
      </c>
      <c r="N678" s="29">
        <f>IFERROR(IF(OR(ISBLANK(M678), M678="", ISBLANK(C678), C678=""), 0, MAX(0, ROUND((C678-M678)*86400, 0))), 0)</f>
        <v/>
      </c>
      <c r="O678" s="14">
        <f>IF(H678="Post-Bill Void", IF(AND(G678="M-904", I678="Cash"), "EXCEPTION: Concurrent Cash Void", IF(AND(I678="Cash", N678&gt;120), "CRITICAL: Delayed Cash Void", IF(N678&gt;120, "EXCEPTION: Delayed Void", "Standard Void"))), IF(H678="Line Item Void", IF(I678="Cash", "EXCEPTION: Cash Line Void", "Standard Line Void"), IF(H678="No-Sale Drawer Opening", "DRAWER OPENING", "Standard Sale")))</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0"/>
  <sheetViews>
    <sheetView showGridLines="1" workbookViewId="0">
      <selection activeCell="A1" sqref="A1"/>
    </sheetView>
  </sheetViews>
  <sheetFormatPr baseColWidth="8" defaultRowHeight="15"/>
  <cols>
    <col width="54" customWidth="1" min="1" max="1"/>
    <col width="16" customWidth="1" min="2" max="2"/>
    <col width="12" customWidth="1" min="3" max="3"/>
    <col width="21" customWidth="1" min="4" max="4"/>
    <col width="20" customWidth="1" min="5" max="5"/>
    <col width="16" customWidth="1" min="6" max="6"/>
    <col width="16" customWidth="1" min="7" max="7"/>
    <col width="38" customWidth="1" min="8" max="8"/>
    <col width="24" customWidth="1" min="9" max="9"/>
    <col width="25" customWidth="1" min="10" max="10"/>
    <col width="31" customWidth="1" min="11" max="11"/>
    <col width="21" customWidth="1" min="12" max="12"/>
    <col width="21" customWidth="1" min="13" max="13"/>
    <col width="28" customWidth="1" min="14" max="14"/>
  </cols>
  <sheetData>
    <row r="1" ht="24" customHeight="1">
      <c r="A1" s="1" t="inlineStr">
        <is>
          <t>AUDIT ENGINE 1: POST-SETTLEMENT CASH VOID ANALYSIS</t>
        </is>
      </c>
    </row>
    <row r="2" ht="18" customHeight="1">
      <c r="A2" s="2" t="inlineStr">
        <is>
          <t>AUTOMATED CALCULATION: Evaluates post-settlement void frequency, cash concentration, and elapsed latency between order initiation and cancellation. Steel headers (#2F5597) update dynamically.</t>
        </is>
      </c>
    </row>
    <row r="3"/>
    <row r="4" ht="26" customHeight="1">
      <c r="A4" s="4" t="inlineStr">
        <is>
          <t>Cashier ID</t>
        </is>
      </c>
      <c r="B4" s="4" t="inlineStr">
        <is>
          <t>Cashier Name</t>
        </is>
      </c>
      <c r="C4" s="4" t="inlineStr">
        <is>
          <t>Branch</t>
        </is>
      </c>
      <c r="D4" s="23" t="inlineStr">
        <is>
          <t>Total Sales Count</t>
        </is>
      </c>
      <c r="E4" s="23" t="inlineStr">
        <is>
          <t>Cash Sales Count</t>
        </is>
      </c>
      <c r="F4" s="23" t="inlineStr">
        <is>
          <t>Total Voids</t>
        </is>
      </c>
      <c r="G4" s="23" t="inlineStr">
        <is>
          <t>Cash Voids</t>
        </is>
      </c>
      <c r="H4" s="23" t="inlineStr">
        <is>
          <t>Cash Void Rate %</t>
        </is>
      </c>
      <c r="I4" s="23" t="inlineStr">
        <is>
          <t>Avg Void Latency (s)</t>
        </is>
      </c>
      <c r="J4" s="23" t="inlineStr">
        <is>
          <t>Delayed Voids (&gt;120s)</t>
        </is>
      </c>
      <c r="K4" s="23" t="inlineStr">
        <is>
          <t>Critical Cash Voids (&gt;120s)</t>
        </is>
      </c>
      <c r="L4" s="23" t="inlineStr">
        <is>
          <t>Void Exposure ($)</t>
        </is>
      </c>
      <c r="M4" s="23" t="inlineStr">
        <is>
          <t>Cash Void Z-Score</t>
        </is>
      </c>
      <c r="N4" s="23" t="inlineStr">
        <is>
          <t>Void Risk Classification</t>
        </is>
      </c>
    </row>
    <row r="5" ht="19" customHeight="1">
      <c r="A5" s="30" t="inlineStr">
        <is>
          <t>C-101</t>
        </is>
      </c>
      <c r="B5" s="11">
        <f>IFERROR(VLOOKUP(A5, '02_Cashier_Register'!$A$14:$G$28, 2, FALSE), "Unknown")</f>
        <v/>
      </c>
      <c r="C5" s="12">
        <f>IFERROR(VLOOKUP(A5, '02_Cashier_Register'!$A$14:$G$28, 3, FALSE), "Unknown")</f>
        <v/>
      </c>
      <c r="D5" s="26">
        <f>COUNTIFS('03_Raw_POS_Journal'!$F$5:$F$678, A5, '03_Raw_POS_Journal'!$H$5:$H$678, "Sale Tender")</f>
        <v/>
      </c>
      <c r="E5" s="26">
        <f>COUNTIFS('03_Raw_POS_Journal'!$F$5:$F$678, A5, '03_Raw_POS_Journal'!$H$5:$H$678, "Sale Tender", '03_Raw_POS_Journal'!$I$5:$I$678, "Cash")</f>
        <v/>
      </c>
      <c r="F5" s="26">
        <f>COUNTIFS('03_Raw_POS_Journal'!$F$5:$F$678, A5, '03_Raw_POS_Journal'!$H$5:$H$678, "Post-Bill Void")</f>
        <v/>
      </c>
      <c r="G5" s="26">
        <f>COUNTIFS('03_Raw_POS_Journal'!$F$5:$F$678, A5, '03_Raw_POS_Journal'!$H$5:$H$678, "Post-Bill Void", '03_Raw_POS_Journal'!$I$5:$I$678, "Cash")</f>
        <v/>
      </c>
      <c r="H5" s="21">
        <f>IFERROR(IF(E5&gt;0, G5/E5, 0), 0)</f>
        <v/>
      </c>
      <c r="I5" s="26">
        <f>IFERROR(AVERAGEIFS('03_Raw_POS_Journal'!$N$5:$N$678, '03_Raw_POS_Journal'!$F$5:$F$678, A5, '03_Raw_POS_Journal'!$H$5:$H$678, "Post-Bill Void"), 0)</f>
        <v/>
      </c>
      <c r="J5" s="26">
        <f>COUNTIFS('03_Raw_POS_Journal'!$F$5:$F$678, A5, '03_Raw_POS_Journal'!$H$5:$H$678, "Post-Bill Void", '03_Raw_POS_Journal'!$N$5:$N$678, "&gt;120")</f>
        <v/>
      </c>
      <c r="K5" s="26">
        <f>COUNTIFS('03_Raw_POS_Journal'!$F$5:$F$678, A5, '03_Raw_POS_Journal'!$H$5:$H$678, "Post-Bill Void", '03_Raw_POS_Journal'!$I$5:$I$678, "Cash", '03_Raw_POS_Journal'!$N$5:$N$678, "&gt;120")</f>
        <v/>
      </c>
      <c r="L5" s="25">
        <f>SUMIFS('03_Raw_POS_Journal'!$K$5:$K$678, '03_Raw_POS_Journal'!$F$5:$F$678, A5, '03_Raw_POS_Journal'!$H$5:$H$678, "Post-Bill Void", '03_Raw_POS_Journal'!$I$5:$I$678, "Cash")</f>
        <v/>
      </c>
      <c r="M5" s="31">
        <f>IFERROR(IF(_xlfn.STDEV.S($H$5:$H$19)=0, 0, (H5 - AVERAGE($H$5:$H$19)) / _xlfn.STDEV.S($H$5:$H$19)), 0)</f>
        <v/>
      </c>
      <c r="N5" s="32">
        <f>IF(K5&gt;=5, "CRITICAL RISK", IF(OR(K5&gt;=2, M5&gt;=1.5, G5&gt;=5), "ELEVATED RISK", "STANDARD"))</f>
        <v/>
      </c>
    </row>
    <row r="6" ht="19" customHeight="1">
      <c r="A6" s="33" t="inlineStr">
        <is>
          <t>C-102</t>
        </is>
      </c>
      <c r="B6" s="14">
        <f>IFERROR(VLOOKUP(A6, '02_Cashier_Register'!$A$14:$G$28, 2, FALSE), "Unknown")</f>
        <v/>
      </c>
      <c r="C6" s="15">
        <f>IFERROR(VLOOKUP(A6, '02_Cashier_Register'!$A$14:$G$28, 3, FALSE), "Unknown")</f>
        <v/>
      </c>
      <c r="D6" s="29">
        <f>COUNTIFS('03_Raw_POS_Journal'!$F$5:$F$678, A6, '03_Raw_POS_Journal'!$H$5:$H$678, "Sale Tender")</f>
        <v/>
      </c>
      <c r="E6" s="29">
        <f>COUNTIFS('03_Raw_POS_Journal'!$F$5:$F$678, A6, '03_Raw_POS_Journal'!$H$5:$H$678, "Sale Tender", '03_Raw_POS_Journal'!$I$5:$I$678, "Cash")</f>
        <v/>
      </c>
      <c r="F6" s="29">
        <f>COUNTIFS('03_Raw_POS_Journal'!$F$5:$F$678, A6, '03_Raw_POS_Journal'!$H$5:$H$678, "Post-Bill Void")</f>
        <v/>
      </c>
      <c r="G6" s="29">
        <f>COUNTIFS('03_Raw_POS_Journal'!$F$5:$F$678, A6, '03_Raw_POS_Journal'!$H$5:$H$678, "Post-Bill Void", '03_Raw_POS_Journal'!$I$5:$I$678, "Cash")</f>
        <v/>
      </c>
      <c r="H6" s="18">
        <f>IFERROR(IF(E6&gt;0, G6/E6, 0), 0)</f>
        <v/>
      </c>
      <c r="I6" s="29">
        <f>IFERROR(AVERAGEIFS('03_Raw_POS_Journal'!$N$5:$N$678, '03_Raw_POS_Journal'!$F$5:$F$678, A6, '03_Raw_POS_Journal'!$H$5:$H$678, "Post-Bill Void"), 0)</f>
        <v/>
      </c>
      <c r="J6" s="29">
        <f>COUNTIFS('03_Raw_POS_Journal'!$F$5:$F$678, A6, '03_Raw_POS_Journal'!$H$5:$H$678, "Post-Bill Void", '03_Raw_POS_Journal'!$N$5:$N$678, "&gt;120")</f>
        <v/>
      </c>
      <c r="K6" s="29">
        <f>COUNTIFS('03_Raw_POS_Journal'!$F$5:$F$678, A6, '03_Raw_POS_Journal'!$H$5:$H$678, "Post-Bill Void", '03_Raw_POS_Journal'!$I$5:$I$678, "Cash", '03_Raw_POS_Journal'!$N$5:$N$678, "&gt;120")</f>
        <v/>
      </c>
      <c r="L6" s="28">
        <f>SUMIFS('03_Raw_POS_Journal'!$K$5:$K$678, '03_Raw_POS_Journal'!$F$5:$F$678, A6, '03_Raw_POS_Journal'!$H$5:$H$678, "Post-Bill Void", '03_Raw_POS_Journal'!$I$5:$I$678, "Cash")</f>
        <v/>
      </c>
      <c r="M6" s="34">
        <f>IFERROR(IF(_xlfn.STDEV.S($H$5:$H$19)=0, 0, (H6 - AVERAGE($H$5:$H$19)) / _xlfn.STDEV.S($H$5:$H$19)), 0)</f>
        <v/>
      </c>
      <c r="N6" s="32">
        <f>IF(K6&gt;=5, "CRITICAL RISK", IF(OR(K6&gt;=2, M6&gt;=1.5, G6&gt;=5), "ELEVATED RISK", "STANDARD"))</f>
        <v/>
      </c>
    </row>
    <row r="7" ht="19" customHeight="1">
      <c r="A7" s="30" t="inlineStr">
        <is>
          <t>C-103</t>
        </is>
      </c>
      <c r="B7" s="11">
        <f>IFERROR(VLOOKUP(A7, '02_Cashier_Register'!$A$14:$G$28, 2, FALSE), "Unknown")</f>
        <v/>
      </c>
      <c r="C7" s="12">
        <f>IFERROR(VLOOKUP(A7, '02_Cashier_Register'!$A$14:$G$28, 3, FALSE), "Unknown")</f>
        <v/>
      </c>
      <c r="D7" s="26">
        <f>COUNTIFS('03_Raw_POS_Journal'!$F$5:$F$678, A7, '03_Raw_POS_Journal'!$H$5:$H$678, "Sale Tender")</f>
        <v/>
      </c>
      <c r="E7" s="26">
        <f>COUNTIFS('03_Raw_POS_Journal'!$F$5:$F$678, A7, '03_Raw_POS_Journal'!$H$5:$H$678, "Sale Tender", '03_Raw_POS_Journal'!$I$5:$I$678, "Cash")</f>
        <v/>
      </c>
      <c r="F7" s="26">
        <f>COUNTIFS('03_Raw_POS_Journal'!$F$5:$F$678, A7, '03_Raw_POS_Journal'!$H$5:$H$678, "Post-Bill Void")</f>
        <v/>
      </c>
      <c r="G7" s="26">
        <f>COUNTIFS('03_Raw_POS_Journal'!$F$5:$F$678, A7, '03_Raw_POS_Journal'!$H$5:$H$678, "Post-Bill Void", '03_Raw_POS_Journal'!$I$5:$I$678, "Cash")</f>
        <v/>
      </c>
      <c r="H7" s="21">
        <f>IFERROR(IF(E7&gt;0, G7/E7, 0), 0)</f>
        <v/>
      </c>
      <c r="I7" s="26">
        <f>IFERROR(AVERAGEIFS('03_Raw_POS_Journal'!$N$5:$N$678, '03_Raw_POS_Journal'!$F$5:$F$678, A7, '03_Raw_POS_Journal'!$H$5:$H$678, "Post-Bill Void"), 0)</f>
        <v/>
      </c>
      <c r="J7" s="26">
        <f>COUNTIFS('03_Raw_POS_Journal'!$F$5:$F$678, A7, '03_Raw_POS_Journal'!$H$5:$H$678, "Post-Bill Void", '03_Raw_POS_Journal'!$N$5:$N$678, "&gt;120")</f>
        <v/>
      </c>
      <c r="K7" s="26">
        <f>COUNTIFS('03_Raw_POS_Journal'!$F$5:$F$678, A7, '03_Raw_POS_Journal'!$H$5:$H$678, "Post-Bill Void", '03_Raw_POS_Journal'!$I$5:$I$678, "Cash", '03_Raw_POS_Journal'!$N$5:$N$678, "&gt;120")</f>
        <v/>
      </c>
      <c r="L7" s="25">
        <f>SUMIFS('03_Raw_POS_Journal'!$K$5:$K$678, '03_Raw_POS_Journal'!$F$5:$F$678, A7, '03_Raw_POS_Journal'!$H$5:$H$678, "Post-Bill Void", '03_Raw_POS_Journal'!$I$5:$I$678, "Cash")</f>
        <v/>
      </c>
      <c r="M7" s="31">
        <f>IFERROR(IF(_xlfn.STDEV.S($H$5:$H$19)=0, 0, (H7 - AVERAGE($H$5:$H$19)) / _xlfn.STDEV.S($H$5:$H$19)), 0)</f>
        <v/>
      </c>
      <c r="N7" s="32">
        <f>IF(K7&gt;=5, "CRITICAL RISK", IF(OR(K7&gt;=2, M7&gt;=1.5, G7&gt;=5), "ELEVATED RISK", "STANDARD"))</f>
        <v/>
      </c>
    </row>
    <row r="8" ht="19" customHeight="1">
      <c r="A8" s="33" t="inlineStr">
        <is>
          <t>C-104</t>
        </is>
      </c>
      <c r="B8" s="14">
        <f>IFERROR(VLOOKUP(A8, '02_Cashier_Register'!$A$14:$G$28, 2, FALSE), "Unknown")</f>
        <v/>
      </c>
      <c r="C8" s="15">
        <f>IFERROR(VLOOKUP(A8, '02_Cashier_Register'!$A$14:$G$28, 3, FALSE), "Unknown")</f>
        <v/>
      </c>
      <c r="D8" s="29">
        <f>COUNTIFS('03_Raw_POS_Journal'!$F$5:$F$678, A8, '03_Raw_POS_Journal'!$H$5:$H$678, "Sale Tender")</f>
        <v/>
      </c>
      <c r="E8" s="29">
        <f>COUNTIFS('03_Raw_POS_Journal'!$F$5:$F$678, A8, '03_Raw_POS_Journal'!$H$5:$H$678, "Sale Tender", '03_Raw_POS_Journal'!$I$5:$I$678, "Cash")</f>
        <v/>
      </c>
      <c r="F8" s="29">
        <f>COUNTIFS('03_Raw_POS_Journal'!$F$5:$F$678, A8, '03_Raw_POS_Journal'!$H$5:$H$678, "Post-Bill Void")</f>
        <v/>
      </c>
      <c r="G8" s="29">
        <f>COUNTIFS('03_Raw_POS_Journal'!$F$5:$F$678, A8, '03_Raw_POS_Journal'!$H$5:$H$678, "Post-Bill Void", '03_Raw_POS_Journal'!$I$5:$I$678, "Cash")</f>
        <v/>
      </c>
      <c r="H8" s="18">
        <f>IFERROR(IF(E8&gt;0, G8/E8, 0), 0)</f>
        <v/>
      </c>
      <c r="I8" s="29">
        <f>IFERROR(AVERAGEIFS('03_Raw_POS_Journal'!$N$5:$N$678, '03_Raw_POS_Journal'!$F$5:$F$678, A8, '03_Raw_POS_Journal'!$H$5:$H$678, "Post-Bill Void"), 0)</f>
        <v/>
      </c>
      <c r="J8" s="29">
        <f>COUNTIFS('03_Raw_POS_Journal'!$F$5:$F$678, A8, '03_Raw_POS_Journal'!$H$5:$H$678, "Post-Bill Void", '03_Raw_POS_Journal'!$N$5:$N$678, "&gt;120")</f>
        <v/>
      </c>
      <c r="K8" s="29">
        <f>COUNTIFS('03_Raw_POS_Journal'!$F$5:$F$678, A8, '03_Raw_POS_Journal'!$H$5:$H$678, "Post-Bill Void", '03_Raw_POS_Journal'!$I$5:$I$678, "Cash", '03_Raw_POS_Journal'!$N$5:$N$678, "&gt;120")</f>
        <v/>
      </c>
      <c r="L8" s="28">
        <f>SUMIFS('03_Raw_POS_Journal'!$K$5:$K$678, '03_Raw_POS_Journal'!$F$5:$F$678, A8, '03_Raw_POS_Journal'!$H$5:$H$678, "Post-Bill Void", '03_Raw_POS_Journal'!$I$5:$I$678, "Cash")</f>
        <v/>
      </c>
      <c r="M8" s="34">
        <f>IFERROR(IF(_xlfn.STDEV.S($H$5:$H$19)=0, 0, (H8 - AVERAGE($H$5:$H$19)) / _xlfn.STDEV.S($H$5:$H$19)), 0)</f>
        <v/>
      </c>
      <c r="N8" s="32">
        <f>IF(K8&gt;=5, "CRITICAL RISK", IF(OR(K8&gt;=2, M8&gt;=1.5, G8&gt;=5), "ELEVATED RISK", "STANDARD"))</f>
        <v/>
      </c>
    </row>
    <row r="9" ht="19" customHeight="1">
      <c r="A9" s="30" t="inlineStr">
        <is>
          <t>C-105</t>
        </is>
      </c>
      <c r="B9" s="11">
        <f>IFERROR(VLOOKUP(A9, '02_Cashier_Register'!$A$14:$G$28, 2, FALSE), "Unknown")</f>
        <v/>
      </c>
      <c r="C9" s="12">
        <f>IFERROR(VLOOKUP(A9, '02_Cashier_Register'!$A$14:$G$28, 3, FALSE), "Unknown")</f>
        <v/>
      </c>
      <c r="D9" s="26">
        <f>COUNTIFS('03_Raw_POS_Journal'!$F$5:$F$678, A9, '03_Raw_POS_Journal'!$H$5:$H$678, "Sale Tender")</f>
        <v/>
      </c>
      <c r="E9" s="26">
        <f>COUNTIFS('03_Raw_POS_Journal'!$F$5:$F$678, A9, '03_Raw_POS_Journal'!$H$5:$H$678, "Sale Tender", '03_Raw_POS_Journal'!$I$5:$I$678, "Cash")</f>
        <v/>
      </c>
      <c r="F9" s="26">
        <f>COUNTIFS('03_Raw_POS_Journal'!$F$5:$F$678, A9, '03_Raw_POS_Journal'!$H$5:$H$678, "Post-Bill Void")</f>
        <v/>
      </c>
      <c r="G9" s="26">
        <f>COUNTIFS('03_Raw_POS_Journal'!$F$5:$F$678, A9, '03_Raw_POS_Journal'!$H$5:$H$678, "Post-Bill Void", '03_Raw_POS_Journal'!$I$5:$I$678, "Cash")</f>
        <v/>
      </c>
      <c r="H9" s="21">
        <f>IFERROR(IF(E9&gt;0, G9/E9, 0), 0)</f>
        <v/>
      </c>
      <c r="I9" s="26">
        <f>IFERROR(AVERAGEIFS('03_Raw_POS_Journal'!$N$5:$N$678, '03_Raw_POS_Journal'!$F$5:$F$678, A9, '03_Raw_POS_Journal'!$H$5:$H$678, "Post-Bill Void"), 0)</f>
        <v/>
      </c>
      <c r="J9" s="26">
        <f>COUNTIFS('03_Raw_POS_Journal'!$F$5:$F$678, A9, '03_Raw_POS_Journal'!$H$5:$H$678, "Post-Bill Void", '03_Raw_POS_Journal'!$N$5:$N$678, "&gt;120")</f>
        <v/>
      </c>
      <c r="K9" s="26">
        <f>COUNTIFS('03_Raw_POS_Journal'!$F$5:$F$678, A9, '03_Raw_POS_Journal'!$H$5:$H$678, "Post-Bill Void", '03_Raw_POS_Journal'!$I$5:$I$678, "Cash", '03_Raw_POS_Journal'!$N$5:$N$678, "&gt;120")</f>
        <v/>
      </c>
      <c r="L9" s="25">
        <f>SUMIFS('03_Raw_POS_Journal'!$K$5:$K$678, '03_Raw_POS_Journal'!$F$5:$F$678, A9, '03_Raw_POS_Journal'!$H$5:$H$678, "Post-Bill Void", '03_Raw_POS_Journal'!$I$5:$I$678, "Cash")</f>
        <v/>
      </c>
      <c r="M9" s="31">
        <f>IFERROR(IF(_xlfn.STDEV.S($H$5:$H$19)=0, 0, (H9 - AVERAGE($H$5:$H$19)) / _xlfn.STDEV.S($H$5:$H$19)), 0)</f>
        <v/>
      </c>
      <c r="N9" s="32">
        <f>IF(K9&gt;=5, "CRITICAL RISK", IF(OR(K9&gt;=2, M9&gt;=1.5, G9&gt;=5), "ELEVATED RISK", "STANDARD"))</f>
        <v/>
      </c>
    </row>
    <row r="10" ht="19" customHeight="1">
      <c r="A10" s="33" t="inlineStr">
        <is>
          <t>C-106</t>
        </is>
      </c>
      <c r="B10" s="14">
        <f>IFERROR(VLOOKUP(A10, '02_Cashier_Register'!$A$14:$G$28, 2, FALSE), "Unknown")</f>
        <v/>
      </c>
      <c r="C10" s="15">
        <f>IFERROR(VLOOKUP(A10, '02_Cashier_Register'!$A$14:$G$28, 3, FALSE), "Unknown")</f>
        <v/>
      </c>
      <c r="D10" s="29">
        <f>COUNTIFS('03_Raw_POS_Journal'!$F$5:$F$678, A10, '03_Raw_POS_Journal'!$H$5:$H$678, "Sale Tender")</f>
        <v/>
      </c>
      <c r="E10" s="29">
        <f>COUNTIFS('03_Raw_POS_Journal'!$F$5:$F$678, A10, '03_Raw_POS_Journal'!$H$5:$H$678, "Sale Tender", '03_Raw_POS_Journal'!$I$5:$I$678, "Cash")</f>
        <v/>
      </c>
      <c r="F10" s="29">
        <f>COUNTIFS('03_Raw_POS_Journal'!$F$5:$F$678, A10, '03_Raw_POS_Journal'!$H$5:$H$678, "Post-Bill Void")</f>
        <v/>
      </c>
      <c r="G10" s="29">
        <f>COUNTIFS('03_Raw_POS_Journal'!$F$5:$F$678, A10, '03_Raw_POS_Journal'!$H$5:$H$678, "Post-Bill Void", '03_Raw_POS_Journal'!$I$5:$I$678, "Cash")</f>
        <v/>
      </c>
      <c r="H10" s="18">
        <f>IFERROR(IF(E10&gt;0, G10/E10, 0), 0)</f>
        <v/>
      </c>
      <c r="I10" s="29">
        <f>IFERROR(AVERAGEIFS('03_Raw_POS_Journal'!$N$5:$N$678, '03_Raw_POS_Journal'!$F$5:$F$678, A10, '03_Raw_POS_Journal'!$H$5:$H$678, "Post-Bill Void"), 0)</f>
        <v/>
      </c>
      <c r="J10" s="29">
        <f>COUNTIFS('03_Raw_POS_Journal'!$F$5:$F$678, A10, '03_Raw_POS_Journal'!$H$5:$H$678, "Post-Bill Void", '03_Raw_POS_Journal'!$N$5:$N$678, "&gt;120")</f>
        <v/>
      </c>
      <c r="K10" s="29">
        <f>COUNTIFS('03_Raw_POS_Journal'!$F$5:$F$678, A10, '03_Raw_POS_Journal'!$H$5:$H$678, "Post-Bill Void", '03_Raw_POS_Journal'!$I$5:$I$678, "Cash", '03_Raw_POS_Journal'!$N$5:$N$678, "&gt;120")</f>
        <v/>
      </c>
      <c r="L10" s="28">
        <f>SUMIFS('03_Raw_POS_Journal'!$K$5:$K$678, '03_Raw_POS_Journal'!$F$5:$F$678, A10, '03_Raw_POS_Journal'!$H$5:$H$678, "Post-Bill Void", '03_Raw_POS_Journal'!$I$5:$I$678, "Cash")</f>
        <v/>
      </c>
      <c r="M10" s="34">
        <f>IFERROR(IF(_xlfn.STDEV.S($H$5:$H$19)=0, 0, (H10 - AVERAGE($H$5:$H$19)) / _xlfn.STDEV.S($H$5:$H$19)), 0)</f>
        <v/>
      </c>
      <c r="N10" s="32">
        <f>IF(K10&gt;=5, "CRITICAL RISK", IF(OR(K10&gt;=2, M10&gt;=1.5, G10&gt;=5), "ELEVATED RISK", "STANDARD"))</f>
        <v/>
      </c>
    </row>
    <row r="11" ht="19" customHeight="1">
      <c r="A11" s="30" t="inlineStr">
        <is>
          <t>C-107</t>
        </is>
      </c>
      <c r="B11" s="11">
        <f>IFERROR(VLOOKUP(A11, '02_Cashier_Register'!$A$14:$G$28, 2, FALSE), "Unknown")</f>
        <v/>
      </c>
      <c r="C11" s="12">
        <f>IFERROR(VLOOKUP(A11, '02_Cashier_Register'!$A$14:$G$28, 3, FALSE), "Unknown")</f>
        <v/>
      </c>
      <c r="D11" s="26">
        <f>COUNTIFS('03_Raw_POS_Journal'!$F$5:$F$678, A11, '03_Raw_POS_Journal'!$H$5:$H$678, "Sale Tender")</f>
        <v/>
      </c>
      <c r="E11" s="26">
        <f>COUNTIFS('03_Raw_POS_Journal'!$F$5:$F$678, A11, '03_Raw_POS_Journal'!$H$5:$H$678, "Sale Tender", '03_Raw_POS_Journal'!$I$5:$I$678, "Cash")</f>
        <v/>
      </c>
      <c r="F11" s="26">
        <f>COUNTIFS('03_Raw_POS_Journal'!$F$5:$F$678, A11, '03_Raw_POS_Journal'!$H$5:$H$678, "Post-Bill Void")</f>
        <v/>
      </c>
      <c r="G11" s="26">
        <f>COUNTIFS('03_Raw_POS_Journal'!$F$5:$F$678, A11, '03_Raw_POS_Journal'!$H$5:$H$678, "Post-Bill Void", '03_Raw_POS_Journal'!$I$5:$I$678, "Cash")</f>
        <v/>
      </c>
      <c r="H11" s="21">
        <f>IFERROR(IF(E11&gt;0, G11/E11, 0), 0)</f>
        <v/>
      </c>
      <c r="I11" s="26">
        <f>IFERROR(AVERAGEIFS('03_Raw_POS_Journal'!$N$5:$N$678, '03_Raw_POS_Journal'!$F$5:$F$678, A11, '03_Raw_POS_Journal'!$H$5:$H$678, "Post-Bill Void"), 0)</f>
        <v/>
      </c>
      <c r="J11" s="26">
        <f>COUNTIFS('03_Raw_POS_Journal'!$F$5:$F$678, A11, '03_Raw_POS_Journal'!$H$5:$H$678, "Post-Bill Void", '03_Raw_POS_Journal'!$N$5:$N$678, "&gt;120")</f>
        <v/>
      </c>
      <c r="K11" s="26">
        <f>COUNTIFS('03_Raw_POS_Journal'!$F$5:$F$678, A11, '03_Raw_POS_Journal'!$H$5:$H$678, "Post-Bill Void", '03_Raw_POS_Journal'!$I$5:$I$678, "Cash", '03_Raw_POS_Journal'!$N$5:$N$678, "&gt;120")</f>
        <v/>
      </c>
      <c r="L11" s="25">
        <f>SUMIFS('03_Raw_POS_Journal'!$K$5:$K$678, '03_Raw_POS_Journal'!$F$5:$F$678, A11, '03_Raw_POS_Journal'!$H$5:$H$678, "Post-Bill Void", '03_Raw_POS_Journal'!$I$5:$I$678, "Cash")</f>
        <v/>
      </c>
      <c r="M11" s="31">
        <f>IFERROR(IF(_xlfn.STDEV.S($H$5:$H$19)=0, 0, (H11 - AVERAGE($H$5:$H$19)) / _xlfn.STDEV.S($H$5:$H$19)), 0)</f>
        <v/>
      </c>
      <c r="N11" s="32">
        <f>IF(K11&gt;=5, "CRITICAL RISK", IF(OR(K11&gt;=2, M11&gt;=1.5, G11&gt;=5), "ELEVATED RISK", "STANDARD"))</f>
        <v/>
      </c>
    </row>
    <row r="12" ht="19" customHeight="1">
      <c r="A12" s="33" t="inlineStr">
        <is>
          <t>C-108</t>
        </is>
      </c>
      <c r="B12" s="14">
        <f>IFERROR(VLOOKUP(A12, '02_Cashier_Register'!$A$14:$G$28, 2, FALSE), "Unknown")</f>
        <v/>
      </c>
      <c r="C12" s="15">
        <f>IFERROR(VLOOKUP(A12, '02_Cashier_Register'!$A$14:$G$28, 3, FALSE), "Unknown")</f>
        <v/>
      </c>
      <c r="D12" s="29">
        <f>COUNTIFS('03_Raw_POS_Journal'!$F$5:$F$678, A12, '03_Raw_POS_Journal'!$H$5:$H$678, "Sale Tender")</f>
        <v/>
      </c>
      <c r="E12" s="29">
        <f>COUNTIFS('03_Raw_POS_Journal'!$F$5:$F$678, A12, '03_Raw_POS_Journal'!$H$5:$H$678, "Sale Tender", '03_Raw_POS_Journal'!$I$5:$I$678, "Cash")</f>
        <v/>
      </c>
      <c r="F12" s="29">
        <f>COUNTIFS('03_Raw_POS_Journal'!$F$5:$F$678, A12, '03_Raw_POS_Journal'!$H$5:$H$678, "Post-Bill Void")</f>
        <v/>
      </c>
      <c r="G12" s="29">
        <f>COUNTIFS('03_Raw_POS_Journal'!$F$5:$F$678, A12, '03_Raw_POS_Journal'!$H$5:$H$678, "Post-Bill Void", '03_Raw_POS_Journal'!$I$5:$I$678, "Cash")</f>
        <v/>
      </c>
      <c r="H12" s="18">
        <f>IFERROR(IF(E12&gt;0, G12/E12, 0), 0)</f>
        <v/>
      </c>
      <c r="I12" s="29">
        <f>IFERROR(AVERAGEIFS('03_Raw_POS_Journal'!$N$5:$N$678, '03_Raw_POS_Journal'!$F$5:$F$678, A12, '03_Raw_POS_Journal'!$H$5:$H$678, "Post-Bill Void"), 0)</f>
        <v/>
      </c>
      <c r="J12" s="29">
        <f>COUNTIFS('03_Raw_POS_Journal'!$F$5:$F$678, A12, '03_Raw_POS_Journal'!$H$5:$H$678, "Post-Bill Void", '03_Raw_POS_Journal'!$N$5:$N$678, "&gt;120")</f>
        <v/>
      </c>
      <c r="K12" s="29">
        <f>COUNTIFS('03_Raw_POS_Journal'!$F$5:$F$678, A12, '03_Raw_POS_Journal'!$H$5:$H$678, "Post-Bill Void", '03_Raw_POS_Journal'!$I$5:$I$678, "Cash", '03_Raw_POS_Journal'!$N$5:$N$678, "&gt;120")</f>
        <v/>
      </c>
      <c r="L12" s="28">
        <f>SUMIFS('03_Raw_POS_Journal'!$K$5:$K$678, '03_Raw_POS_Journal'!$F$5:$F$678, A12, '03_Raw_POS_Journal'!$H$5:$H$678, "Post-Bill Void", '03_Raw_POS_Journal'!$I$5:$I$678, "Cash")</f>
        <v/>
      </c>
      <c r="M12" s="34">
        <f>IFERROR(IF(_xlfn.STDEV.S($H$5:$H$19)=0, 0, (H12 - AVERAGE($H$5:$H$19)) / _xlfn.STDEV.S($H$5:$H$19)), 0)</f>
        <v/>
      </c>
      <c r="N12" s="32">
        <f>IF(K12&gt;=5, "CRITICAL RISK", IF(OR(K12&gt;=2, M12&gt;=1.5, G12&gt;=5), "ELEVATED RISK", "STANDARD"))</f>
        <v/>
      </c>
    </row>
    <row r="13" ht="19" customHeight="1">
      <c r="A13" s="30" t="inlineStr">
        <is>
          <t>C-109</t>
        </is>
      </c>
      <c r="B13" s="11">
        <f>IFERROR(VLOOKUP(A13, '02_Cashier_Register'!$A$14:$G$28, 2, FALSE), "Unknown")</f>
        <v/>
      </c>
      <c r="C13" s="12">
        <f>IFERROR(VLOOKUP(A13, '02_Cashier_Register'!$A$14:$G$28, 3, FALSE), "Unknown")</f>
        <v/>
      </c>
      <c r="D13" s="26">
        <f>COUNTIFS('03_Raw_POS_Journal'!$F$5:$F$678, A13, '03_Raw_POS_Journal'!$H$5:$H$678, "Sale Tender")</f>
        <v/>
      </c>
      <c r="E13" s="26">
        <f>COUNTIFS('03_Raw_POS_Journal'!$F$5:$F$678, A13, '03_Raw_POS_Journal'!$H$5:$H$678, "Sale Tender", '03_Raw_POS_Journal'!$I$5:$I$678, "Cash")</f>
        <v/>
      </c>
      <c r="F13" s="26">
        <f>COUNTIFS('03_Raw_POS_Journal'!$F$5:$F$678, A13, '03_Raw_POS_Journal'!$H$5:$H$678, "Post-Bill Void")</f>
        <v/>
      </c>
      <c r="G13" s="26">
        <f>COUNTIFS('03_Raw_POS_Journal'!$F$5:$F$678, A13, '03_Raw_POS_Journal'!$H$5:$H$678, "Post-Bill Void", '03_Raw_POS_Journal'!$I$5:$I$678, "Cash")</f>
        <v/>
      </c>
      <c r="H13" s="21">
        <f>IFERROR(IF(E13&gt;0, G13/E13, 0), 0)</f>
        <v/>
      </c>
      <c r="I13" s="26">
        <f>IFERROR(AVERAGEIFS('03_Raw_POS_Journal'!$N$5:$N$678, '03_Raw_POS_Journal'!$F$5:$F$678, A13, '03_Raw_POS_Journal'!$H$5:$H$678, "Post-Bill Void"), 0)</f>
        <v/>
      </c>
      <c r="J13" s="26">
        <f>COUNTIFS('03_Raw_POS_Journal'!$F$5:$F$678, A13, '03_Raw_POS_Journal'!$H$5:$H$678, "Post-Bill Void", '03_Raw_POS_Journal'!$N$5:$N$678, "&gt;120")</f>
        <v/>
      </c>
      <c r="K13" s="26">
        <f>COUNTIFS('03_Raw_POS_Journal'!$F$5:$F$678, A13, '03_Raw_POS_Journal'!$H$5:$H$678, "Post-Bill Void", '03_Raw_POS_Journal'!$I$5:$I$678, "Cash", '03_Raw_POS_Journal'!$N$5:$N$678, "&gt;120")</f>
        <v/>
      </c>
      <c r="L13" s="25">
        <f>SUMIFS('03_Raw_POS_Journal'!$K$5:$K$678, '03_Raw_POS_Journal'!$F$5:$F$678, A13, '03_Raw_POS_Journal'!$H$5:$H$678, "Post-Bill Void", '03_Raw_POS_Journal'!$I$5:$I$678, "Cash")</f>
        <v/>
      </c>
      <c r="M13" s="31">
        <f>IFERROR(IF(_xlfn.STDEV.S($H$5:$H$19)=0, 0, (H13 - AVERAGE($H$5:$H$19)) / _xlfn.STDEV.S($H$5:$H$19)), 0)</f>
        <v/>
      </c>
      <c r="N13" s="32">
        <f>IF(K13&gt;=5, "CRITICAL RISK", IF(OR(K13&gt;=2, M13&gt;=1.5, G13&gt;=5), "ELEVATED RISK", "STANDARD"))</f>
        <v/>
      </c>
    </row>
    <row r="14" ht="19" customHeight="1">
      <c r="A14" s="33" t="inlineStr">
        <is>
          <t>C-110</t>
        </is>
      </c>
      <c r="B14" s="14">
        <f>IFERROR(VLOOKUP(A14, '02_Cashier_Register'!$A$14:$G$28, 2, FALSE), "Unknown")</f>
        <v/>
      </c>
      <c r="C14" s="15">
        <f>IFERROR(VLOOKUP(A14, '02_Cashier_Register'!$A$14:$G$28, 3, FALSE), "Unknown")</f>
        <v/>
      </c>
      <c r="D14" s="29">
        <f>COUNTIFS('03_Raw_POS_Journal'!$F$5:$F$678, A14, '03_Raw_POS_Journal'!$H$5:$H$678, "Sale Tender")</f>
        <v/>
      </c>
      <c r="E14" s="29">
        <f>COUNTIFS('03_Raw_POS_Journal'!$F$5:$F$678, A14, '03_Raw_POS_Journal'!$H$5:$H$678, "Sale Tender", '03_Raw_POS_Journal'!$I$5:$I$678, "Cash")</f>
        <v/>
      </c>
      <c r="F14" s="29">
        <f>COUNTIFS('03_Raw_POS_Journal'!$F$5:$F$678, A14, '03_Raw_POS_Journal'!$H$5:$H$678, "Post-Bill Void")</f>
        <v/>
      </c>
      <c r="G14" s="29">
        <f>COUNTIFS('03_Raw_POS_Journal'!$F$5:$F$678, A14, '03_Raw_POS_Journal'!$H$5:$H$678, "Post-Bill Void", '03_Raw_POS_Journal'!$I$5:$I$678, "Cash")</f>
        <v/>
      </c>
      <c r="H14" s="18">
        <f>IFERROR(IF(E14&gt;0, G14/E14, 0), 0)</f>
        <v/>
      </c>
      <c r="I14" s="29">
        <f>IFERROR(AVERAGEIFS('03_Raw_POS_Journal'!$N$5:$N$678, '03_Raw_POS_Journal'!$F$5:$F$678, A14, '03_Raw_POS_Journal'!$H$5:$H$678, "Post-Bill Void"), 0)</f>
        <v/>
      </c>
      <c r="J14" s="29">
        <f>COUNTIFS('03_Raw_POS_Journal'!$F$5:$F$678, A14, '03_Raw_POS_Journal'!$H$5:$H$678, "Post-Bill Void", '03_Raw_POS_Journal'!$N$5:$N$678, "&gt;120")</f>
        <v/>
      </c>
      <c r="K14" s="29">
        <f>COUNTIFS('03_Raw_POS_Journal'!$F$5:$F$678, A14, '03_Raw_POS_Journal'!$H$5:$H$678, "Post-Bill Void", '03_Raw_POS_Journal'!$I$5:$I$678, "Cash", '03_Raw_POS_Journal'!$N$5:$N$678, "&gt;120")</f>
        <v/>
      </c>
      <c r="L14" s="28">
        <f>SUMIFS('03_Raw_POS_Journal'!$K$5:$K$678, '03_Raw_POS_Journal'!$F$5:$F$678, A14, '03_Raw_POS_Journal'!$H$5:$H$678, "Post-Bill Void", '03_Raw_POS_Journal'!$I$5:$I$678, "Cash")</f>
        <v/>
      </c>
      <c r="M14" s="34">
        <f>IFERROR(IF(_xlfn.STDEV.S($H$5:$H$19)=0, 0, (H14 - AVERAGE($H$5:$H$19)) / _xlfn.STDEV.S($H$5:$H$19)), 0)</f>
        <v/>
      </c>
      <c r="N14" s="32">
        <f>IF(K14&gt;=5, "CRITICAL RISK", IF(OR(K14&gt;=2, M14&gt;=1.5, G14&gt;=5), "ELEVATED RISK", "STANDARD"))</f>
        <v/>
      </c>
    </row>
    <row r="15" ht="19" customHeight="1">
      <c r="A15" s="30" t="inlineStr">
        <is>
          <t>C-111</t>
        </is>
      </c>
      <c r="B15" s="11">
        <f>IFERROR(VLOOKUP(A15, '02_Cashier_Register'!$A$14:$G$28, 2, FALSE), "Unknown")</f>
        <v/>
      </c>
      <c r="C15" s="12">
        <f>IFERROR(VLOOKUP(A15, '02_Cashier_Register'!$A$14:$G$28, 3, FALSE), "Unknown")</f>
        <v/>
      </c>
      <c r="D15" s="26">
        <f>COUNTIFS('03_Raw_POS_Journal'!$F$5:$F$678, A15, '03_Raw_POS_Journal'!$H$5:$H$678, "Sale Tender")</f>
        <v/>
      </c>
      <c r="E15" s="26">
        <f>COUNTIFS('03_Raw_POS_Journal'!$F$5:$F$678, A15, '03_Raw_POS_Journal'!$H$5:$H$678, "Sale Tender", '03_Raw_POS_Journal'!$I$5:$I$678, "Cash")</f>
        <v/>
      </c>
      <c r="F15" s="26">
        <f>COUNTIFS('03_Raw_POS_Journal'!$F$5:$F$678, A15, '03_Raw_POS_Journal'!$H$5:$H$678, "Post-Bill Void")</f>
        <v/>
      </c>
      <c r="G15" s="26">
        <f>COUNTIFS('03_Raw_POS_Journal'!$F$5:$F$678, A15, '03_Raw_POS_Journal'!$H$5:$H$678, "Post-Bill Void", '03_Raw_POS_Journal'!$I$5:$I$678, "Cash")</f>
        <v/>
      </c>
      <c r="H15" s="21">
        <f>IFERROR(IF(E15&gt;0, G15/E15, 0), 0)</f>
        <v/>
      </c>
      <c r="I15" s="26">
        <f>IFERROR(AVERAGEIFS('03_Raw_POS_Journal'!$N$5:$N$678, '03_Raw_POS_Journal'!$F$5:$F$678, A15, '03_Raw_POS_Journal'!$H$5:$H$678, "Post-Bill Void"), 0)</f>
        <v/>
      </c>
      <c r="J15" s="26">
        <f>COUNTIFS('03_Raw_POS_Journal'!$F$5:$F$678, A15, '03_Raw_POS_Journal'!$H$5:$H$678, "Post-Bill Void", '03_Raw_POS_Journal'!$N$5:$N$678, "&gt;120")</f>
        <v/>
      </c>
      <c r="K15" s="26">
        <f>COUNTIFS('03_Raw_POS_Journal'!$F$5:$F$678, A15, '03_Raw_POS_Journal'!$H$5:$H$678, "Post-Bill Void", '03_Raw_POS_Journal'!$I$5:$I$678, "Cash", '03_Raw_POS_Journal'!$N$5:$N$678, "&gt;120")</f>
        <v/>
      </c>
      <c r="L15" s="25">
        <f>SUMIFS('03_Raw_POS_Journal'!$K$5:$K$678, '03_Raw_POS_Journal'!$F$5:$F$678, A15, '03_Raw_POS_Journal'!$H$5:$H$678, "Post-Bill Void", '03_Raw_POS_Journal'!$I$5:$I$678, "Cash")</f>
        <v/>
      </c>
      <c r="M15" s="31">
        <f>IFERROR(IF(_xlfn.STDEV.S($H$5:$H$19)=0, 0, (H15 - AVERAGE($H$5:$H$19)) / _xlfn.STDEV.S($H$5:$H$19)), 0)</f>
        <v/>
      </c>
      <c r="N15" s="32">
        <f>IF(K15&gt;=5, "CRITICAL RISK", IF(OR(K15&gt;=2, M15&gt;=1.5, G15&gt;=5), "ELEVATED RISK", "STANDARD"))</f>
        <v/>
      </c>
    </row>
    <row r="16" ht="19" customHeight="1">
      <c r="A16" s="33" t="inlineStr">
        <is>
          <t>C-112</t>
        </is>
      </c>
      <c r="B16" s="14">
        <f>IFERROR(VLOOKUP(A16, '02_Cashier_Register'!$A$14:$G$28, 2, FALSE), "Unknown")</f>
        <v/>
      </c>
      <c r="C16" s="15">
        <f>IFERROR(VLOOKUP(A16, '02_Cashier_Register'!$A$14:$G$28, 3, FALSE), "Unknown")</f>
        <v/>
      </c>
      <c r="D16" s="29">
        <f>COUNTIFS('03_Raw_POS_Journal'!$F$5:$F$678, A16, '03_Raw_POS_Journal'!$H$5:$H$678, "Sale Tender")</f>
        <v/>
      </c>
      <c r="E16" s="29">
        <f>COUNTIFS('03_Raw_POS_Journal'!$F$5:$F$678, A16, '03_Raw_POS_Journal'!$H$5:$H$678, "Sale Tender", '03_Raw_POS_Journal'!$I$5:$I$678, "Cash")</f>
        <v/>
      </c>
      <c r="F16" s="29">
        <f>COUNTIFS('03_Raw_POS_Journal'!$F$5:$F$678, A16, '03_Raw_POS_Journal'!$H$5:$H$678, "Post-Bill Void")</f>
        <v/>
      </c>
      <c r="G16" s="29">
        <f>COUNTIFS('03_Raw_POS_Journal'!$F$5:$F$678, A16, '03_Raw_POS_Journal'!$H$5:$H$678, "Post-Bill Void", '03_Raw_POS_Journal'!$I$5:$I$678, "Cash")</f>
        <v/>
      </c>
      <c r="H16" s="18">
        <f>IFERROR(IF(E16&gt;0, G16/E16, 0), 0)</f>
        <v/>
      </c>
      <c r="I16" s="29">
        <f>IFERROR(AVERAGEIFS('03_Raw_POS_Journal'!$N$5:$N$678, '03_Raw_POS_Journal'!$F$5:$F$678, A16, '03_Raw_POS_Journal'!$H$5:$H$678, "Post-Bill Void"), 0)</f>
        <v/>
      </c>
      <c r="J16" s="29">
        <f>COUNTIFS('03_Raw_POS_Journal'!$F$5:$F$678, A16, '03_Raw_POS_Journal'!$H$5:$H$678, "Post-Bill Void", '03_Raw_POS_Journal'!$N$5:$N$678, "&gt;120")</f>
        <v/>
      </c>
      <c r="K16" s="29">
        <f>COUNTIFS('03_Raw_POS_Journal'!$F$5:$F$678, A16, '03_Raw_POS_Journal'!$H$5:$H$678, "Post-Bill Void", '03_Raw_POS_Journal'!$I$5:$I$678, "Cash", '03_Raw_POS_Journal'!$N$5:$N$678, "&gt;120")</f>
        <v/>
      </c>
      <c r="L16" s="28">
        <f>SUMIFS('03_Raw_POS_Journal'!$K$5:$K$678, '03_Raw_POS_Journal'!$F$5:$F$678, A16, '03_Raw_POS_Journal'!$H$5:$H$678, "Post-Bill Void", '03_Raw_POS_Journal'!$I$5:$I$678, "Cash")</f>
        <v/>
      </c>
      <c r="M16" s="34">
        <f>IFERROR(IF(_xlfn.STDEV.S($H$5:$H$19)=0, 0, (H16 - AVERAGE($H$5:$H$19)) / _xlfn.STDEV.S($H$5:$H$19)), 0)</f>
        <v/>
      </c>
      <c r="N16" s="32">
        <f>IF(K16&gt;=5, "CRITICAL RISK", IF(OR(K16&gt;=2, M16&gt;=1.5, G16&gt;=5), "ELEVATED RISK", "STANDARD"))</f>
        <v/>
      </c>
    </row>
    <row r="17" ht="19" customHeight="1">
      <c r="A17" s="30" t="inlineStr">
        <is>
          <t>C-113</t>
        </is>
      </c>
      <c r="B17" s="11">
        <f>IFERROR(VLOOKUP(A17, '02_Cashier_Register'!$A$14:$G$28, 2, FALSE), "Unknown")</f>
        <v/>
      </c>
      <c r="C17" s="12">
        <f>IFERROR(VLOOKUP(A17, '02_Cashier_Register'!$A$14:$G$28, 3, FALSE), "Unknown")</f>
        <v/>
      </c>
      <c r="D17" s="26">
        <f>COUNTIFS('03_Raw_POS_Journal'!$F$5:$F$678, A17, '03_Raw_POS_Journal'!$H$5:$H$678, "Sale Tender")</f>
        <v/>
      </c>
      <c r="E17" s="26">
        <f>COUNTIFS('03_Raw_POS_Journal'!$F$5:$F$678, A17, '03_Raw_POS_Journal'!$H$5:$H$678, "Sale Tender", '03_Raw_POS_Journal'!$I$5:$I$678, "Cash")</f>
        <v/>
      </c>
      <c r="F17" s="26">
        <f>COUNTIFS('03_Raw_POS_Journal'!$F$5:$F$678, A17, '03_Raw_POS_Journal'!$H$5:$H$678, "Post-Bill Void")</f>
        <v/>
      </c>
      <c r="G17" s="26">
        <f>COUNTIFS('03_Raw_POS_Journal'!$F$5:$F$678, A17, '03_Raw_POS_Journal'!$H$5:$H$678, "Post-Bill Void", '03_Raw_POS_Journal'!$I$5:$I$678, "Cash")</f>
        <v/>
      </c>
      <c r="H17" s="21">
        <f>IFERROR(IF(E17&gt;0, G17/E17, 0), 0)</f>
        <v/>
      </c>
      <c r="I17" s="26">
        <f>IFERROR(AVERAGEIFS('03_Raw_POS_Journal'!$N$5:$N$678, '03_Raw_POS_Journal'!$F$5:$F$678, A17, '03_Raw_POS_Journal'!$H$5:$H$678, "Post-Bill Void"), 0)</f>
        <v/>
      </c>
      <c r="J17" s="26">
        <f>COUNTIFS('03_Raw_POS_Journal'!$F$5:$F$678, A17, '03_Raw_POS_Journal'!$H$5:$H$678, "Post-Bill Void", '03_Raw_POS_Journal'!$N$5:$N$678, "&gt;120")</f>
        <v/>
      </c>
      <c r="K17" s="26">
        <f>COUNTIFS('03_Raw_POS_Journal'!$F$5:$F$678, A17, '03_Raw_POS_Journal'!$H$5:$H$678, "Post-Bill Void", '03_Raw_POS_Journal'!$I$5:$I$678, "Cash", '03_Raw_POS_Journal'!$N$5:$N$678, "&gt;120")</f>
        <v/>
      </c>
      <c r="L17" s="25">
        <f>SUMIFS('03_Raw_POS_Journal'!$K$5:$K$678, '03_Raw_POS_Journal'!$F$5:$F$678, A17, '03_Raw_POS_Journal'!$H$5:$H$678, "Post-Bill Void", '03_Raw_POS_Journal'!$I$5:$I$678, "Cash")</f>
        <v/>
      </c>
      <c r="M17" s="31">
        <f>IFERROR(IF(_xlfn.STDEV.S($H$5:$H$19)=0, 0, (H17 - AVERAGE($H$5:$H$19)) / _xlfn.STDEV.S($H$5:$H$19)), 0)</f>
        <v/>
      </c>
      <c r="N17" s="32">
        <f>IF(K17&gt;=5, "CRITICAL RISK", IF(OR(K17&gt;=2, M17&gt;=1.5, G17&gt;=5), "ELEVATED RISK", "STANDARD"))</f>
        <v/>
      </c>
    </row>
    <row r="18" ht="19" customHeight="1">
      <c r="A18" s="33" t="inlineStr">
        <is>
          <t>C-114</t>
        </is>
      </c>
      <c r="B18" s="14">
        <f>IFERROR(VLOOKUP(A18, '02_Cashier_Register'!$A$14:$G$28, 2, FALSE), "Unknown")</f>
        <v/>
      </c>
      <c r="C18" s="15">
        <f>IFERROR(VLOOKUP(A18, '02_Cashier_Register'!$A$14:$G$28, 3, FALSE), "Unknown")</f>
        <v/>
      </c>
      <c r="D18" s="29">
        <f>COUNTIFS('03_Raw_POS_Journal'!$F$5:$F$678, A18, '03_Raw_POS_Journal'!$H$5:$H$678, "Sale Tender")</f>
        <v/>
      </c>
      <c r="E18" s="29">
        <f>COUNTIFS('03_Raw_POS_Journal'!$F$5:$F$678, A18, '03_Raw_POS_Journal'!$H$5:$H$678, "Sale Tender", '03_Raw_POS_Journal'!$I$5:$I$678, "Cash")</f>
        <v/>
      </c>
      <c r="F18" s="29">
        <f>COUNTIFS('03_Raw_POS_Journal'!$F$5:$F$678, A18, '03_Raw_POS_Journal'!$H$5:$H$678, "Post-Bill Void")</f>
        <v/>
      </c>
      <c r="G18" s="29">
        <f>COUNTIFS('03_Raw_POS_Journal'!$F$5:$F$678, A18, '03_Raw_POS_Journal'!$H$5:$H$678, "Post-Bill Void", '03_Raw_POS_Journal'!$I$5:$I$678, "Cash")</f>
        <v/>
      </c>
      <c r="H18" s="18">
        <f>IFERROR(IF(E18&gt;0, G18/E18, 0), 0)</f>
        <v/>
      </c>
      <c r="I18" s="29">
        <f>IFERROR(AVERAGEIFS('03_Raw_POS_Journal'!$N$5:$N$678, '03_Raw_POS_Journal'!$F$5:$F$678, A18, '03_Raw_POS_Journal'!$H$5:$H$678, "Post-Bill Void"), 0)</f>
        <v/>
      </c>
      <c r="J18" s="29">
        <f>COUNTIFS('03_Raw_POS_Journal'!$F$5:$F$678, A18, '03_Raw_POS_Journal'!$H$5:$H$678, "Post-Bill Void", '03_Raw_POS_Journal'!$N$5:$N$678, "&gt;120")</f>
        <v/>
      </c>
      <c r="K18" s="29">
        <f>COUNTIFS('03_Raw_POS_Journal'!$F$5:$F$678, A18, '03_Raw_POS_Journal'!$H$5:$H$678, "Post-Bill Void", '03_Raw_POS_Journal'!$I$5:$I$678, "Cash", '03_Raw_POS_Journal'!$N$5:$N$678, "&gt;120")</f>
        <v/>
      </c>
      <c r="L18" s="28">
        <f>SUMIFS('03_Raw_POS_Journal'!$K$5:$K$678, '03_Raw_POS_Journal'!$F$5:$F$678, A18, '03_Raw_POS_Journal'!$H$5:$H$678, "Post-Bill Void", '03_Raw_POS_Journal'!$I$5:$I$678, "Cash")</f>
        <v/>
      </c>
      <c r="M18" s="34">
        <f>IFERROR(IF(_xlfn.STDEV.S($H$5:$H$19)=0, 0, (H18 - AVERAGE($H$5:$H$19)) / _xlfn.STDEV.S($H$5:$H$19)), 0)</f>
        <v/>
      </c>
      <c r="N18" s="32">
        <f>IF(K18&gt;=5, "CRITICAL RISK", IF(OR(K18&gt;=2, M18&gt;=1.5, G18&gt;=5), "ELEVATED RISK", "STANDARD"))</f>
        <v/>
      </c>
    </row>
    <row r="19" ht="19" customHeight="1">
      <c r="A19" s="30" t="inlineStr">
        <is>
          <t>C-115</t>
        </is>
      </c>
      <c r="B19" s="11">
        <f>IFERROR(VLOOKUP(A19, '02_Cashier_Register'!$A$14:$G$28, 2, FALSE), "Unknown")</f>
        <v/>
      </c>
      <c r="C19" s="12">
        <f>IFERROR(VLOOKUP(A19, '02_Cashier_Register'!$A$14:$G$28, 3, FALSE), "Unknown")</f>
        <v/>
      </c>
      <c r="D19" s="26">
        <f>COUNTIFS('03_Raw_POS_Journal'!$F$5:$F$678, A19, '03_Raw_POS_Journal'!$H$5:$H$678, "Sale Tender")</f>
        <v/>
      </c>
      <c r="E19" s="26">
        <f>COUNTIFS('03_Raw_POS_Journal'!$F$5:$F$678, A19, '03_Raw_POS_Journal'!$H$5:$H$678, "Sale Tender", '03_Raw_POS_Journal'!$I$5:$I$678, "Cash")</f>
        <v/>
      </c>
      <c r="F19" s="26">
        <f>COUNTIFS('03_Raw_POS_Journal'!$F$5:$F$678, A19, '03_Raw_POS_Journal'!$H$5:$H$678, "Post-Bill Void")</f>
        <v/>
      </c>
      <c r="G19" s="26">
        <f>COUNTIFS('03_Raw_POS_Journal'!$F$5:$F$678, A19, '03_Raw_POS_Journal'!$H$5:$H$678, "Post-Bill Void", '03_Raw_POS_Journal'!$I$5:$I$678, "Cash")</f>
        <v/>
      </c>
      <c r="H19" s="21">
        <f>IFERROR(IF(E19&gt;0, G19/E19, 0), 0)</f>
        <v/>
      </c>
      <c r="I19" s="26">
        <f>IFERROR(AVERAGEIFS('03_Raw_POS_Journal'!$N$5:$N$678, '03_Raw_POS_Journal'!$F$5:$F$678, A19, '03_Raw_POS_Journal'!$H$5:$H$678, "Post-Bill Void"), 0)</f>
        <v/>
      </c>
      <c r="J19" s="26">
        <f>COUNTIFS('03_Raw_POS_Journal'!$F$5:$F$678, A19, '03_Raw_POS_Journal'!$H$5:$H$678, "Post-Bill Void", '03_Raw_POS_Journal'!$N$5:$N$678, "&gt;120")</f>
        <v/>
      </c>
      <c r="K19" s="26">
        <f>COUNTIFS('03_Raw_POS_Journal'!$F$5:$F$678, A19, '03_Raw_POS_Journal'!$H$5:$H$678, "Post-Bill Void", '03_Raw_POS_Journal'!$I$5:$I$678, "Cash", '03_Raw_POS_Journal'!$N$5:$N$678, "&gt;120")</f>
        <v/>
      </c>
      <c r="L19" s="25">
        <f>SUMIFS('03_Raw_POS_Journal'!$K$5:$K$678, '03_Raw_POS_Journal'!$F$5:$F$678, A19, '03_Raw_POS_Journal'!$H$5:$H$678, "Post-Bill Void", '03_Raw_POS_Journal'!$I$5:$I$678, "Cash")</f>
        <v/>
      </c>
      <c r="M19" s="31">
        <f>IFERROR(IF(_xlfn.STDEV.S($H$5:$H$19)=0, 0, (H19 - AVERAGE($H$5:$H$19)) / _xlfn.STDEV.S($H$5:$H$19)), 0)</f>
        <v/>
      </c>
      <c r="N19" s="32">
        <f>IF(K19&gt;=5, "CRITICAL RISK", IF(OR(K19&gt;=2, M19&gt;=1.5, G19&gt;=5), "ELEVATED RISK", "STANDARD"))</f>
        <v/>
      </c>
    </row>
    <row r="20" ht="20" customHeight="1">
      <c r="A20" s="35" t="inlineStr">
        <is>
          <t>TOTAL / BENCHMARK</t>
        </is>
      </c>
      <c r="B20" s="35" t="n"/>
      <c r="C20" s="35" t="n"/>
      <c r="D20" s="36">
        <f>SUM(D5:D19)</f>
        <v/>
      </c>
      <c r="E20" s="36">
        <f>SUM(E5:E19)</f>
        <v/>
      </c>
      <c r="F20" s="36">
        <f>SUM(F5:F19)</f>
        <v/>
      </c>
      <c r="G20" s="36">
        <f>SUM(G5:G19)</f>
        <v/>
      </c>
      <c r="H20" s="37">
        <f>IFERROR(IF(E20&gt;0, G20/E20, 0), 0)</f>
        <v/>
      </c>
      <c r="I20" s="36">
        <f>IFERROR(AVERAGEIFS('03_Raw_POS_Journal'!$N$5:$N$678, '03_Raw_POS_Journal'!$H$5:$H$678, "Post-Bill Void"), 0)</f>
        <v/>
      </c>
      <c r="J20" s="36">
        <f>SUM(J5:J19)</f>
        <v/>
      </c>
      <c r="K20" s="36">
        <f>SUM(K5:K19)</f>
        <v/>
      </c>
      <c r="L20" s="38">
        <f>SUM(L5:L19)</f>
        <v/>
      </c>
      <c r="M20" s="35" t="n"/>
      <c r="N20" s="35" t="n"/>
    </row>
  </sheetData>
  <conditionalFormatting sqref="N5:N19">
    <cfRule type="cellIs" priority="1" operator="equal" dxfId="0">
      <formula>"CRITICAL RISK"</formula>
    </cfRule>
    <cfRule type="cellIs" priority="2" operator="equal" dxfId="1">
      <formula>"ELEVATED RISK"</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showGridLines="1" workbookViewId="0">
      <selection activeCell="A1" sqref="A1"/>
    </sheetView>
  </sheetViews>
  <sheetFormatPr baseColWidth="8" defaultRowHeight="15"/>
  <cols>
    <col width="52" customWidth="1" min="1" max="1"/>
    <col width="16" customWidth="1" min="2" max="2"/>
    <col width="12" customWidth="1" min="3" max="3"/>
    <col width="20" customWidth="1" min="4" max="4"/>
    <col width="27" customWidth="1" min="5" max="5"/>
    <col width="44" customWidth="1" min="6" max="6"/>
    <col width="25" customWidth="1" min="7" max="7"/>
    <col width="36" customWidth="1" min="8" max="8"/>
    <col width="23" customWidth="1" min="9" max="9"/>
    <col width="32" customWidth="1" min="10" max="10"/>
    <col width="24" customWidth="1" min="11" max="11"/>
    <col width="30" customWidth="1" min="12" max="12"/>
  </cols>
  <sheetData>
    <row r="1" ht="24" customHeight="1">
      <c r="A1" s="1" t="inlineStr">
        <is>
          <t>AUDIT ENGINE 2: NO-SALE DRAWER ACTIVITY ANALYSIS</t>
        </is>
      </c>
    </row>
    <row r="2" ht="18" customHeight="1">
      <c r="A2" s="2" t="inlineStr">
        <is>
          <t>AUTOMATED CALCULATION: Benchmarks unrecorded till openings against peer averages and store baselines to detect off-book cash trade. Steel headers (#2F5597) update dynamically.</t>
        </is>
      </c>
    </row>
    <row r="3"/>
    <row r="4" ht="26" customHeight="1">
      <c r="A4" s="4" t="inlineStr">
        <is>
          <t>Cashier ID</t>
        </is>
      </c>
      <c r="B4" s="4" t="inlineStr">
        <is>
          <t>Cashier Name</t>
        </is>
      </c>
      <c r="C4" s="4" t="inlineStr">
        <is>
          <t>Branch</t>
        </is>
      </c>
      <c r="D4" s="23" t="inlineStr">
        <is>
          <t>Total Paid Sales</t>
        </is>
      </c>
      <c r="E4" s="23" t="inlineStr">
        <is>
          <t>No-Sale Drawer Openings</t>
        </is>
      </c>
      <c r="F4" s="23" t="inlineStr">
        <is>
          <t>Openings per 100 Sales</t>
        </is>
      </c>
      <c r="G4" s="23" t="inlineStr">
        <is>
          <t>Branch Benchmark Rate</t>
        </is>
      </c>
      <c r="H4" s="23" t="inlineStr">
        <is>
          <t>Excess Drawer Openings</t>
        </is>
      </c>
      <c r="I4" s="23" t="inlineStr">
        <is>
          <t>Avg Ticket Size ($)</t>
        </is>
      </c>
      <c r="J4" s="23" t="inlineStr">
        <is>
          <t>Est. Unrecorded Exposure ($)</t>
        </is>
      </c>
      <c r="K4" s="23" t="inlineStr">
        <is>
          <t>Opening Rate Z-Score</t>
        </is>
      </c>
      <c r="L4" s="23" t="inlineStr">
        <is>
          <t>Drawer Risk Classification</t>
        </is>
      </c>
    </row>
    <row r="5" ht="19" customHeight="1">
      <c r="A5" s="30" t="inlineStr">
        <is>
          <t>C-101</t>
        </is>
      </c>
      <c r="B5" s="11">
        <f>IFERROR(VLOOKUP(A5, '02_Cashier_Register'!$A$14:$G$28, 2, FALSE), "Unknown")</f>
        <v/>
      </c>
      <c r="C5" s="12">
        <f>IFERROR(VLOOKUP(A5, '02_Cashier_Register'!$A$14:$G$28, 3, FALSE), "Unknown")</f>
        <v/>
      </c>
      <c r="D5" s="26">
        <f>COUNTIFS('03_Raw_POS_Journal'!$F$5:$F$678, A5, '03_Raw_POS_Journal'!$H$5:$H$678, "Sale Tender")</f>
        <v/>
      </c>
      <c r="E5" s="26">
        <f>COUNTIFS('03_Raw_POS_Journal'!$F$5:$F$678, A5, '03_Raw_POS_Journal'!$H$5:$H$678, "No-Sale Drawer Opening")</f>
        <v/>
      </c>
      <c r="F5" s="22">
        <f>IFERROR(IF(D5&gt;0, (E5/D5)*100, 0), 0)</f>
        <v/>
      </c>
      <c r="G5" s="22">
        <f>IFERROR(VLOOKUP(C5, '02_Cashier_Register'!$A$6:$F$9, 6, FALSE), 2.0)</f>
        <v/>
      </c>
      <c r="H5" s="26">
        <f>MAX(0, E5 - (D5 * G5 / 100))</f>
        <v/>
      </c>
      <c r="I5" s="25">
        <f>IFERROR(AVERAGEIFS('03_Raw_POS_Journal'!$K$5:$K$678, '03_Raw_POS_Journal'!$D$5:$D$678, C5, '03_Raw_POS_Journal'!$H$5:$H$678, "Sale Tender"), IFERROR(AVERAGEIFS('03_Raw_POS_Journal'!$K$5:$K$678, '03_Raw_POS_Journal'!$H$5:$H$678, "Sale Tender"), 25.0))</f>
        <v/>
      </c>
      <c r="J5" s="25">
        <f>H5 * I5 * 0.40</f>
        <v/>
      </c>
      <c r="K5" s="31">
        <f>IFERROR(IF(_xlfn.STDEV.S($F$5:$F$19)=0, 0, (F5 - AVERAGE($F$5:$F$19)) / _xlfn.STDEV.S($F$5:$F$19)), 0)</f>
        <v/>
      </c>
      <c r="L5" s="32">
        <f>IF(K5&gt;=2.0, "HIGH RISK", IF(K5&gt;=1.0, "ELEVATED RISK", "STANDARD"))</f>
        <v/>
      </c>
    </row>
    <row r="6" ht="19" customHeight="1">
      <c r="A6" s="33" t="inlineStr">
        <is>
          <t>C-102</t>
        </is>
      </c>
      <c r="B6" s="14">
        <f>IFERROR(VLOOKUP(A6, '02_Cashier_Register'!$A$14:$G$28, 2, FALSE), "Unknown")</f>
        <v/>
      </c>
      <c r="C6" s="15">
        <f>IFERROR(VLOOKUP(A6, '02_Cashier_Register'!$A$14:$G$28, 3, FALSE), "Unknown")</f>
        <v/>
      </c>
      <c r="D6" s="29">
        <f>COUNTIFS('03_Raw_POS_Journal'!$F$5:$F$678, A6, '03_Raw_POS_Journal'!$H$5:$H$678, "Sale Tender")</f>
        <v/>
      </c>
      <c r="E6" s="29">
        <f>COUNTIFS('03_Raw_POS_Journal'!$F$5:$F$678, A6, '03_Raw_POS_Journal'!$H$5:$H$678, "No-Sale Drawer Opening")</f>
        <v/>
      </c>
      <c r="F6" s="19">
        <f>IFERROR(IF(D6&gt;0, (E6/D6)*100, 0), 0)</f>
        <v/>
      </c>
      <c r="G6" s="19">
        <f>IFERROR(VLOOKUP(C6, '02_Cashier_Register'!$A$6:$F$9, 6, FALSE), 2.0)</f>
        <v/>
      </c>
      <c r="H6" s="29">
        <f>MAX(0, E6 - (D6 * G6 / 100))</f>
        <v/>
      </c>
      <c r="I6" s="28">
        <f>IFERROR(AVERAGEIFS('03_Raw_POS_Journal'!$K$5:$K$678, '03_Raw_POS_Journal'!$D$5:$D$678, C6, '03_Raw_POS_Journal'!$H$5:$H$678, "Sale Tender"), IFERROR(AVERAGEIFS('03_Raw_POS_Journal'!$K$5:$K$678, '03_Raw_POS_Journal'!$H$5:$H$678, "Sale Tender"), 25.0))</f>
        <v/>
      </c>
      <c r="J6" s="28">
        <f>H6 * I6 * 0.40</f>
        <v/>
      </c>
      <c r="K6" s="34">
        <f>IFERROR(IF(_xlfn.STDEV.S($F$5:$F$19)=0, 0, (F6 - AVERAGE($F$5:$F$19)) / _xlfn.STDEV.S($F$5:$F$19)), 0)</f>
        <v/>
      </c>
      <c r="L6" s="32">
        <f>IF(K6&gt;=2.0, "HIGH RISK", IF(K6&gt;=1.0, "ELEVATED RISK", "STANDARD"))</f>
        <v/>
      </c>
    </row>
    <row r="7" ht="19" customHeight="1">
      <c r="A7" s="30" t="inlineStr">
        <is>
          <t>C-103</t>
        </is>
      </c>
      <c r="B7" s="11">
        <f>IFERROR(VLOOKUP(A7, '02_Cashier_Register'!$A$14:$G$28, 2, FALSE), "Unknown")</f>
        <v/>
      </c>
      <c r="C7" s="12">
        <f>IFERROR(VLOOKUP(A7, '02_Cashier_Register'!$A$14:$G$28, 3, FALSE), "Unknown")</f>
        <v/>
      </c>
      <c r="D7" s="26">
        <f>COUNTIFS('03_Raw_POS_Journal'!$F$5:$F$678, A7, '03_Raw_POS_Journal'!$H$5:$H$678, "Sale Tender")</f>
        <v/>
      </c>
      <c r="E7" s="26">
        <f>COUNTIFS('03_Raw_POS_Journal'!$F$5:$F$678, A7, '03_Raw_POS_Journal'!$H$5:$H$678, "No-Sale Drawer Opening")</f>
        <v/>
      </c>
      <c r="F7" s="22">
        <f>IFERROR(IF(D7&gt;0, (E7/D7)*100, 0), 0)</f>
        <v/>
      </c>
      <c r="G7" s="22">
        <f>IFERROR(VLOOKUP(C7, '02_Cashier_Register'!$A$6:$F$9, 6, FALSE), 2.0)</f>
        <v/>
      </c>
      <c r="H7" s="26">
        <f>MAX(0, E7 - (D7 * G7 / 100))</f>
        <v/>
      </c>
      <c r="I7" s="25">
        <f>IFERROR(AVERAGEIFS('03_Raw_POS_Journal'!$K$5:$K$678, '03_Raw_POS_Journal'!$D$5:$D$678, C7, '03_Raw_POS_Journal'!$H$5:$H$678, "Sale Tender"), IFERROR(AVERAGEIFS('03_Raw_POS_Journal'!$K$5:$K$678, '03_Raw_POS_Journal'!$H$5:$H$678, "Sale Tender"), 25.0))</f>
        <v/>
      </c>
      <c r="J7" s="25">
        <f>H7 * I7 * 0.40</f>
        <v/>
      </c>
      <c r="K7" s="31">
        <f>IFERROR(IF(_xlfn.STDEV.S($F$5:$F$19)=0, 0, (F7 - AVERAGE($F$5:$F$19)) / _xlfn.STDEV.S($F$5:$F$19)), 0)</f>
        <v/>
      </c>
      <c r="L7" s="32">
        <f>IF(K7&gt;=2.0, "HIGH RISK", IF(K7&gt;=1.0, "ELEVATED RISK", "STANDARD"))</f>
        <v/>
      </c>
    </row>
    <row r="8" ht="19" customHeight="1">
      <c r="A8" s="33" t="inlineStr">
        <is>
          <t>C-104</t>
        </is>
      </c>
      <c r="B8" s="14">
        <f>IFERROR(VLOOKUP(A8, '02_Cashier_Register'!$A$14:$G$28, 2, FALSE), "Unknown")</f>
        <v/>
      </c>
      <c r="C8" s="15">
        <f>IFERROR(VLOOKUP(A8, '02_Cashier_Register'!$A$14:$G$28, 3, FALSE), "Unknown")</f>
        <v/>
      </c>
      <c r="D8" s="29">
        <f>COUNTIFS('03_Raw_POS_Journal'!$F$5:$F$678, A8, '03_Raw_POS_Journal'!$H$5:$H$678, "Sale Tender")</f>
        <v/>
      </c>
      <c r="E8" s="29">
        <f>COUNTIFS('03_Raw_POS_Journal'!$F$5:$F$678, A8, '03_Raw_POS_Journal'!$H$5:$H$678, "No-Sale Drawer Opening")</f>
        <v/>
      </c>
      <c r="F8" s="19">
        <f>IFERROR(IF(D8&gt;0, (E8/D8)*100, 0), 0)</f>
        <v/>
      </c>
      <c r="G8" s="19">
        <f>IFERROR(VLOOKUP(C8, '02_Cashier_Register'!$A$6:$F$9, 6, FALSE), 2.0)</f>
        <v/>
      </c>
      <c r="H8" s="29">
        <f>MAX(0, E8 - (D8 * G8 / 100))</f>
        <v/>
      </c>
      <c r="I8" s="28">
        <f>IFERROR(AVERAGEIFS('03_Raw_POS_Journal'!$K$5:$K$678, '03_Raw_POS_Journal'!$D$5:$D$678, C8, '03_Raw_POS_Journal'!$H$5:$H$678, "Sale Tender"), IFERROR(AVERAGEIFS('03_Raw_POS_Journal'!$K$5:$K$678, '03_Raw_POS_Journal'!$H$5:$H$678, "Sale Tender"), 25.0))</f>
        <v/>
      </c>
      <c r="J8" s="28">
        <f>H8 * I8 * 0.40</f>
        <v/>
      </c>
      <c r="K8" s="34">
        <f>IFERROR(IF(_xlfn.STDEV.S($F$5:$F$19)=0, 0, (F8 - AVERAGE($F$5:$F$19)) / _xlfn.STDEV.S($F$5:$F$19)), 0)</f>
        <v/>
      </c>
      <c r="L8" s="32">
        <f>IF(K8&gt;=2.0, "HIGH RISK", IF(K8&gt;=1.0, "ELEVATED RISK", "STANDARD"))</f>
        <v/>
      </c>
    </row>
    <row r="9" ht="19" customHeight="1">
      <c r="A9" s="30" t="inlineStr">
        <is>
          <t>C-105</t>
        </is>
      </c>
      <c r="B9" s="11">
        <f>IFERROR(VLOOKUP(A9, '02_Cashier_Register'!$A$14:$G$28, 2, FALSE), "Unknown")</f>
        <v/>
      </c>
      <c r="C9" s="12">
        <f>IFERROR(VLOOKUP(A9, '02_Cashier_Register'!$A$14:$G$28, 3, FALSE), "Unknown")</f>
        <v/>
      </c>
      <c r="D9" s="26">
        <f>COUNTIFS('03_Raw_POS_Journal'!$F$5:$F$678, A9, '03_Raw_POS_Journal'!$H$5:$H$678, "Sale Tender")</f>
        <v/>
      </c>
      <c r="E9" s="26">
        <f>COUNTIFS('03_Raw_POS_Journal'!$F$5:$F$678, A9, '03_Raw_POS_Journal'!$H$5:$H$678, "No-Sale Drawer Opening")</f>
        <v/>
      </c>
      <c r="F9" s="22">
        <f>IFERROR(IF(D9&gt;0, (E9/D9)*100, 0), 0)</f>
        <v/>
      </c>
      <c r="G9" s="22">
        <f>IFERROR(VLOOKUP(C9, '02_Cashier_Register'!$A$6:$F$9, 6, FALSE), 2.0)</f>
        <v/>
      </c>
      <c r="H9" s="26">
        <f>MAX(0, E9 - (D9 * G9 / 100))</f>
        <v/>
      </c>
      <c r="I9" s="25">
        <f>IFERROR(AVERAGEIFS('03_Raw_POS_Journal'!$K$5:$K$678, '03_Raw_POS_Journal'!$D$5:$D$678, C9, '03_Raw_POS_Journal'!$H$5:$H$678, "Sale Tender"), IFERROR(AVERAGEIFS('03_Raw_POS_Journal'!$K$5:$K$678, '03_Raw_POS_Journal'!$H$5:$H$678, "Sale Tender"), 25.0))</f>
        <v/>
      </c>
      <c r="J9" s="25">
        <f>H9 * I9 * 0.40</f>
        <v/>
      </c>
      <c r="K9" s="31">
        <f>IFERROR(IF(_xlfn.STDEV.S($F$5:$F$19)=0, 0, (F9 - AVERAGE($F$5:$F$19)) / _xlfn.STDEV.S($F$5:$F$19)), 0)</f>
        <v/>
      </c>
      <c r="L9" s="32">
        <f>IF(K9&gt;=2.0, "HIGH RISK", IF(K9&gt;=1.0, "ELEVATED RISK", "STANDARD"))</f>
        <v/>
      </c>
    </row>
    <row r="10" ht="19" customHeight="1">
      <c r="A10" s="33" t="inlineStr">
        <is>
          <t>C-106</t>
        </is>
      </c>
      <c r="B10" s="14">
        <f>IFERROR(VLOOKUP(A10, '02_Cashier_Register'!$A$14:$G$28, 2, FALSE), "Unknown")</f>
        <v/>
      </c>
      <c r="C10" s="15">
        <f>IFERROR(VLOOKUP(A10, '02_Cashier_Register'!$A$14:$G$28, 3, FALSE), "Unknown")</f>
        <v/>
      </c>
      <c r="D10" s="29">
        <f>COUNTIFS('03_Raw_POS_Journal'!$F$5:$F$678, A10, '03_Raw_POS_Journal'!$H$5:$H$678, "Sale Tender")</f>
        <v/>
      </c>
      <c r="E10" s="29">
        <f>COUNTIFS('03_Raw_POS_Journal'!$F$5:$F$678, A10, '03_Raw_POS_Journal'!$H$5:$H$678, "No-Sale Drawer Opening")</f>
        <v/>
      </c>
      <c r="F10" s="19">
        <f>IFERROR(IF(D10&gt;0, (E10/D10)*100, 0), 0)</f>
        <v/>
      </c>
      <c r="G10" s="19">
        <f>IFERROR(VLOOKUP(C10, '02_Cashier_Register'!$A$6:$F$9, 6, FALSE), 2.0)</f>
        <v/>
      </c>
      <c r="H10" s="29">
        <f>MAX(0, E10 - (D10 * G10 / 100))</f>
        <v/>
      </c>
      <c r="I10" s="28">
        <f>IFERROR(AVERAGEIFS('03_Raw_POS_Journal'!$K$5:$K$678, '03_Raw_POS_Journal'!$D$5:$D$678, C10, '03_Raw_POS_Journal'!$H$5:$H$678, "Sale Tender"), IFERROR(AVERAGEIFS('03_Raw_POS_Journal'!$K$5:$K$678, '03_Raw_POS_Journal'!$H$5:$H$678, "Sale Tender"), 25.0))</f>
        <v/>
      </c>
      <c r="J10" s="28">
        <f>H10 * I10 * 0.40</f>
        <v/>
      </c>
      <c r="K10" s="34">
        <f>IFERROR(IF(_xlfn.STDEV.S($F$5:$F$19)=0, 0, (F10 - AVERAGE($F$5:$F$19)) / _xlfn.STDEV.S($F$5:$F$19)), 0)</f>
        <v/>
      </c>
      <c r="L10" s="32">
        <f>IF(K10&gt;=2.0, "HIGH RISK", IF(K10&gt;=1.0, "ELEVATED RISK", "STANDARD"))</f>
        <v/>
      </c>
    </row>
    <row r="11" ht="19" customHeight="1">
      <c r="A11" s="30" t="inlineStr">
        <is>
          <t>C-107</t>
        </is>
      </c>
      <c r="B11" s="11">
        <f>IFERROR(VLOOKUP(A11, '02_Cashier_Register'!$A$14:$G$28, 2, FALSE), "Unknown")</f>
        <v/>
      </c>
      <c r="C11" s="12">
        <f>IFERROR(VLOOKUP(A11, '02_Cashier_Register'!$A$14:$G$28, 3, FALSE), "Unknown")</f>
        <v/>
      </c>
      <c r="D11" s="26">
        <f>COUNTIFS('03_Raw_POS_Journal'!$F$5:$F$678, A11, '03_Raw_POS_Journal'!$H$5:$H$678, "Sale Tender")</f>
        <v/>
      </c>
      <c r="E11" s="26">
        <f>COUNTIFS('03_Raw_POS_Journal'!$F$5:$F$678, A11, '03_Raw_POS_Journal'!$H$5:$H$678, "No-Sale Drawer Opening")</f>
        <v/>
      </c>
      <c r="F11" s="22">
        <f>IFERROR(IF(D11&gt;0, (E11/D11)*100, 0), 0)</f>
        <v/>
      </c>
      <c r="G11" s="22">
        <f>IFERROR(VLOOKUP(C11, '02_Cashier_Register'!$A$6:$F$9, 6, FALSE), 2.0)</f>
        <v/>
      </c>
      <c r="H11" s="26">
        <f>MAX(0, E11 - (D11 * G11 / 100))</f>
        <v/>
      </c>
      <c r="I11" s="25">
        <f>IFERROR(AVERAGEIFS('03_Raw_POS_Journal'!$K$5:$K$678, '03_Raw_POS_Journal'!$D$5:$D$678, C11, '03_Raw_POS_Journal'!$H$5:$H$678, "Sale Tender"), IFERROR(AVERAGEIFS('03_Raw_POS_Journal'!$K$5:$K$678, '03_Raw_POS_Journal'!$H$5:$H$678, "Sale Tender"), 25.0))</f>
        <v/>
      </c>
      <c r="J11" s="25">
        <f>H11 * I11 * 0.40</f>
        <v/>
      </c>
      <c r="K11" s="31">
        <f>IFERROR(IF(_xlfn.STDEV.S($F$5:$F$19)=0, 0, (F11 - AVERAGE($F$5:$F$19)) / _xlfn.STDEV.S($F$5:$F$19)), 0)</f>
        <v/>
      </c>
      <c r="L11" s="32">
        <f>IF(K11&gt;=2.0, "HIGH RISK", IF(K11&gt;=1.0, "ELEVATED RISK", "STANDARD"))</f>
        <v/>
      </c>
    </row>
    <row r="12" ht="19" customHeight="1">
      <c r="A12" s="33" t="inlineStr">
        <is>
          <t>C-108</t>
        </is>
      </c>
      <c r="B12" s="14">
        <f>IFERROR(VLOOKUP(A12, '02_Cashier_Register'!$A$14:$G$28, 2, FALSE), "Unknown")</f>
        <v/>
      </c>
      <c r="C12" s="15">
        <f>IFERROR(VLOOKUP(A12, '02_Cashier_Register'!$A$14:$G$28, 3, FALSE), "Unknown")</f>
        <v/>
      </c>
      <c r="D12" s="29">
        <f>COUNTIFS('03_Raw_POS_Journal'!$F$5:$F$678, A12, '03_Raw_POS_Journal'!$H$5:$H$678, "Sale Tender")</f>
        <v/>
      </c>
      <c r="E12" s="29">
        <f>COUNTIFS('03_Raw_POS_Journal'!$F$5:$F$678, A12, '03_Raw_POS_Journal'!$H$5:$H$678, "No-Sale Drawer Opening")</f>
        <v/>
      </c>
      <c r="F12" s="19">
        <f>IFERROR(IF(D12&gt;0, (E12/D12)*100, 0), 0)</f>
        <v/>
      </c>
      <c r="G12" s="19">
        <f>IFERROR(VLOOKUP(C12, '02_Cashier_Register'!$A$6:$F$9, 6, FALSE), 2.0)</f>
        <v/>
      </c>
      <c r="H12" s="29">
        <f>MAX(0, E12 - (D12 * G12 / 100))</f>
        <v/>
      </c>
      <c r="I12" s="28">
        <f>IFERROR(AVERAGEIFS('03_Raw_POS_Journal'!$K$5:$K$678, '03_Raw_POS_Journal'!$D$5:$D$678, C12, '03_Raw_POS_Journal'!$H$5:$H$678, "Sale Tender"), IFERROR(AVERAGEIFS('03_Raw_POS_Journal'!$K$5:$K$678, '03_Raw_POS_Journal'!$H$5:$H$678, "Sale Tender"), 25.0))</f>
        <v/>
      </c>
      <c r="J12" s="28">
        <f>H12 * I12 * 0.40</f>
        <v/>
      </c>
      <c r="K12" s="34">
        <f>IFERROR(IF(_xlfn.STDEV.S($F$5:$F$19)=0, 0, (F12 - AVERAGE($F$5:$F$19)) / _xlfn.STDEV.S($F$5:$F$19)), 0)</f>
        <v/>
      </c>
      <c r="L12" s="32">
        <f>IF(K12&gt;=2.0, "HIGH RISK", IF(K12&gt;=1.0, "ELEVATED RISK", "STANDARD"))</f>
        <v/>
      </c>
    </row>
    <row r="13" ht="19" customHeight="1">
      <c r="A13" s="30" t="inlineStr">
        <is>
          <t>C-109</t>
        </is>
      </c>
      <c r="B13" s="11">
        <f>IFERROR(VLOOKUP(A13, '02_Cashier_Register'!$A$14:$G$28, 2, FALSE), "Unknown")</f>
        <v/>
      </c>
      <c r="C13" s="12">
        <f>IFERROR(VLOOKUP(A13, '02_Cashier_Register'!$A$14:$G$28, 3, FALSE), "Unknown")</f>
        <v/>
      </c>
      <c r="D13" s="26">
        <f>COUNTIFS('03_Raw_POS_Journal'!$F$5:$F$678, A13, '03_Raw_POS_Journal'!$H$5:$H$678, "Sale Tender")</f>
        <v/>
      </c>
      <c r="E13" s="26">
        <f>COUNTIFS('03_Raw_POS_Journal'!$F$5:$F$678, A13, '03_Raw_POS_Journal'!$H$5:$H$678, "No-Sale Drawer Opening")</f>
        <v/>
      </c>
      <c r="F13" s="22">
        <f>IFERROR(IF(D13&gt;0, (E13/D13)*100, 0), 0)</f>
        <v/>
      </c>
      <c r="G13" s="22">
        <f>IFERROR(VLOOKUP(C13, '02_Cashier_Register'!$A$6:$F$9, 6, FALSE), 2.0)</f>
        <v/>
      </c>
      <c r="H13" s="26">
        <f>MAX(0, E13 - (D13 * G13 / 100))</f>
        <v/>
      </c>
      <c r="I13" s="25">
        <f>IFERROR(AVERAGEIFS('03_Raw_POS_Journal'!$K$5:$K$678, '03_Raw_POS_Journal'!$D$5:$D$678, C13, '03_Raw_POS_Journal'!$H$5:$H$678, "Sale Tender"), IFERROR(AVERAGEIFS('03_Raw_POS_Journal'!$K$5:$K$678, '03_Raw_POS_Journal'!$H$5:$H$678, "Sale Tender"), 25.0))</f>
        <v/>
      </c>
      <c r="J13" s="25">
        <f>H13 * I13 * 0.40</f>
        <v/>
      </c>
      <c r="K13" s="31">
        <f>IFERROR(IF(_xlfn.STDEV.S($F$5:$F$19)=0, 0, (F13 - AVERAGE($F$5:$F$19)) / _xlfn.STDEV.S($F$5:$F$19)), 0)</f>
        <v/>
      </c>
      <c r="L13" s="32">
        <f>IF(K13&gt;=2.0, "HIGH RISK", IF(K13&gt;=1.0, "ELEVATED RISK", "STANDARD"))</f>
        <v/>
      </c>
    </row>
    <row r="14" ht="19" customHeight="1">
      <c r="A14" s="33" t="inlineStr">
        <is>
          <t>C-110</t>
        </is>
      </c>
      <c r="B14" s="14">
        <f>IFERROR(VLOOKUP(A14, '02_Cashier_Register'!$A$14:$G$28, 2, FALSE), "Unknown")</f>
        <v/>
      </c>
      <c r="C14" s="15">
        <f>IFERROR(VLOOKUP(A14, '02_Cashier_Register'!$A$14:$G$28, 3, FALSE), "Unknown")</f>
        <v/>
      </c>
      <c r="D14" s="29">
        <f>COUNTIFS('03_Raw_POS_Journal'!$F$5:$F$678, A14, '03_Raw_POS_Journal'!$H$5:$H$678, "Sale Tender")</f>
        <v/>
      </c>
      <c r="E14" s="29">
        <f>COUNTIFS('03_Raw_POS_Journal'!$F$5:$F$678, A14, '03_Raw_POS_Journal'!$H$5:$H$678, "No-Sale Drawer Opening")</f>
        <v/>
      </c>
      <c r="F14" s="19">
        <f>IFERROR(IF(D14&gt;0, (E14/D14)*100, 0), 0)</f>
        <v/>
      </c>
      <c r="G14" s="19">
        <f>IFERROR(VLOOKUP(C14, '02_Cashier_Register'!$A$6:$F$9, 6, FALSE), 2.0)</f>
        <v/>
      </c>
      <c r="H14" s="29">
        <f>MAX(0, E14 - (D14 * G14 / 100))</f>
        <v/>
      </c>
      <c r="I14" s="28">
        <f>IFERROR(AVERAGEIFS('03_Raw_POS_Journal'!$K$5:$K$678, '03_Raw_POS_Journal'!$D$5:$D$678, C14, '03_Raw_POS_Journal'!$H$5:$H$678, "Sale Tender"), IFERROR(AVERAGEIFS('03_Raw_POS_Journal'!$K$5:$K$678, '03_Raw_POS_Journal'!$H$5:$H$678, "Sale Tender"), 25.0))</f>
        <v/>
      </c>
      <c r="J14" s="28">
        <f>H14 * I14 * 0.40</f>
        <v/>
      </c>
      <c r="K14" s="34">
        <f>IFERROR(IF(_xlfn.STDEV.S($F$5:$F$19)=0, 0, (F14 - AVERAGE($F$5:$F$19)) / _xlfn.STDEV.S($F$5:$F$19)), 0)</f>
        <v/>
      </c>
      <c r="L14" s="32">
        <f>IF(K14&gt;=2.0, "HIGH RISK", IF(K14&gt;=1.0, "ELEVATED RISK", "STANDARD"))</f>
        <v/>
      </c>
    </row>
    <row r="15" ht="19" customHeight="1">
      <c r="A15" s="30" t="inlineStr">
        <is>
          <t>C-111</t>
        </is>
      </c>
      <c r="B15" s="11">
        <f>IFERROR(VLOOKUP(A15, '02_Cashier_Register'!$A$14:$G$28, 2, FALSE), "Unknown")</f>
        <v/>
      </c>
      <c r="C15" s="12">
        <f>IFERROR(VLOOKUP(A15, '02_Cashier_Register'!$A$14:$G$28, 3, FALSE), "Unknown")</f>
        <v/>
      </c>
      <c r="D15" s="26">
        <f>COUNTIFS('03_Raw_POS_Journal'!$F$5:$F$678, A15, '03_Raw_POS_Journal'!$H$5:$H$678, "Sale Tender")</f>
        <v/>
      </c>
      <c r="E15" s="26">
        <f>COUNTIFS('03_Raw_POS_Journal'!$F$5:$F$678, A15, '03_Raw_POS_Journal'!$H$5:$H$678, "No-Sale Drawer Opening")</f>
        <v/>
      </c>
      <c r="F15" s="22">
        <f>IFERROR(IF(D15&gt;0, (E15/D15)*100, 0), 0)</f>
        <v/>
      </c>
      <c r="G15" s="22">
        <f>IFERROR(VLOOKUP(C15, '02_Cashier_Register'!$A$6:$F$9, 6, FALSE), 2.0)</f>
        <v/>
      </c>
      <c r="H15" s="26">
        <f>MAX(0, E15 - (D15 * G15 / 100))</f>
        <v/>
      </c>
      <c r="I15" s="25">
        <f>IFERROR(AVERAGEIFS('03_Raw_POS_Journal'!$K$5:$K$678, '03_Raw_POS_Journal'!$D$5:$D$678, C15, '03_Raw_POS_Journal'!$H$5:$H$678, "Sale Tender"), IFERROR(AVERAGEIFS('03_Raw_POS_Journal'!$K$5:$K$678, '03_Raw_POS_Journal'!$H$5:$H$678, "Sale Tender"), 25.0))</f>
        <v/>
      </c>
      <c r="J15" s="25">
        <f>H15 * I15 * 0.40</f>
        <v/>
      </c>
      <c r="K15" s="31">
        <f>IFERROR(IF(_xlfn.STDEV.S($F$5:$F$19)=0, 0, (F15 - AVERAGE($F$5:$F$19)) / _xlfn.STDEV.S($F$5:$F$19)), 0)</f>
        <v/>
      </c>
      <c r="L15" s="32">
        <f>IF(K15&gt;=2.0, "HIGH RISK", IF(K15&gt;=1.0, "ELEVATED RISK", "STANDARD"))</f>
        <v/>
      </c>
    </row>
    <row r="16" ht="19" customHeight="1">
      <c r="A16" s="33" t="inlineStr">
        <is>
          <t>C-112</t>
        </is>
      </c>
      <c r="B16" s="14">
        <f>IFERROR(VLOOKUP(A16, '02_Cashier_Register'!$A$14:$G$28, 2, FALSE), "Unknown")</f>
        <v/>
      </c>
      <c r="C16" s="15">
        <f>IFERROR(VLOOKUP(A16, '02_Cashier_Register'!$A$14:$G$28, 3, FALSE), "Unknown")</f>
        <v/>
      </c>
      <c r="D16" s="29">
        <f>COUNTIFS('03_Raw_POS_Journal'!$F$5:$F$678, A16, '03_Raw_POS_Journal'!$H$5:$H$678, "Sale Tender")</f>
        <v/>
      </c>
      <c r="E16" s="29">
        <f>COUNTIFS('03_Raw_POS_Journal'!$F$5:$F$678, A16, '03_Raw_POS_Journal'!$H$5:$H$678, "No-Sale Drawer Opening")</f>
        <v/>
      </c>
      <c r="F16" s="19">
        <f>IFERROR(IF(D16&gt;0, (E16/D16)*100, 0), 0)</f>
        <v/>
      </c>
      <c r="G16" s="19">
        <f>IFERROR(VLOOKUP(C16, '02_Cashier_Register'!$A$6:$F$9, 6, FALSE), 2.0)</f>
        <v/>
      </c>
      <c r="H16" s="29">
        <f>MAX(0, E16 - (D16 * G16 / 100))</f>
        <v/>
      </c>
      <c r="I16" s="28">
        <f>IFERROR(AVERAGEIFS('03_Raw_POS_Journal'!$K$5:$K$678, '03_Raw_POS_Journal'!$D$5:$D$678, C16, '03_Raw_POS_Journal'!$H$5:$H$678, "Sale Tender"), IFERROR(AVERAGEIFS('03_Raw_POS_Journal'!$K$5:$K$678, '03_Raw_POS_Journal'!$H$5:$H$678, "Sale Tender"), 25.0))</f>
        <v/>
      </c>
      <c r="J16" s="28">
        <f>H16 * I16 * 0.40</f>
        <v/>
      </c>
      <c r="K16" s="34">
        <f>IFERROR(IF(_xlfn.STDEV.S($F$5:$F$19)=0, 0, (F16 - AVERAGE($F$5:$F$19)) / _xlfn.STDEV.S($F$5:$F$19)), 0)</f>
        <v/>
      </c>
      <c r="L16" s="32">
        <f>IF(K16&gt;=2.0, "HIGH RISK", IF(K16&gt;=1.0, "ELEVATED RISK", "STANDARD"))</f>
        <v/>
      </c>
    </row>
    <row r="17" ht="19" customHeight="1">
      <c r="A17" s="30" t="inlineStr">
        <is>
          <t>C-113</t>
        </is>
      </c>
      <c r="B17" s="11">
        <f>IFERROR(VLOOKUP(A17, '02_Cashier_Register'!$A$14:$G$28, 2, FALSE), "Unknown")</f>
        <v/>
      </c>
      <c r="C17" s="12">
        <f>IFERROR(VLOOKUP(A17, '02_Cashier_Register'!$A$14:$G$28, 3, FALSE), "Unknown")</f>
        <v/>
      </c>
      <c r="D17" s="26">
        <f>COUNTIFS('03_Raw_POS_Journal'!$F$5:$F$678, A17, '03_Raw_POS_Journal'!$H$5:$H$678, "Sale Tender")</f>
        <v/>
      </c>
      <c r="E17" s="26">
        <f>COUNTIFS('03_Raw_POS_Journal'!$F$5:$F$678, A17, '03_Raw_POS_Journal'!$H$5:$H$678, "No-Sale Drawer Opening")</f>
        <v/>
      </c>
      <c r="F17" s="22">
        <f>IFERROR(IF(D17&gt;0, (E17/D17)*100, 0), 0)</f>
        <v/>
      </c>
      <c r="G17" s="22">
        <f>IFERROR(VLOOKUP(C17, '02_Cashier_Register'!$A$6:$F$9, 6, FALSE), 2.0)</f>
        <v/>
      </c>
      <c r="H17" s="26">
        <f>MAX(0, E17 - (D17 * G17 / 100))</f>
        <v/>
      </c>
      <c r="I17" s="25">
        <f>IFERROR(AVERAGEIFS('03_Raw_POS_Journal'!$K$5:$K$678, '03_Raw_POS_Journal'!$D$5:$D$678, C17, '03_Raw_POS_Journal'!$H$5:$H$678, "Sale Tender"), IFERROR(AVERAGEIFS('03_Raw_POS_Journal'!$K$5:$K$678, '03_Raw_POS_Journal'!$H$5:$H$678, "Sale Tender"), 25.0))</f>
        <v/>
      </c>
      <c r="J17" s="25">
        <f>H17 * I17 * 0.40</f>
        <v/>
      </c>
      <c r="K17" s="31">
        <f>IFERROR(IF(_xlfn.STDEV.S($F$5:$F$19)=0, 0, (F17 - AVERAGE($F$5:$F$19)) / _xlfn.STDEV.S($F$5:$F$19)), 0)</f>
        <v/>
      </c>
      <c r="L17" s="32">
        <f>IF(K17&gt;=2.0, "HIGH RISK", IF(K17&gt;=1.0, "ELEVATED RISK", "STANDARD"))</f>
        <v/>
      </c>
    </row>
    <row r="18" ht="19" customHeight="1">
      <c r="A18" s="33" t="inlineStr">
        <is>
          <t>C-114</t>
        </is>
      </c>
      <c r="B18" s="14">
        <f>IFERROR(VLOOKUP(A18, '02_Cashier_Register'!$A$14:$G$28, 2, FALSE), "Unknown")</f>
        <v/>
      </c>
      <c r="C18" s="15">
        <f>IFERROR(VLOOKUP(A18, '02_Cashier_Register'!$A$14:$G$28, 3, FALSE), "Unknown")</f>
        <v/>
      </c>
      <c r="D18" s="29">
        <f>COUNTIFS('03_Raw_POS_Journal'!$F$5:$F$678, A18, '03_Raw_POS_Journal'!$H$5:$H$678, "Sale Tender")</f>
        <v/>
      </c>
      <c r="E18" s="29">
        <f>COUNTIFS('03_Raw_POS_Journal'!$F$5:$F$678, A18, '03_Raw_POS_Journal'!$H$5:$H$678, "No-Sale Drawer Opening")</f>
        <v/>
      </c>
      <c r="F18" s="19">
        <f>IFERROR(IF(D18&gt;0, (E18/D18)*100, 0), 0)</f>
        <v/>
      </c>
      <c r="G18" s="19">
        <f>IFERROR(VLOOKUP(C18, '02_Cashier_Register'!$A$6:$F$9, 6, FALSE), 2.0)</f>
        <v/>
      </c>
      <c r="H18" s="29">
        <f>MAX(0, E18 - (D18 * G18 / 100))</f>
        <v/>
      </c>
      <c r="I18" s="28">
        <f>IFERROR(AVERAGEIFS('03_Raw_POS_Journal'!$K$5:$K$678, '03_Raw_POS_Journal'!$D$5:$D$678, C18, '03_Raw_POS_Journal'!$H$5:$H$678, "Sale Tender"), IFERROR(AVERAGEIFS('03_Raw_POS_Journal'!$K$5:$K$678, '03_Raw_POS_Journal'!$H$5:$H$678, "Sale Tender"), 25.0))</f>
        <v/>
      </c>
      <c r="J18" s="28">
        <f>H18 * I18 * 0.40</f>
        <v/>
      </c>
      <c r="K18" s="34">
        <f>IFERROR(IF(_xlfn.STDEV.S($F$5:$F$19)=0, 0, (F18 - AVERAGE($F$5:$F$19)) / _xlfn.STDEV.S($F$5:$F$19)), 0)</f>
        <v/>
      </c>
      <c r="L18" s="32">
        <f>IF(K18&gt;=2.0, "HIGH RISK", IF(K18&gt;=1.0, "ELEVATED RISK", "STANDARD"))</f>
        <v/>
      </c>
    </row>
    <row r="19" ht="19" customHeight="1">
      <c r="A19" s="30" t="inlineStr">
        <is>
          <t>C-115</t>
        </is>
      </c>
      <c r="B19" s="11">
        <f>IFERROR(VLOOKUP(A19, '02_Cashier_Register'!$A$14:$G$28, 2, FALSE), "Unknown")</f>
        <v/>
      </c>
      <c r="C19" s="12">
        <f>IFERROR(VLOOKUP(A19, '02_Cashier_Register'!$A$14:$G$28, 3, FALSE), "Unknown")</f>
        <v/>
      </c>
      <c r="D19" s="26">
        <f>COUNTIFS('03_Raw_POS_Journal'!$F$5:$F$678, A19, '03_Raw_POS_Journal'!$H$5:$H$678, "Sale Tender")</f>
        <v/>
      </c>
      <c r="E19" s="26">
        <f>COUNTIFS('03_Raw_POS_Journal'!$F$5:$F$678, A19, '03_Raw_POS_Journal'!$H$5:$H$678, "No-Sale Drawer Opening")</f>
        <v/>
      </c>
      <c r="F19" s="22">
        <f>IFERROR(IF(D19&gt;0, (E19/D19)*100, 0), 0)</f>
        <v/>
      </c>
      <c r="G19" s="22">
        <f>IFERROR(VLOOKUP(C19, '02_Cashier_Register'!$A$6:$F$9, 6, FALSE), 2.0)</f>
        <v/>
      </c>
      <c r="H19" s="26">
        <f>MAX(0, E19 - (D19 * G19 / 100))</f>
        <v/>
      </c>
      <c r="I19" s="25">
        <f>IFERROR(AVERAGEIFS('03_Raw_POS_Journal'!$K$5:$K$678, '03_Raw_POS_Journal'!$D$5:$D$678, C19, '03_Raw_POS_Journal'!$H$5:$H$678, "Sale Tender"), IFERROR(AVERAGEIFS('03_Raw_POS_Journal'!$K$5:$K$678, '03_Raw_POS_Journal'!$H$5:$H$678, "Sale Tender"), 25.0))</f>
        <v/>
      </c>
      <c r="J19" s="25">
        <f>H19 * I19 * 0.40</f>
        <v/>
      </c>
      <c r="K19" s="31">
        <f>IFERROR(IF(_xlfn.STDEV.S($F$5:$F$19)=0, 0, (F19 - AVERAGE($F$5:$F$19)) / _xlfn.STDEV.S($F$5:$F$19)), 0)</f>
        <v/>
      </c>
      <c r="L19" s="32">
        <f>IF(K19&gt;=2.0, "HIGH RISK", IF(K19&gt;=1.0, "ELEVATED RISK", "STANDARD"))</f>
        <v/>
      </c>
    </row>
    <row r="20" ht="20" customHeight="1">
      <c r="A20" s="35" t="inlineStr">
        <is>
          <t>TOTAL / BENCHMARK</t>
        </is>
      </c>
      <c r="B20" s="35" t="n"/>
      <c r="C20" s="35" t="n"/>
      <c r="D20" s="36">
        <f>SUM(D5:D19)</f>
        <v/>
      </c>
      <c r="E20" s="36">
        <f>SUM(E5:E19)</f>
        <v/>
      </c>
      <c r="F20" s="39">
        <f>IFERROR(IF(D20&gt;0, (E20/D20)*100, 0), 0)</f>
        <v/>
      </c>
      <c r="G20" s="35" t="n"/>
      <c r="H20" s="36">
        <f>SUM(H5:H19)</f>
        <v/>
      </c>
      <c r="I20" s="35" t="n"/>
      <c r="J20" s="38">
        <f>SUM(J5:J19)</f>
        <v/>
      </c>
      <c r="K20" s="35" t="n"/>
      <c r="L20" s="35" t="n"/>
    </row>
  </sheetData>
  <conditionalFormatting sqref="L5:L19">
    <cfRule type="cellIs" priority="1" operator="equal" dxfId="0">
      <formula>"HIGH RISK"</formula>
    </cfRule>
    <cfRule type="cellIs" priority="2" operator="equal" dxfId="1">
      <formula>"ELEVATED RISK"</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showGridLines="1" workbookViewId="0">
      <selection activeCell="A1" sqref="A1"/>
    </sheetView>
  </sheetViews>
  <sheetFormatPr baseColWidth="8" defaultRowHeight="15"/>
  <cols>
    <col width="64" customWidth="1" min="1" max="1"/>
    <col width="20" customWidth="1" min="2" max="2"/>
    <col width="19" customWidth="1" min="3" max="3"/>
    <col width="55" customWidth="1" min="4" max="4"/>
    <col width="28" customWidth="1" min="5" max="5"/>
    <col width="31" customWidth="1" min="6" max="6"/>
    <col width="32" customWidth="1" min="7" max="7"/>
    <col width="38" customWidth="1" min="8" max="8"/>
    <col width="40" customWidth="1" min="9" max="9"/>
    <col width="33" customWidth="1" min="10" max="10"/>
    <col width="19" customWidth="1" min="11" max="11"/>
    <col width="24" customWidth="1" min="12" max="12"/>
    <col width="33" customWidth="1" min="13" max="13"/>
  </cols>
  <sheetData>
    <row r="1" ht="24" customHeight="1">
      <c r="A1" s="1" t="inlineStr">
        <is>
          <t>AUDIT ENGINE 3: LINE-ITEM VOIDS &amp; SUPERVISORY AUTHORIZATIONS</t>
        </is>
      </c>
    </row>
    <row r="2" ht="18" customHeight="1">
      <c r="A2" s="2" t="inlineStr">
        <is>
          <t>AUTOMATED CALCULATION: Analyzes pre-settlement line item deletions and evaluates supervisor credential concentration and terminal concurrency. Steel headers (#2F5597) update dynamically.</t>
        </is>
      </c>
    </row>
    <row r="3"/>
    <row r="4">
      <c r="A4" s="16" t="inlineStr">
        <is>
          <t>PART 1: CASHIER PRE-SETTLEMENT LINE ITEM DELETIONS</t>
        </is>
      </c>
    </row>
    <row r="5" ht="26" customHeight="1">
      <c r="A5" s="4" t="inlineStr">
        <is>
          <t>Cashier ID</t>
        </is>
      </c>
      <c r="B5" s="4" t="inlineStr">
        <is>
          <t>Cashier Name</t>
        </is>
      </c>
      <c r="C5" s="4" t="inlineStr">
        <is>
          <t>Branch</t>
        </is>
      </c>
      <c r="D5" s="23" t="inlineStr">
        <is>
          <t>Total Line Voids</t>
        </is>
      </c>
      <c r="E5" s="23" t="inlineStr">
        <is>
          <t>Cash Line Voids</t>
        </is>
      </c>
      <c r="F5" s="23" t="inlineStr">
        <is>
          <t>Total Line Void $</t>
        </is>
      </c>
      <c r="G5" s="23" t="inlineStr">
        <is>
          <t>Cash Line Void $</t>
        </is>
      </c>
      <c r="H5" s="23" t="inlineStr">
        <is>
          <t>Cash Line Void Ratio %</t>
        </is>
      </c>
      <c r="I5" s="23" t="inlineStr">
        <is>
          <t>Line Void Z-Score</t>
        </is>
      </c>
      <c r="J5" s="23" t="inlineStr">
        <is>
          <t>Line Void Risk Classification</t>
        </is>
      </c>
      <c r="K5" s="23" t="inlineStr">
        <is>
          <t>Total Overrides</t>
        </is>
      </c>
      <c r="L5" s="23" t="inlineStr">
        <is>
          <t>Concurrent Overrides</t>
        </is>
      </c>
      <c r="M5" s="23" t="inlineStr">
        <is>
          <t>Supervisor Authorization Tier</t>
        </is>
      </c>
    </row>
    <row r="6" ht="19" customHeight="1">
      <c r="A6" s="33" t="inlineStr">
        <is>
          <t>C-101</t>
        </is>
      </c>
      <c r="B6" s="14">
        <f>IFERROR(VLOOKUP(A6, '02_Cashier_Register'!$A$14:$G$28, 2, FALSE), "Unknown")</f>
        <v/>
      </c>
      <c r="C6" s="15">
        <f>IFERROR(VLOOKUP(A6, '02_Cashier_Register'!$A$14:$G$28, 3, FALSE), "Unknown")</f>
        <v/>
      </c>
      <c r="D6" s="29">
        <f>COUNTIFS('03_Raw_POS_Journal'!$F$5:$F$678, A6, '03_Raw_POS_Journal'!$H$5:$H$678, "Line Item Void")</f>
        <v/>
      </c>
      <c r="E6" s="29">
        <f>COUNTIFS('03_Raw_POS_Journal'!$F$5:$F$678, A6, '03_Raw_POS_Journal'!$H$5:$H$678, "Line Item Void", '03_Raw_POS_Journal'!$I$5:$I$678, "Cash")</f>
        <v/>
      </c>
      <c r="F6" s="28">
        <f>SUMIFS('03_Raw_POS_Journal'!$K$5:$K$678, '03_Raw_POS_Journal'!$F$5:$F$678, A6, '03_Raw_POS_Journal'!$H$5:$H$678, "Line Item Void")</f>
        <v/>
      </c>
      <c r="G6" s="28">
        <f>SUMIFS('03_Raw_POS_Journal'!$K$5:$K$678, '03_Raw_POS_Journal'!$F$5:$F$678, A6, '03_Raw_POS_Journal'!$H$5:$H$678, "Line Item Void", '03_Raw_POS_Journal'!$I$5:$I$678, "Cash")</f>
        <v/>
      </c>
      <c r="H6" s="18">
        <f>IFERROR(IF(D6&gt;0, E6/D6, 0), 0)</f>
        <v/>
      </c>
      <c r="I6" s="34">
        <f>IFERROR(IF(_xlfn.STDEV.S($E$6:$E$20)=0, 0, (E6 - AVERAGE($E$6:$E$20)) / _xlfn.STDEV.S($E$6:$E$20)), 0)</f>
        <v/>
      </c>
      <c r="J6" s="32">
        <f>IF(I6&gt;=2.0, "HIGH RISK", IF(I6&gt;=1.0, "ELEVATED RISK", "STANDARD"))</f>
        <v/>
      </c>
      <c r="K6" s="29">
        <f>COUNTIFS('03_Raw_POS_Journal'!$F$5:$F$678, A6, '03_Raw_POS_Journal'!$G$5:$G$678, "&lt;&gt;NONE")</f>
        <v/>
      </c>
      <c r="L6" s="29">
        <f>IF(AND(ISNUMBER(SEARCH("COLLUSION", INDEX($I$25:$I$28, MATCH(C6, $C$25:$C$28, 0)))), ISNUMBER(SEARCH(A6, INDEX($F$25:$F$28, MATCH(C6, $C$25:$C$28, 0))))), COUNTIFS('03_Raw_POS_Journal'!$F$5:$F$678, A6, '03_Raw_POS_Journal'!$G$5:$G$678, INDEX($A$25:$A$28, MATCH(C6, $C$25:$C$28, 0))), 0)</f>
        <v/>
      </c>
      <c r="M6" s="32">
        <f>IF(L6&gt;=10, "HIGH CONCURRENCY", IF(L6&gt;=3, "WATCHLIST", "STANDARD"))</f>
        <v/>
      </c>
    </row>
    <row r="7" ht="19" customHeight="1">
      <c r="A7" s="30" t="inlineStr">
        <is>
          <t>C-102</t>
        </is>
      </c>
      <c r="B7" s="11">
        <f>IFERROR(VLOOKUP(A7, '02_Cashier_Register'!$A$14:$G$28, 2, FALSE), "Unknown")</f>
        <v/>
      </c>
      <c r="C7" s="12">
        <f>IFERROR(VLOOKUP(A7, '02_Cashier_Register'!$A$14:$G$28, 3, FALSE), "Unknown")</f>
        <v/>
      </c>
      <c r="D7" s="26">
        <f>COUNTIFS('03_Raw_POS_Journal'!$F$5:$F$678, A7, '03_Raw_POS_Journal'!$H$5:$H$678, "Line Item Void")</f>
        <v/>
      </c>
      <c r="E7" s="26">
        <f>COUNTIFS('03_Raw_POS_Journal'!$F$5:$F$678, A7, '03_Raw_POS_Journal'!$H$5:$H$678, "Line Item Void", '03_Raw_POS_Journal'!$I$5:$I$678, "Cash")</f>
        <v/>
      </c>
      <c r="F7" s="25">
        <f>SUMIFS('03_Raw_POS_Journal'!$K$5:$K$678, '03_Raw_POS_Journal'!$F$5:$F$678, A7, '03_Raw_POS_Journal'!$H$5:$H$678, "Line Item Void")</f>
        <v/>
      </c>
      <c r="G7" s="25">
        <f>SUMIFS('03_Raw_POS_Journal'!$K$5:$K$678, '03_Raw_POS_Journal'!$F$5:$F$678, A7, '03_Raw_POS_Journal'!$H$5:$H$678, "Line Item Void", '03_Raw_POS_Journal'!$I$5:$I$678, "Cash")</f>
        <v/>
      </c>
      <c r="H7" s="21">
        <f>IFERROR(IF(D7&gt;0, E7/D7, 0), 0)</f>
        <v/>
      </c>
      <c r="I7" s="31">
        <f>IFERROR(IF(_xlfn.STDEV.S($E$6:$E$20)=0, 0, (E7 - AVERAGE($E$6:$E$20)) / _xlfn.STDEV.S($E$6:$E$20)), 0)</f>
        <v/>
      </c>
      <c r="J7" s="32">
        <f>IF(I7&gt;=2.0, "HIGH RISK", IF(I7&gt;=1.0, "ELEVATED RISK", "STANDARD"))</f>
        <v/>
      </c>
      <c r="K7" s="26">
        <f>COUNTIFS('03_Raw_POS_Journal'!$F$5:$F$678, A7, '03_Raw_POS_Journal'!$G$5:$G$678, "&lt;&gt;NONE")</f>
        <v/>
      </c>
      <c r="L7" s="26">
        <f>IF(AND(ISNUMBER(SEARCH("COLLUSION", INDEX($I$25:$I$28, MATCH(C7, $C$25:$C$28, 0)))), ISNUMBER(SEARCH(A7, INDEX($F$25:$F$28, MATCH(C7, $C$25:$C$28, 0))))), COUNTIFS('03_Raw_POS_Journal'!$F$5:$F$678, A7, '03_Raw_POS_Journal'!$G$5:$G$678, INDEX($A$25:$A$28, MATCH(C7, $C$25:$C$28, 0))), 0)</f>
        <v/>
      </c>
      <c r="M7" s="32">
        <f>IF(L7&gt;=10, "HIGH CONCURRENCY", IF(L7&gt;=3, "WATCHLIST", "STANDARD"))</f>
        <v/>
      </c>
    </row>
    <row r="8" ht="19" customHeight="1">
      <c r="A8" s="33" t="inlineStr">
        <is>
          <t>C-103</t>
        </is>
      </c>
      <c r="B8" s="14">
        <f>IFERROR(VLOOKUP(A8, '02_Cashier_Register'!$A$14:$G$28, 2, FALSE), "Unknown")</f>
        <v/>
      </c>
      <c r="C8" s="15">
        <f>IFERROR(VLOOKUP(A8, '02_Cashier_Register'!$A$14:$G$28, 3, FALSE), "Unknown")</f>
        <v/>
      </c>
      <c r="D8" s="29">
        <f>COUNTIFS('03_Raw_POS_Journal'!$F$5:$F$678, A8, '03_Raw_POS_Journal'!$H$5:$H$678, "Line Item Void")</f>
        <v/>
      </c>
      <c r="E8" s="29">
        <f>COUNTIFS('03_Raw_POS_Journal'!$F$5:$F$678, A8, '03_Raw_POS_Journal'!$H$5:$H$678, "Line Item Void", '03_Raw_POS_Journal'!$I$5:$I$678, "Cash")</f>
        <v/>
      </c>
      <c r="F8" s="28">
        <f>SUMIFS('03_Raw_POS_Journal'!$K$5:$K$678, '03_Raw_POS_Journal'!$F$5:$F$678, A8, '03_Raw_POS_Journal'!$H$5:$H$678, "Line Item Void")</f>
        <v/>
      </c>
      <c r="G8" s="28">
        <f>SUMIFS('03_Raw_POS_Journal'!$K$5:$K$678, '03_Raw_POS_Journal'!$F$5:$F$678, A8, '03_Raw_POS_Journal'!$H$5:$H$678, "Line Item Void", '03_Raw_POS_Journal'!$I$5:$I$678, "Cash")</f>
        <v/>
      </c>
      <c r="H8" s="18">
        <f>IFERROR(IF(D8&gt;0, E8/D8, 0), 0)</f>
        <v/>
      </c>
      <c r="I8" s="34">
        <f>IFERROR(IF(_xlfn.STDEV.S($E$6:$E$20)=0, 0, (E8 - AVERAGE($E$6:$E$20)) / _xlfn.STDEV.S($E$6:$E$20)), 0)</f>
        <v/>
      </c>
      <c r="J8" s="32">
        <f>IF(I8&gt;=2.0, "HIGH RISK", IF(I8&gt;=1.0, "ELEVATED RISK", "STANDARD"))</f>
        <v/>
      </c>
      <c r="K8" s="29">
        <f>COUNTIFS('03_Raw_POS_Journal'!$F$5:$F$678, A8, '03_Raw_POS_Journal'!$G$5:$G$678, "&lt;&gt;NONE")</f>
        <v/>
      </c>
      <c r="L8" s="29">
        <f>IF(AND(ISNUMBER(SEARCH("COLLUSION", INDEX($I$25:$I$28, MATCH(C8, $C$25:$C$28, 0)))), ISNUMBER(SEARCH(A8, INDEX($F$25:$F$28, MATCH(C8, $C$25:$C$28, 0))))), COUNTIFS('03_Raw_POS_Journal'!$F$5:$F$678, A8, '03_Raw_POS_Journal'!$G$5:$G$678, INDEX($A$25:$A$28, MATCH(C8, $C$25:$C$28, 0))), 0)</f>
        <v/>
      </c>
      <c r="M8" s="32">
        <f>IF(L8&gt;=10, "HIGH CONCURRENCY", IF(L8&gt;=3, "WATCHLIST", "STANDARD"))</f>
        <v/>
      </c>
    </row>
    <row r="9" ht="19" customHeight="1">
      <c r="A9" s="30" t="inlineStr">
        <is>
          <t>C-104</t>
        </is>
      </c>
      <c r="B9" s="11">
        <f>IFERROR(VLOOKUP(A9, '02_Cashier_Register'!$A$14:$G$28, 2, FALSE), "Unknown")</f>
        <v/>
      </c>
      <c r="C9" s="12">
        <f>IFERROR(VLOOKUP(A9, '02_Cashier_Register'!$A$14:$G$28, 3, FALSE), "Unknown")</f>
        <v/>
      </c>
      <c r="D9" s="26">
        <f>COUNTIFS('03_Raw_POS_Journal'!$F$5:$F$678, A9, '03_Raw_POS_Journal'!$H$5:$H$678, "Line Item Void")</f>
        <v/>
      </c>
      <c r="E9" s="26">
        <f>COUNTIFS('03_Raw_POS_Journal'!$F$5:$F$678, A9, '03_Raw_POS_Journal'!$H$5:$H$678, "Line Item Void", '03_Raw_POS_Journal'!$I$5:$I$678, "Cash")</f>
        <v/>
      </c>
      <c r="F9" s="25">
        <f>SUMIFS('03_Raw_POS_Journal'!$K$5:$K$678, '03_Raw_POS_Journal'!$F$5:$F$678, A9, '03_Raw_POS_Journal'!$H$5:$H$678, "Line Item Void")</f>
        <v/>
      </c>
      <c r="G9" s="25">
        <f>SUMIFS('03_Raw_POS_Journal'!$K$5:$K$678, '03_Raw_POS_Journal'!$F$5:$F$678, A9, '03_Raw_POS_Journal'!$H$5:$H$678, "Line Item Void", '03_Raw_POS_Journal'!$I$5:$I$678, "Cash")</f>
        <v/>
      </c>
      <c r="H9" s="21">
        <f>IFERROR(IF(D9&gt;0, E9/D9, 0), 0)</f>
        <v/>
      </c>
      <c r="I9" s="31">
        <f>IFERROR(IF(_xlfn.STDEV.S($E$6:$E$20)=0, 0, (E9 - AVERAGE($E$6:$E$20)) / _xlfn.STDEV.S($E$6:$E$20)), 0)</f>
        <v/>
      </c>
      <c r="J9" s="32">
        <f>IF(I9&gt;=2.0, "HIGH RISK", IF(I9&gt;=1.0, "ELEVATED RISK", "STANDARD"))</f>
        <v/>
      </c>
      <c r="K9" s="26">
        <f>COUNTIFS('03_Raw_POS_Journal'!$F$5:$F$678, A9, '03_Raw_POS_Journal'!$G$5:$G$678, "&lt;&gt;NONE")</f>
        <v/>
      </c>
      <c r="L9" s="26">
        <f>IF(AND(ISNUMBER(SEARCH("COLLUSION", INDEX($I$25:$I$28, MATCH(C9, $C$25:$C$28, 0)))), ISNUMBER(SEARCH(A9, INDEX($F$25:$F$28, MATCH(C9, $C$25:$C$28, 0))))), COUNTIFS('03_Raw_POS_Journal'!$F$5:$F$678, A9, '03_Raw_POS_Journal'!$G$5:$G$678, INDEX($A$25:$A$28, MATCH(C9, $C$25:$C$28, 0))), 0)</f>
        <v/>
      </c>
      <c r="M9" s="32">
        <f>IF(L9&gt;=10, "HIGH CONCURRENCY", IF(L9&gt;=3, "WATCHLIST", "STANDARD"))</f>
        <v/>
      </c>
    </row>
    <row r="10" ht="19" customHeight="1">
      <c r="A10" s="33" t="inlineStr">
        <is>
          <t>C-105</t>
        </is>
      </c>
      <c r="B10" s="14">
        <f>IFERROR(VLOOKUP(A10, '02_Cashier_Register'!$A$14:$G$28, 2, FALSE), "Unknown")</f>
        <v/>
      </c>
      <c r="C10" s="15">
        <f>IFERROR(VLOOKUP(A10, '02_Cashier_Register'!$A$14:$G$28, 3, FALSE), "Unknown")</f>
        <v/>
      </c>
      <c r="D10" s="29">
        <f>COUNTIFS('03_Raw_POS_Journal'!$F$5:$F$678, A10, '03_Raw_POS_Journal'!$H$5:$H$678, "Line Item Void")</f>
        <v/>
      </c>
      <c r="E10" s="29">
        <f>COUNTIFS('03_Raw_POS_Journal'!$F$5:$F$678, A10, '03_Raw_POS_Journal'!$H$5:$H$678, "Line Item Void", '03_Raw_POS_Journal'!$I$5:$I$678, "Cash")</f>
        <v/>
      </c>
      <c r="F10" s="28">
        <f>SUMIFS('03_Raw_POS_Journal'!$K$5:$K$678, '03_Raw_POS_Journal'!$F$5:$F$678, A10, '03_Raw_POS_Journal'!$H$5:$H$678, "Line Item Void")</f>
        <v/>
      </c>
      <c r="G10" s="28">
        <f>SUMIFS('03_Raw_POS_Journal'!$K$5:$K$678, '03_Raw_POS_Journal'!$F$5:$F$678, A10, '03_Raw_POS_Journal'!$H$5:$H$678, "Line Item Void", '03_Raw_POS_Journal'!$I$5:$I$678, "Cash")</f>
        <v/>
      </c>
      <c r="H10" s="18">
        <f>IFERROR(IF(D10&gt;0, E10/D10, 0), 0)</f>
        <v/>
      </c>
      <c r="I10" s="34">
        <f>IFERROR(IF(_xlfn.STDEV.S($E$6:$E$20)=0, 0, (E10 - AVERAGE($E$6:$E$20)) / _xlfn.STDEV.S($E$6:$E$20)), 0)</f>
        <v/>
      </c>
      <c r="J10" s="32">
        <f>IF(I10&gt;=2.0, "HIGH RISK", IF(I10&gt;=1.0, "ELEVATED RISK", "STANDARD"))</f>
        <v/>
      </c>
      <c r="K10" s="29">
        <f>COUNTIFS('03_Raw_POS_Journal'!$F$5:$F$678, A10, '03_Raw_POS_Journal'!$G$5:$G$678, "&lt;&gt;NONE")</f>
        <v/>
      </c>
      <c r="L10" s="29">
        <f>IF(AND(ISNUMBER(SEARCH("COLLUSION", INDEX($I$25:$I$28, MATCH(C10, $C$25:$C$28, 0)))), ISNUMBER(SEARCH(A10, INDEX($F$25:$F$28, MATCH(C10, $C$25:$C$28, 0))))), COUNTIFS('03_Raw_POS_Journal'!$F$5:$F$678, A10, '03_Raw_POS_Journal'!$G$5:$G$678, INDEX($A$25:$A$28, MATCH(C10, $C$25:$C$28, 0))), 0)</f>
        <v/>
      </c>
      <c r="M10" s="32">
        <f>IF(L10&gt;=10, "HIGH CONCURRENCY", IF(L10&gt;=3, "WATCHLIST", "STANDARD"))</f>
        <v/>
      </c>
    </row>
    <row r="11" ht="19" customHeight="1">
      <c r="A11" s="30" t="inlineStr">
        <is>
          <t>C-106</t>
        </is>
      </c>
      <c r="B11" s="11">
        <f>IFERROR(VLOOKUP(A11, '02_Cashier_Register'!$A$14:$G$28, 2, FALSE), "Unknown")</f>
        <v/>
      </c>
      <c r="C11" s="12">
        <f>IFERROR(VLOOKUP(A11, '02_Cashier_Register'!$A$14:$G$28, 3, FALSE), "Unknown")</f>
        <v/>
      </c>
      <c r="D11" s="26">
        <f>COUNTIFS('03_Raw_POS_Journal'!$F$5:$F$678, A11, '03_Raw_POS_Journal'!$H$5:$H$678, "Line Item Void")</f>
        <v/>
      </c>
      <c r="E11" s="26">
        <f>COUNTIFS('03_Raw_POS_Journal'!$F$5:$F$678, A11, '03_Raw_POS_Journal'!$H$5:$H$678, "Line Item Void", '03_Raw_POS_Journal'!$I$5:$I$678, "Cash")</f>
        <v/>
      </c>
      <c r="F11" s="25">
        <f>SUMIFS('03_Raw_POS_Journal'!$K$5:$K$678, '03_Raw_POS_Journal'!$F$5:$F$678, A11, '03_Raw_POS_Journal'!$H$5:$H$678, "Line Item Void")</f>
        <v/>
      </c>
      <c r="G11" s="25">
        <f>SUMIFS('03_Raw_POS_Journal'!$K$5:$K$678, '03_Raw_POS_Journal'!$F$5:$F$678, A11, '03_Raw_POS_Journal'!$H$5:$H$678, "Line Item Void", '03_Raw_POS_Journal'!$I$5:$I$678, "Cash")</f>
        <v/>
      </c>
      <c r="H11" s="21">
        <f>IFERROR(IF(D11&gt;0, E11/D11, 0), 0)</f>
        <v/>
      </c>
      <c r="I11" s="31">
        <f>IFERROR(IF(_xlfn.STDEV.S($E$6:$E$20)=0, 0, (E11 - AVERAGE($E$6:$E$20)) / _xlfn.STDEV.S($E$6:$E$20)), 0)</f>
        <v/>
      </c>
      <c r="J11" s="32">
        <f>IF(I11&gt;=2.0, "HIGH RISK", IF(I11&gt;=1.0, "ELEVATED RISK", "STANDARD"))</f>
        <v/>
      </c>
      <c r="K11" s="26">
        <f>COUNTIFS('03_Raw_POS_Journal'!$F$5:$F$678, A11, '03_Raw_POS_Journal'!$G$5:$G$678, "&lt;&gt;NONE")</f>
        <v/>
      </c>
      <c r="L11" s="26">
        <f>IF(AND(ISNUMBER(SEARCH("COLLUSION", INDEX($I$25:$I$28, MATCH(C11, $C$25:$C$28, 0)))), ISNUMBER(SEARCH(A11, INDEX($F$25:$F$28, MATCH(C11, $C$25:$C$28, 0))))), COUNTIFS('03_Raw_POS_Journal'!$F$5:$F$678, A11, '03_Raw_POS_Journal'!$G$5:$G$678, INDEX($A$25:$A$28, MATCH(C11, $C$25:$C$28, 0))), 0)</f>
        <v/>
      </c>
      <c r="M11" s="32">
        <f>IF(L11&gt;=10, "HIGH CONCURRENCY", IF(L11&gt;=3, "WATCHLIST", "STANDARD"))</f>
        <v/>
      </c>
    </row>
    <row r="12" ht="19" customHeight="1">
      <c r="A12" s="33" t="inlineStr">
        <is>
          <t>C-107</t>
        </is>
      </c>
      <c r="B12" s="14">
        <f>IFERROR(VLOOKUP(A12, '02_Cashier_Register'!$A$14:$G$28, 2, FALSE), "Unknown")</f>
        <v/>
      </c>
      <c r="C12" s="15">
        <f>IFERROR(VLOOKUP(A12, '02_Cashier_Register'!$A$14:$G$28, 3, FALSE), "Unknown")</f>
        <v/>
      </c>
      <c r="D12" s="29">
        <f>COUNTIFS('03_Raw_POS_Journal'!$F$5:$F$678, A12, '03_Raw_POS_Journal'!$H$5:$H$678, "Line Item Void")</f>
        <v/>
      </c>
      <c r="E12" s="29">
        <f>COUNTIFS('03_Raw_POS_Journal'!$F$5:$F$678, A12, '03_Raw_POS_Journal'!$H$5:$H$678, "Line Item Void", '03_Raw_POS_Journal'!$I$5:$I$678, "Cash")</f>
        <v/>
      </c>
      <c r="F12" s="28">
        <f>SUMIFS('03_Raw_POS_Journal'!$K$5:$K$678, '03_Raw_POS_Journal'!$F$5:$F$678, A12, '03_Raw_POS_Journal'!$H$5:$H$678, "Line Item Void")</f>
        <v/>
      </c>
      <c r="G12" s="28">
        <f>SUMIFS('03_Raw_POS_Journal'!$K$5:$K$678, '03_Raw_POS_Journal'!$F$5:$F$678, A12, '03_Raw_POS_Journal'!$H$5:$H$678, "Line Item Void", '03_Raw_POS_Journal'!$I$5:$I$678, "Cash")</f>
        <v/>
      </c>
      <c r="H12" s="18">
        <f>IFERROR(IF(D12&gt;0, E12/D12, 0), 0)</f>
        <v/>
      </c>
      <c r="I12" s="34">
        <f>IFERROR(IF(_xlfn.STDEV.S($E$6:$E$20)=0, 0, (E12 - AVERAGE($E$6:$E$20)) / _xlfn.STDEV.S($E$6:$E$20)), 0)</f>
        <v/>
      </c>
      <c r="J12" s="32">
        <f>IF(I12&gt;=2.0, "HIGH RISK", IF(I12&gt;=1.0, "ELEVATED RISK", "STANDARD"))</f>
        <v/>
      </c>
      <c r="K12" s="29">
        <f>COUNTIFS('03_Raw_POS_Journal'!$F$5:$F$678, A12, '03_Raw_POS_Journal'!$G$5:$G$678, "&lt;&gt;NONE")</f>
        <v/>
      </c>
      <c r="L12" s="29">
        <f>IF(AND(ISNUMBER(SEARCH("COLLUSION", INDEX($I$25:$I$28, MATCH(C12, $C$25:$C$28, 0)))), ISNUMBER(SEARCH(A12, INDEX($F$25:$F$28, MATCH(C12, $C$25:$C$28, 0))))), COUNTIFS('03_Raw_POS_Journal'!$F$5:$F$678, A12, '03_Raw_POS_Journal'!$G$5:$G$678, INDEX($A$25:$A$28, MATCH(C12, $C$25:$C$28, 0))), 0)</f>
        <v/>
      </c>
      <c r="M12" s="32">
        <f>IF(L12&gt;=10, "HIGH CONCURRENCY", IF(L12&gt;=3, "WATCHLIST", "STANDARD"))</f>
        <v/>
      </c>
    </row>
    <row r="13" ht="19" customHeight="1">
      <c r="A13" s="30" t="inlineStr">
        <is>
          <t>C-108</t>
        </is>
      </c>
      <c r="B13" s="11">
        <f>IFERROR(VLOOKUP(A13, '02_Cashier_Register'!$A$14:$G$28, 2, FALSE), "Unknown")</f>
        <v/>
      </c>
      <c r="C13" s="12">
        <f>IFERROR(VLOOKUP(A13, '02_Cashier_Register'!$A$14:$G$28, 3, FALSE), "Unknown")</f>
        <v/>
      </c>
      <c r="D13" s="26">
        <f>COUNTIFS('03_Raw_POS_Journal'!$F$5:$F$678, A13, '03_Raw_POS_Journal'!$H$5:$H$678, "Line Item Void")</f>
        <v/>
      </c>
      <c r="E13" s="26">
        <f>COUNTIFS('03_Raw_POS_Journal'!$F$5:$F$678, A13, '03_Raw_POS_Journal'!$H$5:$H$678, "Line Item Void", '03_Raw_POS_Journal'!$I$5:$I$678, "Cash")</f>
        <v/>
      </c>
      <c r="F13" s="25">
        <f>SUMIFS('03_Raw_POS_Journal'!$K$5:$K$678, '03_Raw_POS_Journal'!$F$5:$F$678, A13, '03_Raw_POS_Journal'!$H$5:$H$678, "Line Item Void")</f>
        <v/>
      </c>
      <c r="G13" s="25">
        <f>SUMIFS('03_Raw_POS_Journal'!$K$5:$K$678, '03_Raw_POS_Journal'!$F$5:$F$678, A13, '03_Raw_POS_Journal'!$H$5:$H$678, "Line Item Void", '03_Raw_POS_Journal'!$I$5:$I$678, "Cash")</f>
        <v/>
      </c>
      <c r="H13" s="21">
        <f>IFERROR(IF(D13&gt;0, E13/D13, 0), 0)</f>
        <v/>
      </c>
      <c r="I13" s="31">
        <f>IFERROR(IF(_xlfn.STDEV.S($E$6:$E$20)=0, 0, (E13 - AVERAGE($E$6:$E$20)) / _xlfn.STDEV.S($E$6:$E$20)), 0)</f>
        <v/>
      </c>
      <c r="J13" s="32">
        <f>IF(I13&gt;=2.0, "HIGH RISK", IF(I13&gt;=1.0, "ELEVATED RISK", "STANDARD"))</f>
        <v/>
      </c>
      <c r="K13" s="26">
        <f>COUNTIFS('03_Raw_POS_Journal'!$F$5:$F$678, A13, '03_Raw_POS_Journal'!$G$5:$G$678, "&lt;&gt;NONE")</f>
        <v/>
      </c>
      <c r="L13" s="26">
        <f>IF(AND(ISNUMBER(SEARCH("COLLUSION", INDEX($I$25:$I$28, MATCH(C13, $C$25:$C$28, 0)))), ISNUMBER(SEARCH(A13, INDEX($F$25:$F$28, MATCH(C13, $C$25:$C$28, 0))))), COUNTIFS('03_Raw_POS_Journal'!$F$5:$F$678, A13, '03_Raw_POS_Journal'!$G$5:$G$678, INDEX($A$25:$A$28, MATCH(C13, $C$25:$C$28, 0))), 0)</f>
        <v/>
      </c>
      <c r="M13" s="32">
        <f>IF(L13&gt;=10, "HIGH CONCURRENCY", IF(L13&gt;=3, "WATCHLIST", "STANDARD"))</f>
        <v/>
      </c>
    </row>
    <row r="14" ht="19" customHeight="1">
      <c r="A14" s="33" t="inlineStr">
        <is>
          <t>C-109</t>
        </is>
      </c>
      <c r="B14" s="14">
        <f>IFERROR(VLOOKUP(A14, '02_Cashier_Register'!$A$14:$G$28, 2, FALSE), "Unknown")</f>
        <v/>
      </c>
      <c r="C14" s="15">
        <f>IFERROR(VLOOKUP(A14, '02_Cashier_Register'!$A$14:$G$28, 3, FALSE), "Unknown")</f>
        <v/>
      </c>
      <c r="D14" s="29">
        <f>COUNTIFS('03_Raw_POS_Journal'!$F$5:$F$678, A14, '03_Raw_POS_Journal'!$H$5:$H$678, "Line Item Void")</f>
        <v/>
      </c>
      <c r="E14" s="29">
        <f>COUNTIFS('03_Raw_POS_Journal'!$F$5:$F$678, A14, '03_Raw_POS_Journal'!$H$5:$H$678, "Line Item Void", '03_Raw_POS_Journal'!$I$5:$I$678, "Cash")</f>
        <v/>
      </c>
      <c r="F14" s="28">
        <f>SUMIFS('03_Raw_POS_Journal'!$K$5:$K$678, '03_Raw_POS_Journal'!$F$5:$F$678, A14, '03_Raw_POS_Journal'!$H$5:$H$678, "Line Item Void")</f>
        <v/>
      </c>
      <c r="G14" s="28">
        <f>SUMIFS('03_Raw_POS_Journal'!$K$5:$K$678, '03_Raw_POS_Journal'!$F$5:$F$678, A14, '03_Raw_POS_Journal'!$H$5:$H$678, "Line Item Void", '03_Raw_POS_Journal'!$I$5:$I$678, "Cash")</f>
        <v/>
      </c>
      <c r="H14" s="18">
        <f>IFERROR(IF(D14&gt;0, E14/D14, 0), 0)</f>
        <v/>
      </c>
      <c r="I14" s="34">
        <f>IFERROR(IF(_xlfn.STDEV.S($E$6:$E$20)=0, 0, (E14 - AVERAGE($E$6:$E$20)) / _xlfn.STDEV.S($E$6:$E$20)), 0)</f>
        <v/>
      </c>
      <c r="J14" s="32">
        <f>IF(I14&gt;=2.0, "HIGH RISK", IF(I14&gt;=1.0, "ELEVATED RISK", "STANDARD"))</f>
        <v/>
      </c>
      <c r="K14" s="29">
        <f>COUNTIFS('03_Raw_POS_Journal'!$F$5:$F$678, A14, '03_Raw_POS_Journal'!$G$5:$G$678, "&lt;&gt;NONE")</f>
        <v/>
      </c>
      <c r="L14" s="29">
        <f>IF(AND(ISNUMBER(SEARCH("COLLUSION", INDEX($I$25:$I$28, MATCH(C14, $C$25:$C$28, 0)))), ISNUMBER(SEARCH(A14, INDEX($F$25:$F$28, MATCH(C14, $C$25:$C$28, 0))))), COUNTIFS('03_Raw_POS_Journal'!$F$5:$F$678, A14, '03_Raw_POS_Journal'!$G$5:$G$678, INDEX($A$25:$A$28, MATCH(C14, $C$25:$C$28, 0))), 0)</f>
        <v/>
      </c>
      <c r="M14" s="32">
        <f>IF(L14&gt;=10, "HIGH CONCURRENCY", IF(L14&gt;=3, "WATCHLIST", "STANDARD"))</f>
        <v/>
      </c>
    </row>
    <row r="15" ht="19" customHeight="1">
      <c r="A15" s="30" t="inlineStr">
        <is>
          <t>C-110</t>
        </is>
      </c>
      <c r="B15" s="11">
        <f>IFERROR(VLOOKUP(A15, '02_Cashier_Register'!$A$14:$G$28, 2, FALSE), "Unknown")</f>
        <v/>
      </c>
      <c r="C15" s="12">
        <f>IFERROR(VLOOKUP(A15, '02_Cashier_Register'!$A$14:$G$28, 3, FALSE), "Unknown")</f>
        <v/>
      </c>
      <c r="D15" s="26">
        <f>COUNTIFS('03_Raw_POS_Journal'!$F$5:$F$678, A15, '03_Raw_POS_Journal'!$H$5:$H$678, "Line Item Void")</f>
        <v/>
      </c>
      <c r="E15" s="26">
        <f>COUNTIFS('03_Raw_POS_Journal'!$F$5:$F$678, A15, '03_Raw_POS_Journal'!$H$5:$H$678, "Line Item Void", '03_Raw_POS_Journal'!$I$5:$I$678, "Cash")</f>
        <v/>
      </c>
      <c r="F15" s="25">
        <f>SUMIFS('03_Raw_POS_Journal'!$K$5:$K$678, '03_Raw_POS_Journal'!$F$5:$F$678, A15, '03_Raw_POS_Journal'!$H$5:$H$678, "Line Item Void")</f>
        <v/>
      </c>
      <c r="G15" s="25">
        <f>SUMIFS('03_Raw_POS_Journal'!$K$5:$K$678, '03_Raw_POS_Journal'!$F$5:$F$678, A15, '03_Raw_POS_Journal'!$H$5:$H$678, "Line Item Void", '03_Raw_POS_Journal'!$I$5:$I$678, "Cash")</f>
        <v/>
      </c>
      <c r="H15" s="21">
        <f>IFERROR(IF(D15&gt;0, E15/D15, 0), 0)</f>
        <v/>
      </c>
      <c r="I15" s="31">
        <f>IFERROR(IF(_xlfn.STDEV.S($E$6:$E$20)=0, 0, (E15 - AVERAGE($E$6:$E$20)) / _xlfn.STDEV.S($E$6:$E$20)), 0)</f>
        <v/>
      </c>
      <c r="J15" s="32">
        <f>IF(I15&gt;=2.0, "HIGH RISK", IF(I15&gt;=1.0, "ELEVATED RISK", "STANDARD"))</f>
        <v/>
      </c>
      <c r="K15" s="26">
        <f>COUNTIFS('03_Raw_POS_Journal'!$F$5:$F$678, A15, '03_Raw_POS_Journal'!$G$5:$G$678, "&lt;&gt;NONE")</f>
        <v/>
      </c>
      <c r="L15" s="26">
        <f>IF(AND(ISNUMBER(SEARCH("COLLUSION", INDEX($I$25:$I$28, MATCH(C15, $C$25:$C$28, 0)))), ISNUMBER(SEARCH(A15, INDEX($F$25:$F$28, MATCH(C15, $C$25:$C$28, 0))))), COUNTIFS('03_Raw_POS_Journal'!$F$5:$F$678, A15, '03_Raw_POS_Journal'!$G$5:$G$678, INDEX($A$25:$A$28, MATCH(C15, $C$25:$C$28, 0))), 0)</f>
        <v/>
      </c>
      <c r="M15" s="32">
        <f>IF(L15&gt;=10, "HIGH CONCURRENCY", IF(L15&gt;=3, "WATCHLIST", "STANDARD"))</f>
        <v/>
      </c>
    </row>
    <row r="16" ht="19" customHeight="1">
      <c r="A16" s="33" t="inlineStr">
        <is>
          <t>C-111</t>
        </is>
      </c>
      <c r="B16" s="14">
        <f>IFERROR(VLOOKUP(A16, '02_Cashier_Register'!$A$14:$G$28, 2, FALSE), "Unknown")</f>
        <v/>
      </c>
      <c r="C16" s="15">
        <f>IFERROR(VLOOKUP(A16, '02_Cashier_Register'!$A$14:$G$28, 3, FALSE), "Unknown")</f>
        <v/>
      </c>
      <c r="D16" s="29">
        <f>COUNTIFS('03_Raw_POS_Journal'!$F$5:$F$678, A16, '03_Raw_POS_Journal'!$H$5:$H$678, "Line Item Void")</f>
        <v/>
      </c>
      <c r="E16" s="29">
        <f>COUNTIFS('03_Raw_POS_Journal'!$F$5:$F$678, A16, '03_Raw_POS_Journal'!$H$5:$H$678, "Line Item Void", '03_Raw_POS_Journal'!$I$5:$I$678, "Cash")</f>
        <v/>
      </c>
      <c r="F16" s="28">
        <f>SUMIFS('03_Raw_POS_Journal'!$K$5:$K$678, '03_Raw_POS_Journal'!$F$5:$F$678, A16, '03_Raw_POS_Journal'!$H$5:$H$678, "Line Item Void")</f>
        <v/>
      </c>
      <c r="G16" s="28">
        <f>SUMIFS('03_Raw_POS_Journal'!$K$5:$K$678, '03_Raw_POS_Journal'!$F$5:$F$678, A16, '03_Raw_POS_Journal'!$H$5:$H$678, "Line Item Void", '03_Raw_POS_Journal'!$I$5:$I$678, "Cash")</f>
        <v/>
      </c>
      <c r="H16" s="18">
        <f>IFERROR(IF(D16&gt;0, E16/D16, 0), 0)</f>
        <v/>
      </c>
      <c r="I16" s="34">
        <f>IFERROR(IF(_xlfn.STDEV.S($E$6:$E$20)=0, 0, (E16 - AVERAGE($E$6:$E$20)) / _xlfn.STDEV.S($E$6:$E$20)), 0)</f>
        <v/>
      </c>
      <c r="J16" s="32">
        <f>IF(I16&gt;=2.0, "HIGH RISK", IF(I16&gt;=1.0, "ELEVATED RISK", "STANDARD"))</f>
        <v/>
      </c>
      <c r="K16" s="29">
        <f>COUNTIFS('03_Raw_POS_Journal'!$F$5:$F$678, A16, '03_Raw_POS_Journal'!$G$5:$G$678, "&lt;&gt;NONE")</f>
        <v/>
      </c>
      <c r="L16" s="29">
        <f>IF(AND(ISNUMBER(SEARCH("COLLUSION", INDEX($I$25:$I$28, MATCH(C16, $C$25:$C$28, 0)))), ISNUMBER(SEARCH(A16, INDEX($F$25:$F$28, MATCH(C16, $C$25:$C$28, 0))))), COUNTIFS('03_Raw_POS_Journal'!$F$5:$F$678, A16, '03_Raw_POS_Journal'!$G$5:$G$678, INDEX($A$25:$A$28, MATCH(C16, $C$25:$C$28, 0))), 0)</f>
        <v/>
      </c>
      <c r="M16" s="32">
        <f>IF(L16&gt;=10, "HIGH CONCURRENCY", IF(L16&gt;=3, "WATCHLIST", "STANDARD"))</f>
        <v/>
      </c>
    </row>
    <row r="17" ht="19" customHeight="1">
      <c r="A17" s="30" t="inlineStr">
        <is>
          <t>C-112</t>
        </is>
      </c>
      <c r="B17" s="11">
        <f>IFERROR(VLOOKUP(A17, '02_Cashier_Register'!$A$14:$G$28, 2, FALSE), "Unknown")</f>
        <v/>
      </c>
      <c r="C17" s="12">
        <f>IFERROR(VLOOKUP(A17, '02_Cashier_Register'!$A$14:$G$28, 3, FALSE), "Unknown")</f>
        <v/>
      </c>
      <c r="D17" s="26">
        <f>COUNTIFS('03_Raw_POS_Journal'!$F$5:$F$678, A17, '03_Raw_POS_Journal'!$H$5:$H$678, "Line Item Void")</f>
        <v/>
      </c>
      <c r="E17" s="26">
        <f>COUNTIFS('03_Raw_POS_Journal'!$F$5:$F$678, A17, '03_Raw_POS_Journal'!$H$5:$H$678, "Line Item Void", '03_Raw_POS_Journal'!$I$5:$I$678, "Cash")</f>
        <v/>
      </c>
      <c r="F17" s="25">
        <f>SUMIFS('03_Raw_POS_Journal'!$K$5:$K$678, '03_Raw_POS_Journal'!$F$5:$F$678, A17, '03_Raw_POS_Journal'!$H$5:$H$678, "Line Item Void")</f>
        <v/>
      </c>
      <c r="G17" s="25">
        <f>SUMIFS('03_Raw_POS_Journal'!$K$5:$K$678, '03_Raw_POS_Journal'!$F$5:$F$678, A17, '03_Raw_POS_Journal'!$H$5:$H$678, "Line Item Void", '03_Raw_POS_Journal'!$I$5:$I$678, "Cash")</f>
        <v/>
      </c>
      <c r="H17" s="21">
        <f>IFERROR(IF(D17&gt;0, E17/D17, 0), 0)</f>
        <v/>
      </c>
      <c r="I17" s="31">
        <f>IFERROR(IF(_xlfn.STDEV.S($E$6:$E$20)=0, 0, (E17 - AVERAGE($E$6:$E$20)) / _xlfn.STDEV.S($E$6:$E$20)), 0)</f>
        <v/>
      </c>
      <c r="J17" s="32">
        <f>IF(I17&gt;=2.0, "HIGH RISK", IF(I17&gt;=1.0, "ELEVATED RISK", "STANDARD"))</f>
        <v/>
      </c>
      <c r="K17" s="26">
        <f>COUNTIFS('03_Raw_POS_Journal'!$F$5:$F$678, A17, '03_Raw_POS_Journal'!$G$5:$G$678, "&lt;&gt;NONE")</f>
        <v/>
      </c>
      <c r="L17" s="26">
        <f>IF(AND(ISNUMBER(SEARCH("COLLUSION", INDEX($I$25:$I$28, MATCH(C17, $C$25:$C$28, 0)))), ISNUMBER(SEARCH(A17, INDEX($F$25:$F$28, MATCH(C17, $C$25:$C$28, 0))))), COUNTIFS('03_Raw_POS_Journal'!$F$5:$F$678, A17, '03_Raw_POS_Journal'!$G$5:$G$678, INDEX($A$25:$A$28, MATCH(C17, $C$25:$C$28, 0))), 0)</f>
        <v/>
      </c>
      <c r="M17" s="32">
        <f>IF(L17&gt;=10, "HIGH CONCURRENCY", IF(L17&gt;=3, "WATCHLIST", "STANDARD"))</f>
        <v/>
      </c>
    </row>
    <row r="18" ht="19" customHeight="1">
      <c r="A18" s="33" t="inlineStr">
        <is>
          <t>C-113</t>
        </is>
      </c>
      <c r="B18" s="14">
        <f>IFERROR(VLOOKUP(A18, '02_Cashier_Register'!$A$14:$G$28, 2, FALSE), "Unknown")</f>
        <v/>
      </c>
      <c r="C18" s="15">
        <f>IFERROR(VLOOKUP(A18, '02_Cashier_Register'!$A$14:$G$28, 3, FALSE), "Unknown")</f>
        <v/>
      </c>
      <c r="D18" s="29">
        <f>COUNTIFS('03_Raw_POS_Journal'!$F$5:$F$678, A18, '03_Raw_POS_Journal'!$H$5:$H$678, "Line Item Void")</f>
        <v/>
      </c>
      <c r="E18" s="29">
        <f>COUNTIFS('03_Raw_POS_Journal'!$F$5:$F$678, A18, '03_Raw_POS_Journal'!$H$5:$H$678, "Line Item Void", '03_Raw_POS_Journal'!$I$5:$I$678, "Cash")</f>
        <v/>
      </c>
      <c r="F18" s="28">
        <f>SUMIFS('03_Raw_POS_Journal'!$K$5:$K$678, '03_Raw_POS_Journal'!$F$5:$F$678, A18, '03_Raw_POS_Journal'!$H$5:$H$678, "Line Item Void")</f>
        <v/>
      </c>
      <c r="G18" s="28">
        <f>SUMIFS('03_Raw_POS_Journal'!$K$5:$K$678, '03_Raw_POS_Journal'!$F$5:$F$678, A18, '03_Raw_POS_Journal'!$H$5:$H$678, "Line Item Void", '03_Raw_POS_Journal'!$I$5:$I$678, "Cash")</f>
        <v/>
      </c>
      <c r="H18" s="18">
        <f>IFERROR(IF(D18&gt;0, E18/D18, 0), 0)</f>
        <v/>
      </c>
      <c r="I18" s="34">
        <f>IFERROR(IF(_xlfn.STDEV.S($E$6:$E$20)=0, 0, (E18 - AVERAGE($E$6:$E$20)) / _xlfn.STDEV.S($E$6:$E$20)), 0)</f>
        <v/>
      </c>
      <c r="J18" s="32">
        <f>IF(I18&gt;=2.0, "HIGH RISK", IF(I18&gt;=1.0, "ELEVATED RISK", "STANDARD"))</f>
        <v/>
      </c>
      <c r="K18" s="29">
        <f>COUNTIFS('03_Raw_POS_Journal'!$F$5:$F$678, A18, '03_Raw_POS_Journal'!$G$5:$G$678, "&lt;&gt;NONE")</f>
        <v/>
      </c>
      <c r="L18" s="29">
        <f>IF(AND(ISNUMBER(SEARCH("COLLUSION", INDEX($I$25:$I$28, MATCH(C18, $C$25:$C$28, 0)))), ISNUMBER(SEARCH(A18, INDEX($F$25:$F$28, MATCH(C18, $C$25:$C$28, 0))))), COUNTIFS('03_Raw_POS_Journal'!$F$5:$F$678, A18, '03_Raw_POS_Journal'!$G$5:$G$678, INDEX($A$25:$A$28, MATCH(C18, $C$25:$C$28, 0))), 0)</f>
        <v/>
      </c>
      <c r="M18" s="32">
        <f>IF(L18&gt;=10, "HIGH CONCURRENCY", IF(L18&gt;=3, "WATCHLIST", "STANDARD"))</f>
        <v/>
      </c>
    </row>
    <row r="19" ht="19" customHeight="1">
      <c r="A19" s="30" t="inlineStr">
        <is>
          <t>C-114</t>
        </is>
      </c>
      <c r="B19" s="11">
        <f>IFERROR(VLOOKUP(A19, '02_Cashier_Register'!$A$14:$G$28, 2, FALSE), "Unknown")</f>
        <v/>
      </c>
      <c r="C19" s="12">
        <f>IFERROR(VLOOKUP(A19, '02_Cashier_Register'!$A$14:$G$28, 3, FALSE), "Unknown")</f>
        <v/>
      </c>
      <c r="D19" s="26">
        <f>COUNTIFS('03_Raw_POS_Journal'!$F$5:$F$678, A19, '03_Raw_POS_Journal'!$H$5:$H$678, "Line Item Void")</f>
        <v/>
      </c>
      <c r="E19" s="26">
        <f>COUNTIFS('03_Raw_POS_Journal'!$F$5:$F$678, A19, '03_Raw_POS_Journal'!$H$5:$H$678, "Line Item Void", '03_Raw_POS_Journal'!$I$5:$I$678, "Cash")</f>
        <v/>
      </c>
      <c r="F19" s="25">
        <f>SUMIFS('03_Raw_POS_Journal'!$K$5:$K$678, '03_Raw_POS_Journal'!$F$5:$F$678, A19, '03_Raw_POS_Journal'!$H$5:$H$678, "Line Item Void")</f>
        <v/>
      </c>
      <c r="G19" s="25">
        <f>SUMIFS('03_Raw_POS_Journal'!$K$5:$K$678, '03_Raw_POS_Journal'!$F$5:$F$678, A19, '03_Raw_POS_Journal'!$H$5:$H$678, "Line Item Void", '03_Raw_POS_Journal'!$I$5:$I$678, "Cash")</f>
        <v/>
      </c>
      <c r="H19" s="21">
        <f>IFERROR(IF(D19&gt;0, E19/D19, 0), 0)</f>
        <v/>
      </c>
      <c r="I19" s="31">
        <f>IFERROR(IF(_xlfn.STDEV.S($E$6:$E$20)=0, 0, (E19 - AVERAGE($E$6:$E$20)) / _xlfn.STDEV.S($E$6:$E$20)), 0)</f>
        <v/>
      </c>
      <c r="J19" s="32">
        <f>IF(I19&gt;=2.0, "HIGH RISK", IF(I19&gt;=1.0, "ELEVATED RISK", "STANDARD"))</f>
        <v/>
      </c>
      <c r="K19" s="26">
        <f>COUNTIFS('03_Raw_POS_Journal'!$F$5:$F$678, A19, '03_Raw_POS_Journal'!$G$5:$G$678, "&lt;&gt;NONE")</f>
        <v/>
      </c>
      <c r="L19" s="26">
        <f>IF(AND(ISNUMBER(SEARCH("COLLUSION", INDEX($I$25:$I$28, MATCH(C19, $C$25:$C$28, 0)))), ISNUMBER(SEARCH(A19, INDEX($F$25:$F$28, MATCH(C19, $C$25:$C$28, 0))))), COUNTIFS('03_Raw_POS_Journal'!$F$5:$F$678, A19, '03_Raw_POS_Journal'!$G$5:$G$678, INDEX($A$25:$A$28, MATCH(C19, $C$25:$C$28, 0))), 0)</f>
        <v/>
      </c>
      <c r="M19" s="32">
        <f>IF(L19&gt;=10, "HIGH CONCURRENCY", IF(L19&gt;=3, "WATCHLIST", "STANDARD"))</f>
        <v/>
      </c>
    </row>
    <row r="20" ht="19" customHeight="1">
      <c r="A20" s="33" t="inlineStr">
        <is>
          <t>C-115</t>
        </is>
      </c>
      <c r="B20" s="14">
        <f>IFERROR(VLOOKUP(A20, '02_Cashier_Register'!$A$14:$G$28, 2, FALSE), "Unknown")</f>
        <v/>
      </c>
      <c r="C20" s="15">
        <f>IFERROR(VLOOKUP(A20, '02_Cashier_Register'!$A$14:$G$28, 3, FALSE), "Unknown")</f>
        <v/>
      </c>
      <c r="D20" s="29">
        <f>COUNTIFS('03_Raw_POS_Journal'!$F$5:$F$678, A20, '03_Raw_POS_Journal'!$H$5:$H$678, "Line Item Void")</f>
        <v/>
      </c>
      <c r="E20" s="29">
        <f>COUNTIFS('03_Raw_POS_Journal'!$F$5:$F$678, A20, '03_Raw_POS_Journal'!$H$5:$H$678, "Line Item Void", '03_Raw_POS_Journal'!$I$5:$I$678, "Cash")</f>
        <v/>
      </c>
      <c r="F20" s="28">
        <f>SUMIFS('03_Raw_POS_Journal'!$K$5:$K$678, '03_Raw_POS_Journal'!$F$5:$F$678, A20, '03_Raw_POS_Journal'!$H$5:$H$678, "Line Item Void")</f>
        <v/>
      </c>
      <c r="G20" s="28">
        <f>SUMIFS('03_Raw_POS_Journal'!$K$5:$K$678, '03_Raw_POS_Journal'!$F$5:$F$678, A20, '03_Raw_POS_Journal'!$H$5:$H$678, "Line Item Void", '03_Raw_POS_Journal'!$I$5:$I$678, "Cash")</f>
        <v/>
      </c>
      <c r="H20" s="18">
        <f>IFERROR(IF(D20&gt;0, E20/D20, 0), 0)</f>
        <v/>
      </c>
      <c r="I20" s="34">
        <f>IFERROR(IF(_xlfn.STDEV.S($E$6:$E$20)=0, 0, (E20 - AVERAGE($E$6:$E$20)) / _xlfn.STDEV.S($E$6:$E$20)), 0)</f>
        <v/>
      </c>
      <c r="J20" s="32">
        <f>IF(I20&gt;=2.0, "HIGH RISK", IF(I20&gt;=1.0, "ELEVATED RISK", "STANDARD"))</f>
        <v/>
      </c>
      <c r="K20" s="29">
        <f>COUNTIFS('03_Raw_POS_Journal'!$F$5:$F$678, A20, '03_Raw_POS_Journal'!$G$5:$G$678, "&lt;&gt;NONE")</f>
        <v/>
      </c>
      <c r="L20" s="29">
        <f>IF(AND(ISNUMBER(SEARCH("COLLUSION", INDEX($I$25:$I$28, MATCH(C20, $C$25:$C$28, 0)))), ISNUMBER(SEARCH(A20, INDEX($F$25:$F$28, MATCH(C20, $C$25:$C$28, 0))))), COUNTIFS('03_Raw_POS_Journal'!$F$5:$F$678, A20, '03_Raw_POS_Journal'!$G$5:$G$678, INDEX($A$25:$A$28, MATCH(C20, $C$25:$C$28, 0))), 0)</f>
        <v/>
      </c>
      <c r="M20" s="32">
        <f>IF(L20&gt;=10, "HIGH CONCURRENCY", IF(L20&gt;=3, "WATCHLIST", "STANDARD"))</f>
        <v/>
      </c>
    </row>
    <row r="21"/>
    <row r="22"/>
    <row r="23">
      <c r="A23" s="16" t="inlineStr">
        <is>
          <t>PART 2: SUPERVISOR PIN UTILIZATION &amp; CONCURRENCY AUDIT</t>
        </is>
      </c>
    </row>
    <row r="24" ht="26" customHeight="1">
      <c r="A24" s="4" t="inlineStr">
        <is>
          <t>Supervisor PIN</t>
        </is>
      </c>
      <c r="B24" s="4" t="inlineStr">
        <is>
          <t>Supervisor Name</t>
        </is>
      </c>
      <c r="C24" s="4" t="inlineStr">
        <is>
          <t>Assigned Branch</t>
        </is>
      </c>
      <c r="D24" s="4" t="inlineStr">
        <is>
          <t>Total Overrides Authorized</t>
        </is>
      </c>
      <c r="E24" s="4" t="inlineStr">
        <is>
          <t>Unique Cashiers Approved</t>
        </is>
      </c>
      <c r="F24" s="4" t="inlineStr">
        <is>
          <t>Primary Beneficiary Cashier</t>
        </is>
      </c>
      <c r="G24" s="4" t="inlineStr">
        <is>
          <t>Approvals on Primary Cashier</t>
        </is>
      </c>
      <c r="H24" s="4" t="inlineStr">
        <is>
          <t>Concentration %</t>
        </is>
      </c>
      <c r="I24" s="4" t="inlineStr">
        <is>
          <t>Credential Concurrency Status</t>
        </is>
      </c>
    </row>
    <row r="25" ht="19" customHeight="1">
      <c r="A25" s="10" t="inlineStr">
        <is>
          <t>M-901</t>
        </is>
      </c>
      <c r="B25" s="11" t="inlineStr">
        <is>
          <t>Robert Hughes</t>
        </is>
      </c>
      <c r="C25" s="11" t="inlineStr">
        <is>
          <t>BR-01</t>
        </is>
      </c>
      <c r="D25" s="26">
        <f>COUNTIF('03_Raw_POS_Journal'!$G$5:$G$678, "M-901")</f>
        <v/>
      </c>
      <c r="E25" s="26" t="n">
        <v>3</v>
      </c>
      <c r="F25" s="11" t="inlineStr">
        <is>
          <t>Kevin O'Connor (C-104)</t>
        </is>
      </c>
      <c r="G25" s="26">
        <f>COUNTIFS('03_Raw_POS_Journal'!$G$5:$G$678, "M-901", '03_Raw_POS_Journal'!$F$5:$F$678, "C-104")</f>
        <v/>
      </c>
      <c r="H25" s="21">
        <f>IFERROR(IF(D25&gt;0, G25/D25, 0), 0)</f>
        <v/>
      </c>
      <c r="I25" s="30" t="inlineStr">
        <is>
          <t>STANDARD</t>
        </is>
      </c>
    </row>
    <row r="26" ht="19" customHeight="1">
      <c r="A26" s="13" t="inlineStr">
        <is>
          <t>M-902</t>
        </is>
      </c>
      <c r="B26" s="14" t="inlineStr">
        <is>
          <t>Nadia Cherkaoui</t>
        </is>
      </c>
      <c r="C26" s="14" t="inlineStr">
        <is>
          <t>BR-02</t>
        </is>
      </c>
      <c r="D26" s="29">
        <f>COUNTIF('03_Raw_POS_Journal'!$G$5:$G$678, "M-902")</f>
        <v/>
      </c>
      <c r="E26" s="29" t="n">
        <v>3</v>
      </c>
      <c r="F26" s="14" t="inlineStr">
        <is>
          <t>Jason Miller (C-108)</t>
        </is>
      </c>
      <c r="G26" s="29">
        <f>COUNTIFS('03_Raw_POS_Journal'!$G$5:$G$678, "M-902", '03_Raw_POS_Journal'!$F$5:$F$678, "C-108")</f>
        <v/>
      </c>
      <c r="H26" s="18">
        <f>IFERROR(IF(D26&gt;0, G26/D26, 0), 0)</f>
        <v/>
      </c>
      <c r="I26" s="33" t="inlineStr">
        <is>
          <t>STANDARD</t>
        </is>
      </c>
    </row>
    <row r="27" ht="19" customHeight="1">
      <c r="A27" s="10" t="inlineStr">
        <is>
          <t>M-903</t>
        </is>
      </c>
      <c r="B27" s="11" t="inlineStr">
        <is>
          <t>Viktor Lindqvist</t>
        </is>
      </c>
      <c r="C27" s="11" t="inlineStr">
        <is>
          <t>BR-03</t>
        </is>
      </c>
      <c r="D27" s="26">
        <f>COUNTIF('03_Raw_POS_Journal'!$G$5:$G$678, "M-903")</f>
        <v/>
      </c>
      <c r="E27" s="26" t="n">
        <v>3</v>
      </c>
      <c r="F27" s="11" t="inlineStr">
        <is>
          <t>Ahmed Hassan (C-110)</t>
        </is>
      </c>
      <c r="G27" s="26">
        <f>COUNTIFS('03_Raw_POS_Journal'!$G$5:$G$678, "M-903", '03_Raw_POS_Journal'!$F$5:$F$678, "C-110")</f>
        <v/>
      </c>
      <c r="H27" s="21">
        <f>IFERROR(IF(D27&gt;0, G27/D27, 0), 0)</f>
        <v/>
      </c>
      <c r="I27" s="30" t="inlineStr">
        <is>
          <t>STANDARD</t>
        </is>
      </c>
    </row>
    <row r="28" ht="19" customHeight="1">
      <c r="A28" s="13" t="inlineStr">
        <is>
          <t>M-904</t>
        </is>
      </c>
      <c r="B28" s="14" t="inlineStr">
        <is>
          <t>Darren Cooper</t>
        </is>
      </c>
      <c r="C28" s="14" t="inlineStr">
        <is>
          <t>BR-04</t>
        </is>
      </c>
      <c r="D28" s="29">
        <f>COUNTIF('03_Raw_POS_Journal'!$G$5:$G$678, "M-904")</f>
        <v/>
      </c>
      <c r="E28" s="29" t="n">
        <v>2</v>
      </c>
      <c r="F28" s="14" t="inlineStr">
        <is>
          <t>Samantha Reed (C-115)</t>
        </is>
      </c>
      <c r="G28" s="29">
        <f>COUNTIFS('03_Raw_POS_Journal'!$G$5:$G$678, "M-904", '03_Raw_POS_Journal'!$F$5:$F$678, "C-115")</f>
        <v/>
      </c>
      <c r="H28" s="18">
        <f>IFERROR(IF(D28&gt;0, G28/D28, 0), 0)</f>
        <v/>
      </c>
      <c r="I28" s="40" t="inlineStr">
        <is>
          <t>COLLUSION RISK: SIMULTANEOUS PIN USE</t>
        </is>
      </c>
    </row>
  </sheetData>
  <conditionalFormatting sqref="J6:J20">
    <cfRule type="cellIs" priority="1" operator="equal" dxfId="0">
      <formula>"HIGH RISK"</formula>
    </cfRule>
    <cfRule type="cellIs" priority="2" operator="equal" dxfId="1">
      <formula>"ELEVATED RISK"</formula>
    </cfRule>
  </conditionalFormatting>
  <conditionalFormatting sqref="M6:M20">
    <cfRule type="cellIs" priority="3" operator="equal" dxfId="0">
      <formula>"HIGH CONCURRENCY"</formula>
    </cfRule>
    <cfRule type="cellIs" priority="4" operator="equal" dxfId="1">
      <formula>"WATCHLIST"</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7"/>
  <sheetViews>
    <sheetView showGridLines="1" workbookViewId="0">
      <selection activeCell="A1" sqref="A1"/>
    </sheetView>
  </sheetViews>
  <sheetFormatPr baseColWidth="8" defaultRowHeight="15"/>
  <cols>
    <col width="61" customWidth="1" min="1" max="1"/>
    <col width="23" customWidth="1" min="2" max="2"/>
    <col width="63" customWidth="1" min="3" max="3"/>
    <col width="32" customWidth="1" min="4" max="4"/>
    <col width="23" customWidth="1" min="5" max="5"/>
    <col width="55" customWidth="1" min="6" max="6"/>
    <col width="46" customWidth="1" min="7" max="7"/>
    <col width="28" customWidth="1" min="8" max="8"/>
    <col width="65" customWidth="1" min="9" max="9"/>
    <col width="32" customWidth="1" min="10" max="10"/>
  </cols>
  <sheetData>
    <row r="1" ht="24" customHeight="1">
      <c r="A1" s="1" t="inlineStr">
        <is>
          <t>INTERNAL AUDIT &amp; LOSS PREVENTION INVESTIGATION DASHBOARD</t>
        </is>
      </c>
    </row>
    <row r="2" ht="18" customHeight="1">
      <c r="A2" s="2" t="inlineStr">
        <is>
          <t>EXECUTIVE SUMMARY: Cashier exception heatmap, quantified cash exposure, and targeted surveillance review queue prioritized for field investigation.</t>
        </is>
      </c>
    </row>
    <row r="3"/>
    <row r="4" ht="18" customHeight="1">
      <c r="A4" s="41" t="inlineStr">
        <is>
          <t>TOTAL EVENTS AUDITED</t>
        </is>
      </c>
      <c r="B4" s="42" t="n"/>
      <c r="C4" s="41" t="inlineStr">
        <is>
          <t>CASHIERS EVALUATED</t>
        </is>
      </c>
      <c r="D4" s="42" t="n"/>
      <c r="E4" s="41" t="inlineStr">
        <is>
          <t>EXCEPTIONS FLAGGED</t>
        </is>
      </c>
      <c r="F4" s="42" t="n"/>
      <c r="G4" s="41" t="inlineStr">
        <is>
          <t>QUANTIFIED EXPOSURE</t>
        </is>
      </c>
      <c r="H4" s="42" t="n"/>
      <c r="I4" s="41" t="inlineStr">
        <is>
          <t>TARGET VIDEO REVIEW (HRS)</t>
        </is>
      </c>
      <c r="J4" s="42" t="n"/>
    </row>
    <row r="5" ht="26" customHeight="1">
      <c r="A5" s="43">
        <f>COUNTA('03_Raw_POS_Journal'!$A$5:$A$678)</f>
        <v/>
      </c>
      <c r="B5" s="42" t="n"/>
      <c r="C5" s="43">
        <f>COUNTA('02_Cashier_Register'!$A$14:$A$28)</f>
        <v/>
      </c>
      <c r="D5" s="42" t="n"/>
      <c r="E5" s="43">
        <f>COUNTIF($E$12:$E$26, "CRITICAL") + COUNTIF($E$12:$E$26, "HIGH") + COUNTIF($E$12:$E$26, "*COLLUSION*")</f>
        <v/>
      </c>
      <c r="F5" s="42" t="n"/>
      <c r="G5" s="44">
        <f>SUM($G$12:$G$26)</f>
        <v/>
      </c>
      <c r="H5" s="42" t="n"/>
      <c r="I5" s="45">
        <f>ROUNDUP(SUM($H$12:$H$26)*10/60, 1)</f>
        <v/>
      </c>
      <c r="J5" s="42" t="n"/>
    </row>
    <row r="6" ht="16" customHeight="1">
      <c r="A6" s="46" t="inlineStr">
        <is>
          <t>Total raw POS transactions processed across all terminals</t>
        </is>
      </c>
      <c r="B6" s="42" t="n"/>
      <c r="C6" s="46" t="inlineStr">
        <is>
          <t>Active cashiers evaluated against peer and branch baselines</t>
        </is>
      </c>
      <c r="D6" s="42" t="n"/>
      <c r="E6" s="46" t="inlineStr">
        <is>
          <t>Cashiers exceeding composite risk thresholds or collusion parameters</t>
        </is>
      </c>
      <c r="F6" s="42" t="n"/>
      <c r="G6" s="46" t="inlineStr">
        <is>
          <t>Estimated cash exposure from voids, drops, and unrecorded openings</t>
        </is>
      </c>
      <c r="H6" s="42" t="n"/>
      <c r="I6" s="46" t="inlineStr">
        <is>
          <t>Targeted surveillance review hours required for corroboration</t>
        </is>
      </c>
      <c r="J6" s="42" t="n"/>
    </row>
    <row r="7"/>
    <row r="8"/>
    <row r="9"/>
    <row r="10">
      <c r="A10" s="16" t="inlineStr">
        <is>
          <t>CASHIER EXCEPTION HEATMAP &amp; COMPOSITE RISK INDEX (RANKED BY COMPOSITE SCORE)</t>
        </is>
      </c>
    </row>
    <row r="11" ht="26" customHeight="1">
      <c r="A11" s="4" t="inlineStr">
        <is>
          <t>Cashier ID</t>
        </is>
      </c>
      <c r="B11" s="4" t="inlineStr">
        <is>
          <t>Cashier Name</t>
        </is>
      </c>
      <c r="C11" s="4" t="inlineStr">
        <is>
          <t>Branch</t>
        </is>
      </c>
      <c r="D11" s="4" t="inlineStr">
        <is>
          <t>Composite Risk Score (0-100)</t>
        </is>
      </c>
      <c r="E11" s="4" t="inlineStr">
        <is>
          <t>Risk Classification</t>
        </is>
      </c>
      <c r="F11" s="4" t="inlineStr">
        <is>
          <t>Primary Exception Mode</t>
        </is>
      </c>
      <c r="G11" s="4" t="inlineStr">
        <is>
          <t>Quantified Exposure ($)</t>
        </is>
      </c>
      <c r="H11" s="4" t="inlineStr">
        <is>
          <t>Priority Exception Count</t>
        </is>
      </c>
      <c r="I11" s="4" t="inlineStr">
        <is>
          <t>Recommended Audit Action</t>
        </is>
      </c>
    </row>
    <row r="12" ht="19" customHeight="1">
      <c r="A12" s="33" t="inlineStr">
        <is>
          <t>C-101</t>
        </is>
      </c>
      <c r="B12" s="14">
        <f>IFERROR(VLOOKUP(A12, '02_Cashier_Register'!$A$14:$G$28, 2, FALSE), "Unknown")</f>
        <v/>
      </c>
      <c r="C12" s="15">
        <f>IFERROR(VLOOKUP(A12, '02_Cashier_Register'!$A$14:$G$28, 3, FALSE), "Unknown")</f>
        <v/>
      </c>
      <c r="D12" s="47">
        <f>MIN(100, ROUND(('04_Engine_Voids'!K5 * 5.0) + ('05_Engine_Drawer_Kicks'!H5 * 2.2) + ('06_Engine_Overrides'!E6 * 2.5) + ('06_Engine_Overrides'!L6 * 5.0), 0))</f>
        <v/>
      </c>
      <c r="E12" s="33">
        <f>IF('06_Engine_Overrides'!L6&gt;=10, "WATCHLIST / HIGH COLLUSION", IF(D12&gt;=70, "CRITICAL", IF(D12&gt;=40, "HIGH", IF(D12&gt;=20, "ELEVATED", "LOW"))))</f>
        <v/>
      </c>
      <c r="F12" s="14" t="inlineStr">
        <is>
          <t>Standard operational variation</t>
        </is>
      </c>
      <c r="G12" s="48">
        <f>'04_Engine_Voids'!L5 + '05_Engine_Drawer_Kicks'!J5 + '06_Engine_Overrides'!G6</f>
        <v/>
      </c>
      <c r="H12" s="17">
        <f>'04_Engine_Voids'!K5 + ROUND('05_Engine_Drawer_Kicks'!H5/5, 0) + '06_Engine_Overrides'!E6 + '06_Engine_Overrides'!L6</f>
        <v/>
      </c>
      <c r="I12" s="14" t="inlineStr">
        <is>
          <t>Routine monitoring; no exception escalation required.</t>
        </is>
      </c>
    </row>
    <row r="13" ht="19" customHeight="1">
      <c r="A13" s="30" t="inlineStr">
        <is>
          <t>C-102</t>
        </is>
      </c>
      <c r="B13" s="11">
        <f>IFERROR(VLOOKUP(A13, '02_Cashier_Register'!$A$14:$G$28, 2, FALSE), "Unknown")</f>
        <v/>
      </c>
      <c r="C13" s="12">
        <f>IFERROR(VLOOKUP(A13, '02_Cashier_Register'!$A$14:$G$28, 3, FALSE), "Unknown")</f>
        <v/>
      </c>
      <c r="D13" s="49">
        <f>MIN(100, ROUND(('04_Engine_Voids'!K6 * 5.0) + ('05_Engine_Drawer_Kicks'!H6 * 2.2) + ('06_Engine_Overrides'!E7 * 2.5) + ('06_Engine_Overrides'!L7 * 5.0), 0))</f>
        <v/>
      </c>
      <c r="E13" s="30">
        <f>IF('06_Engine_Overrides'!L7&gt;=10, "WATCHLIST / HIGH COLLUSION", IF(D13&gt;=70, "CRITICAL", IF(D13&gt;=40, "HIGH", IF(D13&gt;=20, "ELEVATED", "LOW"))))</f>
        <v/>
      </c>
      <c r="F13" s="11" t="inlineStr">
        <is>
          <t>Standard operational variation</t>
        </is>
      </c>
      <c r="G13" s="50">
        <f>'04_Engine_Voids'!L6 + '05_Engine_Drawer_Kicks'!J6 + '06_Engine_Overrides'!G7</f>
        <v/>
      </c>
      <c r="H13" s="20">
        <f>'04_Engine_Voids'!K6 + ROUND('05_Engine_Drawer_Kicks'!H6/5, 0) + '06_Engine_Overrides'!E7 + '06_Engine_Overrides'!L7</f>
        <v/>
      </c>
      <c r="I13" s="11" t="inlineStr">
        <is>
          <t>Routine monitoring; no exception escalation required.</t>
        </is>
      </c>
    </row>
    <row r="14" ht="19" customHeight="1">
      <c r="A14" s="33" t="inlineStr">
        <is>
          <t>C-103</t>
        </is>
      </c>
      <c r="B14" s="14">
        <f>IFERROR(VLOOKUP(A14, '02_Cashier_Register'!$A$14:$G$28, 2, FALSE), "Unknown")</f>
        <v/>
      </c>
      <c r="C14" s="15">
        <f>IFERROR(VLOOKUP(A14, '02_Cashier_Register'!$A$14:$G$28, 3, FALSE), "Unknown")</f>
        <v/>
      </c>
      <c r="D14" s="47">
        <f>MIN(100, ROUND(('04_Engine_Voids'!K7 * 5.0) + ('05_Engine_Drawer_Kicks'!H7 * 2.2) + ('06_Engine_Overrides'!E8 * 2.5) + ('06_Engine_Overrides'!L8 * 5.0), 0))</f>
        <v/>
      </c>
      <c r="E14" s="33">
        <f>IF('06_Engine_Overrides'!L8&gt;=10, "WATCHLIST / HIGH COLLUSION", IF(D14&gt;=70, "CRITICAL", IF(D14&gt;=40, "HIGH", IF(D14&gt;=20, "ELEVATED", "LOW"))))</f>
        <v/>
      </c>
      <c r="F14" s="14" t="inlineStr">
        <is>
          <t>Standard operational variation</t>
        </is>
      </c>
      <c r="G14" s="48">
        <f>'04_Engine_Voids'!L7 + '05_Engine_Drawer_Kicks'!J7 + '06_Engine_Overrides'!G8</f>
        <v/>
      </c>
      <c r="H14" s="17">
        <f>'04_Engine_Voids'!K7 + ROUND('05_Engine_Drawer_Kicks'!H7/5, 0) + '06_Engine_Overrides'!E8 + '06_Engine_Overrides'!L8</f>
        <v/>
      </c>
      <c r="I14" s="14" t="inlineStr">
        <is>
          <t>Routine monitoring; no exception escalation required.</t>
        </is>
      </c>
    </row>
    <row r="15" ht="19" customHeight="1">
      <c r="A15" s="30" t="inlineStr">
        <is>
          <t>C-104</t>
        </is>
      </c>
      <c r="B15" s="11">
        <f>IFERROR(VLOOKUP(A15, '02_Cashier_Register'!$A$14:$G$28, 2, FALSE), "Unknown")</f>
        <v/>
      </c>
      <c r="C15" s="12">
        <f>IFERROR(VLOOKUP(A15, '02_Cashier_Register'!$A$14:$G$28, 3, FALSE), "Unknown")</f>
        <v/>
      </c>
      <c r="D15" s="49">
        <f>MIN(100, ROUND(('04_Engine_Voids'!K8 * 5.0) + ('05_Engine_Drawer_Kicks'!H8 * 2.2) + ('06_Engine_Overrides'!E9 * 2.5) + ('06_Engine_Overrides'!L9 * 5.0), 0))</f>
        <v/>
      </c>
      <c r="E15" s="30">
        <f>IF('06_Engine_Overrides'!L9&gt;=10, "WATCHLIST / HIGH COLLUSION", IF(D15&gt;=70, "CRITICAL", IF(D15&gt;=40, "HIGH", IF(D15&gt;=20, "ELEVATED", "LOW"))))</f>
        <v/>
      </c>
      <c r="F15" s="11" t="inlineStr">
        <is>
          <t>Post-Settlement Cash Voids (Latency &gt;180s)</t>
        </is>
      </c>
      <c r="G15" s="50">
        <f>'04_Engine_Voids'!L8 + '05_Engine_Drawer_Kicks'!J8 + '06_Engine_Overrides'!G9</f>
        <v/>
      </c>
      <c r="H15" s="20">
        <f>'04_Engine_Voids'!K8 + ROUND('05_Engine_Drawer_Kicks'!H8/5, 0) + '06_Engine_Overrides'!E9 + '06_Engine_Overrides'!L9</f>
        <v/>
      </c>
      <c r="I15" s="11" t="inlineStr">
        <is>
          <t>Review overhead surveillance for 16 cash void timestamps; verify customer departure prior to cancellation.</t>
        </is>
      </c>
    </row>
    <row r="16" ht="19" customHeight="1">
      <c r="A16" s="33" t="inlineStr">
        <is>
          <t>C-105</t>
        </is>
      </c>
      <c r="B16" s="14">
        <f>IFERROR(VLOOKUP(A16, '02_Cashier_Register'!$A$14:$G$28, 2, FALSE), "Unknown")</f>
        <v/>
      </c>
      <c r="C16" s="15">
        <f>IFERROR(VLOOKUP(A16, '02_Cashier_Register'!$A$14:$G$28, 3, FALSE), "Unknown")</f>
        <v/>
      </c>
      <c r="D16" s="47">
        <f>MIN(100, ROUND(('04_Engine_Voids'!K9 * 5.0) + ('05_Engine_Drawer_Kicks'!H9 * 2.2) + ('06_Engine_Overrides'!E10 * 2.5) + ('06_Engine_Overrides'!L10 * 5.0), 0))</f>
        <v/>
      </c>
      <c r="E16" s="33">
        <f>IF('06_Engine_Overrides'!L10&gt;=10, "WATCHLIST / HIGH COLLUSION", IF(D16&gt;=70, "CRITICAL", IF(D16&gt;=40, "HIGH", IF(D16&gt;=20, "ELEVATED", "LOW"))))</f>
        <v/>
      </c>
      <c r="F16" s="14" t="inlineStr">
        <is>
          <t>Standard operational variation</t>
        </is>
      </c>
      <c r="G16" s="48">
        <f>'04_Engine_Voids'!L9 + '05_Engine_Drawer_Kicks'!J9 + '06_Engine_Overrides'!G10</f>
        <v/>
      </c>
      <c r="H16" s="17">
        <f>'04_Engine_Voids'!K9 + ROUND('05_Engine_Drawer_Kicks'!H9/5, 0) + '06_Engine_Overrides'!E10 + '06_Engine_Overrides'!L10</f>
        <v/>
      </c>
      <c r="I16" s="14" t="inlineStr">
        <is>
          <t>Routine monitoring; no exception escalation required.</t>
        </is>
      </c>
    </row>
    <row r="17" ht="19" customHeight="1">
      <c r="A17" s="30" t="inlineStr">
        <is>
          <t>C-106</t>
        </is>
      </c>
      <c r="B17" s="11">
        <f>IFERROR(VLOOKUP(A17, '02_Cashier_Register'!$A$14:$G$28, 2, FALSE), "Unknown")</f>
        <v/>
      </c>
      <c r="C17" s="12">
        <f>IFERROR(VLOOKUP(A17, '02_Cashier_Register'!$A$14:$G$28, 3, FALSE), "Unknown")</f>
        <v/>
      </c>
      <c r="D17" s="49">
        <f>MIN(100, ROUND(('04_Engine_Voids'!K10 * 5.0) + ('05_Engine_Drawer_Kicks'!H10 * 2.2) + ('06_Engine_Overrides'!E11 * 2.5) + ('06_Engine_Overrides'!L11 * 5.0), 0))</f>
        <v/>
      </c>
      <c r="E17" s="30">
        <f>IF('06_Engine_Overrides'!L11&gt;=10, "WATCHLIST / HIGH COLLUSION", IF(D17&gt;=70, "CRITICAL", IF(D17&gt;=40, "HIGH", IF(D17&gt;=20, "ELEVATED", "LOW"))))</f>
        <v/>
      </c>
      <c r="F17" s="11" t="inlineStr">
        <is>
          <t>Standard operational variation</t>
        </is>
      </c>
      <c r="G17" s="50">
        <f>'04_Engine_Voids'!L10 + '05_Engine_Drawer_Kicks'!J10 + '06_Engine_Overrides'!G11</f>
        <v/>
      </c>
      <c r="H17" s="20">
        <f>'04_Engine_Voids'!K10 + ROUND('05_Engine_Drawer_Kicks'!H10/5, 0) + '06_Engine_Overrides'!E11 + '06_Engine_Overrides'!L11</f>
        <v/>
      </c>
      <c r="I17" s="11" t="inlineStr">
        <is>
          <t>Routine monitoring; no exception escalation required.</t>
        </is>
      </c>
    </row>
    <row r="18" ht="19" customHeight="1">
      <c r="A18" s="33" t="inlineStr">
        <is>
          <t>C-107</t>
        </is>
      </c>
      <c r="B18" s="14">
        <f>IFERROR(VLOOKUP(A18, '02_Cashier_Register'!$A$14:$G$28, 2, FALSE), "Unknown")</f>
        <v/>
      </c>
      <c r="C18" s="15">
        <f>IFERROR(VLOOKUP(A18, '02_Cashier_Register'!$A$14:$G$28, 3, FALSE), "Unknown")</f>
        <v/>
      </c>
      <c r="D18" s="47">
        <f>MIN(100, ROUND(('04_Engine_Voids'!K11 * 5.0) + ('05_Engine_Drawer_Kicks'!H11 * 2.2) + ('06_Engine_Overrides'!E12 * 2.5) + ('06_Engine_Overrides'!L12 * 5.0), 0))</f>
        <v/>
      </c>
      <c r="E18" s="33">
        <f>IF('06_Engine_Overrides'!L12&gt;=10, "WATCHLIST / HIGH COLLUSION", IF(D18&gt;=70, "CRITICAL", IF(D18&gt;=40, "HIGH", IF(D18&gt;=20, "ELEVATED", "LOW"))))</f>
        <v/>
      </c>
      <c r="F18" s="14" t="inlineStr">
        <is>
          <t>Standard operational variation</t>
        </is>
      </c>
      <c r="G18" s="48">
        <f>'04_Engine_Voids'!L11 + '05_Engine_Drawer_Kicks'!J11 + '06_Engine_Overrides'!G12</f>
        <v/>
      </c>
      <c r="H18" s="17">
        <f>'04_Engine_Voids'!K11 + ROUND('05_Engine_Drawer_Kicks'!H11/5, 0) + '06_Engine_Overrides'!E12 + '06_Engine_Overrides'!L12</f>
        <v/>
      </c>
      <c r="I18" s="14" t="inlineStr">
        <is>
          <t>Routine monitoring; no exception escalation required.</t>
        </is>
      </c>
    </row>
    <row r="19" ht="19" customHeight="1">
      <c r="A19" s="30" t="inlineStr">
        <is>
          <t>C-108</t>
        </is>
      </c>
      <c r="B19" s="11">
        <f>IFERROR(VLOOKUP(A19, '02_Cashier_Register'!$A$14:$G$28, 2, FALSE), "Unknown")</f>
        <v/>
      </c>
      <c r="C19" s="12">
        <f>IFERROR(VLOOKUP(A19, '02_Cashier_Register'!$A$14:$G$28, 3, FALSE), "Unknown")</f>
        <v/>
      </c>
      <c r="D19" s="49">
        <f>MIN(100, ROUND(('04_Engine_Voids'!K12 * 5.0) + ('05_Engine_Drawer_Kicks'!H12 * 2.2) + ('06_Engine_Overrides'!E13 * 2.5) + ('06_Engine_Overrides'!L13 * 5.0), 0))</f>
        <v/>
      </c>
      <c r="E19" s="30">
        <f>IF('06_Engine_Overrides'!L13&gt;=10, "WATCHLIST / HIGH COLLUSION", IF(D19&gt;=70, "CRITICAL", IF(D19&gt;=40, "HIGH", IF(D19&gt;=20, "ELEVATED", "LOW"))))</f>
        <v/>
      </c>
      <c r="F19" s="11" t="inlineStr">
        <is>
          <t>Pre-Settlement Line Item Deletions (Cash Tenders)</t>
        </is>
      </c>
      <c r="G19" s="50">
        <f>'04_Engine_Voids'!L12 + '05_Engine_Drawer_Kicks'!J12 + '06_Engine_Overrides'!G13</f>
        <v/>
      </c>
      <c r="H19" s="20">
        <f>'04_Engine_Voids'!K12 + ROUND('05_Engine_Drawer_Kicks'!H12/5, 0) + '06_Engine_Overrides'!E13 + '06_Engine_Overrides'!L13</f>
        <v/>
      </c>
      <c r="I19" s="11" t="inlineStr">
        <is>
          <t>Inspect terminal itemization vs guest receipt for high-value menu items.</t>
        </is>
      </c>
    </row>
    <row r="20" ht="19" customHeight="1">
      <c r="A20" s="33" t="inlineStr">
        <is>
          <t>C-109</t>
        </is>
      </c>
      <c r="B20" s="14">
        <f>IFERROR(VLOOKUP(A20, '02_Cashier_Register'!$A$14:$G$28, 2, FALSE), "Unknown")</f>
        <v/>
      </c>
      <c r="C20" s="15">
        <f>IFERROR(VLOOKUP(A20, '02_Cashier_Register'!$A$14:$G$28, 3, FALSE), "Unknown")</f>
        <v/>
      </c>
      <c r="D20" s="47">
        <f>MIN(100, ROUND(('04_Engine_Voids'!K13 * 5.0) + ('05_Engine_Drawer_Kicks'!H13 * 2.2) + ('06_Engine_Overrides'!E14 * 2.5) + ('06_Engine_Overrides'!L14 * 5.0), 0))</f>
        <v/>
      </c>
      <c r="E20" s="33">
        <f>IF('06_Engine_Overrides'!L14&gt;=10, "WATCHLIST / HIGH COLLUSION", IF(D20&gt;=70, "CRITICAL", IF(D20&gt;=40, "HIGH", IF(D20&gt;=20, "ELEVATED", "LOW"))))</f>
        <v/>
      </c>
      <c r="F20" s="14" t="inlineStr">
        <is>
          <t>Standard operational variation</t>
        </is>
      </c>
      <c r="G20" s="48">
        <f>'04_Engine_Voids'!L13 + '05_Engine_Drawer_Kicks'!J13 + '06_Engine_Overrides'!G14</f>
        <v/>
      </c>
      <c r="H20" s="17">
        <f>'04_Engine_Voids'!K13 + ROUND('05_Engine_Drawer_Kicks'!H13/5, 0) + '06_Engine_Overrides'!E14 + '06_Engine_Overrides'!L14</f>
        <v/>
      </c>
      <c r="I20" s="14" t="inlineStr">
        <is>
          <t>Routine monitoring; no exception escalation required.</t>
        </is>
      </c>
    </row>
    <row r="21" ht="19" customHeight="1">
      <c r="A21" s="30" t="inlineStr">
        <is>
          <t>C-110</t>
        </is>
      </c>
      <c r="B21" s="11">
        <f>IFERROR(VLOOKUP(A21, '02_Cashier_Register'!$A$14:$G$28, 2, FALSE), "Unknown")</f>
        <v/>
      </c>
      <c r="C21" s="12">
        <f>IFERROR(VLOOKUP(A21, '02_Cashier_Register'!$A$14:$G$28, 3, FALSE), "Unknown")</f>
        <v/>
      </c>
      <c r="D21" s="49">
        <f>MIN(100, ROUND(('04_Engine_Voids'!K14 * 5.0) + ('05_Engine_Drawer_Kicks'!H14 * 2.2) + ('06_Engine_Overrides'!E15 * 2.5) + ('06_Engine_Overrides'!L15 * 5.0), 0))</f>
        <v/>
      </c>
      <c r="E21" s="30">
        <f>IF('06_Engine_Overrides'!L15&gt;=10, "WATCHLIST / HIGH COLLUSION", IF(D21&gt;=70, "CRITICAL", IF(D21&gt;=40, "HIGH", IF(D21&gt;=20, "ELEVATED", "LOW"))))</f>
        <v/>
      </c>
      <c r="F21" s="11" t="inlineStr">
        <is>
          <t>Standard operational variation</t>
        </is>
      </c>
      <c r="G21" s="50">
        <f>'04_Engine_Voids'!L14 + '05_Engine_Drawer_Kicks'!J14 + '06_Engine_Overrides'!G15</f>
        <v/>
      </c>
      <c r="H21" s="20">
        <f>'04_Engine_Voids'!K14 + ROUND('05_Engine_Drawer_Kicks'!H14/5, 0) + '06_Engine_Overrides'!E15 + '06_Engine_Overrides'!L15</f>
        <v/>
      </c>
      <c r="I21" s="11" t="inlineStr">
        <is>
          <t>Routine monitoring; no exception escalation required.</t>
        </is>
      </c>
    </row>
    <row r="22" ht="19" customHeight="1">
      <c r="A22" s="33" t="inlineStr">
        <is>
          <t>C-111</t>
        </is>
      </c>
      <c r="B22" s="14">
        <f>IFERROR(VLOOKUP(A22, '02_Cashier_Register'!$A$14:$G$28, 2, FALSE), "Unknown")</f>
        <v/>
      </c>
      <c r="C22" s="15">
        <f>IFERROR(VLOOKUP(A22, '02_Cashier_Register'!$A$14:$G$28, 3, FALSE), "Unknown")</f>
        <v/>
      </c>
      <c r="D22" s="47">
        <f>MIN(100, ROUND(('04_Engine_Voids'!K15 * 5.0) + ('05_Engine_Drawer_Kicks'!H15 * 2.2) + ('06_Engine_Overrides'!E16 * 2.5) + ('06_Engine_Overrides'!L16 * 5.0), 0))</f>
        <v/>
      </c>
      <c r="E22" s="33">
        <f>IF('06_Engine_Overrides'!L16&gt;=10, "WATCHLIST / HIGH COLLUSION", IF(D22&gt;=70, "CRITICAL", IF(D22&gt;=40, "HIGH", IF(D22&gt;=20, "ELEVATED", "LOW"))))</f>
        <v/>
      </c>
      <c r="F22" s="14" t="inlineStr">
        <is>
          <t>Standard operational variation</t>
        </is>
      </c>
      <c r="G22" s="48">
        <f>'04_Engine_Voids'!L15 + '05_Engine_Drawer_Kicks'!J15 + '06_Engine_Overrides'!G16</f>
        <v/>
      </c>
      <c r="H22" s="17">
        <f>'04_Engine_Voids'!K15 + ROUND('05_Engine_Drawer_Kicks'!H15/5, 0) + '06_Engine_Overrides'!E16 + '06_Engine_Overrides'!L16</f>
        <v/>
      </c>
      <c r="I22" s="14" t="inlineStr">
        <is>
          <t>Routine monitoring; no exception escalation required.</t>
        </is>
      </c>
    </row>
    <row r="23" ht="19" customHeight="1">
      <c r="A23" s="30" t="inlineStr">
        <is>
          <t>C-112</t>
        </is>
      </c>
      <c r="B23" s="11">
        <f>IFERROR(VLOOKUP(A23, '02_Cashier_Register'!$A$14:$G$28, 2, FALSE), "Unknown")</f>
        <v/>
      </c>
      <c r="C23" s="12">
        <f>IFERROR(VLOOKUP(A23, '02_Cashier_Register'!$A$14:$G$28, 3, FALSE), "Unknown")</f>
        <v/>
      </c>
      <c r="D23" s="49">
        <f>MIN(100, ROUND(('04_Engine_Voids'!K16 * 5.0) + ('05_Engine_Drawer_Kicks'!H16 * 2.2) + ('06_Engine_Overrides'!E17 * 2.5) + ('06_Engine_Overrides'!L17 * 5.0), 0))</f>
        <v/>
      </c>
      <c r="E23" s="30">
        <f>IF('06_Engine_Overrides'!L17&gt;=10, "WATCHLIST / HIGH COLLUSION", IF(D23&gt;=70, "CRITICAL", IF(D23&gt;=40, "HIGH", IF(D23&gt;=20, "ELEVATED", "LOW"))))</f>
        <v/>
      </c>
      <c r="F23" s="11" t="inlineStr">
        <is>
          <t>Excessive No-Sale Drawer Openings during Peak Hours</t>
        </is>
      </c>
      <c r="G23" s="50">
        <f>'04_Engine_Voids'!L16 + '05_Engine_Drawer_Kicks'!J16 + '06_Engine_Overrides'!G17</f>
        <v/>
      </c>
      <c r="H23" s="20">
        <f>'04_Engine_Voids'!K16 + ROUND('05_Engine_Drawer_Kicks'!H16/5, 0) + '06_Engine_Overrides'!E17 + '06_Engine_Overrides'!L17</f>
        <v/>
      </c>
      <c r="I23" s="11" t="inlineStr">
        <is>
          <t>Perform unannounced drawer count during peak period; reconcile beverage physical inventory.</t>
        </is>
      </c>
    </row>
    <row r="24" ht="19" customHeight="1">
      <c r="A24" s="33" t="inlineStr">
        <is>
          <t>C-113</t>
        </is>
      </c>
      <c r="B24" s="14">
        <f>IFERROR(VLOOKUP(A24, '02_Cashier_Register'!$A$14:$G$28, 2, FALSE), "Unknown")</f>
        <v/>
      </c>
      <c r="C24" s="15">
        <f>IFERROR(VLOOKUP(A24, '02_Cashier_Register'!$A$14:$G$28, 3, FALSE), "Unknown")</f>
        <v/>
      </c>
      <c r="D24" s="47">
        <f>MIN(100, ROUND(('04_Engine_Voids'!K17 * 5.0) + ('05_Engine_Drawer_Kicks'!H17 * 2.2) + ('06_Engine_Overrides'!E18 * 2.5) + ('06_Engine_Overrides'!L18 * 5.0), 0))</f>
        <v/>
      </c>
      <c r="E24" s="33">
        <f>IF('06_Engine_Overrides'!L18&gt;=10, "WATCHLIST / HIGH COLLUSION", IF(D24&gt;=70, "CRITICAL", IF(D24&gt;=40, "HIGH", IF(D24&gt;=20, "ELEVATED", "LOW"))))</f>
        <v/>
      </c>
      <c r="F24" s="14" t="inlineStr">
        <is>
          <t>Standard operational variation</t>
        </is>
      </c>
      <c r="G24" s="48">
        <f>'04_Engine_Voids'!L17 + '05_Engine_Drawer_Kicks'!J17 + '06_Engine_Overrides'!G18</f>
        <v/>
      </c>
      <c r="H24" s="17">
        <f>'04_Engine_Voids'!K17 + ROUND('05_Engine_Drawer_Kicks'!H17/5, 0) + '06_Engine_Overrides'!E18 + '06_Engine_Overrides'!L18</f>
        <v/>
      </c>
      <c r="I24" s="14" t="inlineStr">
        <is>
          <t>Routine monitoring; no exception escalation required.</t>
        </is>
      </c>
    </row>
    <row r="25" ht="19" customHeight="1">
      <c r="A25" s="30" t="inlineStr">
        <is>
          <t>C-114</t>
        </is>
      </c>
      <c r="B25" s="11">
        <f>IFERROR(VLOOKUP(A25, '02_Cashier_Register'!$A$14:$G$28, 2, FALSE), "Unknown")</f>
        <v/>
      </c>
      <c r="C25" s="12">
        <f>IFERROR(VLOOKUP(A25, '02_Cashier_Register'!$A$14:$G$28, 3, FALSE), "Unknown")</f>
        <v/>
      </c>
      <c r="D25" s="49">
        <f>MIN(100, ROUND(('04_Engine_Voids'!K18 * 5.0) + ('05_Engine_Drawer_Kicks'!H18 * 2.2) + ('06_Engine_Overrides'!E19 * 2.5) + ('06_Engine_Overrides'!L19 * 5.0), 0))</f>
        <v/>
      </c>
      <c r="E25" s="30">
        <f>IF('06_Engine_Overrides'!L19&gt;=10, "WATCHLIST / HIGH COLLUSION", IF(D25&gt;=70, "CRITICAL", IF(D25&gt;=40, "HIGH", IF(D25&gt;=20, "ELEVATED", "LOW"))))</f>
        <v/>
      </c>
      <c r="F25" s="11" t="inlineStr">
        <is>
          <t>Standard operational variation</t>
        </is>
      </c>
      <c r="G25" s="50">
        <f>'04_Engine_Voids'!L18 + '05_Engine_Drawer_Kicks'!J18 + '06_Engine_Overrides'!G19</f>
        <v/>
      </c>
      <c r="H25" s="20">
        <f>'04_Engine_Voids'!K18 + ROUND('05_Engine_Drawer_Kicks'!H18/5, 0) + '06_Engine_Overrides'!E19 + '06_Engine_Overrides'!L19</f>
        <v/>
      </c>
      <c r="I25" s="11" t="inlineStr">
        <is>
          <t>Routine monitoring; no exception escalation required.</t>
        </is>
      </c>
    </row>
    <row r="26" ht="19" customHeight="1">
      <c r="A26" s="33" t="inlineStr">
        <is>
          <t>C-115</t>
        </is>
      </c>
      <c r="B26" s="14">
        <f>IFERROR(VLOOKUP(A26, '02_Cashier_Register'!$A$14:$G$28, 2, FALSE), "Unknown")</f>
        <v/>
      </c>
      <c r="C26" s="15">
        <f>IFERROR(VLOOKUP(A26, '02_Cashier_Register'!$A$14:$G$28, 3, FALSE), "Unknown")</f>
        <v/>
      </c>
      <c r="D26" s="47">
        <f>MIN(100, ROUND(('04_Engine_Voids'!K19 * 5.0) + ('05_Engine_Drawer_Kicks'!H19 * 2.2) + ('06_Engine_Overrides'!E20 * 2.5) + ('06_Engine_Overrides'!L20 * 5.0), 0))</f>
        <v/>
      </c>
      <c r="E26" s="33">
        <f>IF('06_Engine_Overrides'!L20&gt;=10, "WATCHLIST / HIGH COLLUSION", IF(D26&gt;=70, "CRITICAL", IF(D26&gt;=40, "HIGH", IF(D26&gt;=20, "ELEVATED", "LOW"))))</f>
        <v/>
      </c>
      <c r="F26" s="14" t="inlineStr">
        <is>
          <t>Supervisory PIN Concurrency &amp; Rapid Cash Voids</t>
        </is>
      </c>
      <c r="G26" s="48">
        <f>'04_Engine_Voids'!L19 + '05_Engine_Drawer_Kicks'!J19 + '06_Engine_Overrides'!G20</f>
        <v/>
      </c>
      <c r="H26" s="17">
        <f>'04_Engine_Voids'!K19 + ROUND('05_Engine_Drawer_Kicks'!H19/5, 0) + '06_Engine_Overrides'!E20 + '06_Engine_Overrides'!L20</f>
        <v/>
      </c>
      <c r="I26" s="14" t="inlineStr">
        <is>
          <t>Review Manager M-904 override credentials; cross-reference terminal concurrency logs.</t>
        </is>
      </c>
    </row>
    <row r="27"/>
    <row r="28"/>
    <row r="29">
      <c r="A29" s="16" t="inlineStr">
        <is>
          <t>TARGETED VIDEO SURVEILLANCE REVIEW QUEUE (FLAGGED INCIDENT TIMESTAMPS)</t>
        </is>
      </c>
    </row>
    <row r="30" ht="26" customHeight="1">
      <c r="A30" s="23" t="inlineStr">
        <is>
          <t>Priority</t>
        </is>
      </c>
      <c r="B30" s="23" t="inlineStr">
        <is>
          <t>Incident Timestamp</t>
        </is>
      </c>
      <c r="C30" s="23" t="inlineStr">
        <is>
          <t>Branch</t>
        </is>
      </c>
      <c r="D30" s="23" t="inlineStr">
        <is>
          <t>Terminal</t>
        </is>
      </c>
      <c r="E30" s="23" t="inlineStr">
        <is>
          <t>Cashier ID</t>
        </is>
      </c>
      <c r="F30" s="23" t="inlineStr">
        <is>
          <t>Cashier Name</t>
        </is>
      </c>
      <c r="G30" s="23" t="inlineStr">
        <is>
          <t>Exception Category</t>
        </is>
      </c>
      <c r="H30" s="23" t="inlineStr">
        <is>
          <t>Dollar Value</t>
        </is>
      </c>
      <c r="I30" s="23" t="inlineStr">
        <is>
          <t>Camera Angle</t>
        </is>
      </c>
      <c r="J30" s="23" t="inlineStr">
        <is>
          <t>Audit Verification Objective</t>
        </is>
      </c>
    </row>
    <row r="31" ht="19" customHeight="1">
      <c r="A31" s="40" t="inlineStr">
        <is>
          <t>HIGH-1</t>
        </is>
      </c>
      <c r="B31" s="12" t="inlineStr">
        <is>
          <t>2026-10-10 14:22:15</t>
        </is>
      </c>
      <c r="C31" s="12" t="inlineStr">
        <is>
          <t>BR-01</t>
        </is>
      </c>
      <c r="D31" s="12" t="inlineStr">
        <is>
          <t>T-02</t>
        </is>
      </c>
      <c r="E31" s="12" t="inlineStr">
        <is>
          <t>C-104</t>
        </is>
      </c>
      <c r="F31" s="11" t="inlineStr">
        <is>
          <t>Kevin O'Connor</t>
        </is>
      </c>
      <c r="G31" s="10" t="inlineStr">
        <is>
          <t>Post-Settlement Cash Void (Latency: 285s)</t>
        </is>
      </c>
      <c r="H31" s="25" t="n">
        <v>48.5</v>
      </c>
      <c r="I31" s="11" t="inlineStr">
        <is>
          <t>CAM-02 (Overhead Till)</t>
        </is>
      </c>
      <c r="J31" s="11" t="inlineStr">
        <is>
          <t>Verify whether customer tendered currency and departed counter prior to ticket cancellation.</t>
        </is>
      </c>
    </row>
    <row r="32" ht="19" customHeight="1">
      <c r="A32" s="40" t="inlineStr">
        <is>
          <t>HIGH-2</t>
        </is>
      </c>
      <c r="B32" s="15" t="inlineStr">
        <is>
          <t>2026-10-11 18:45:10</t>
        </is>
      </c>
      <c r="C32" s="15" t="inlineStr">
        <is>
          <t>BR-01</t>
        </is>
      </c>
      <c r="D32" s="15" t="inlineStr">
        <is>
          <t>T-02</t>
        </is>
      </c>
      <c r="E32" s="15" t="inlineStr">
        <is>
          <t>C-104</t>
        </is>
      </c>
      <c r="F32" s="14" t="inlineStr">
        <is>
          <t>Kevin O'Connor</t>
        </is>
      </c>
      <c r="G32" s="13" t="inlineStr">
        <is>
          <t>Post-Settlement Cash Void (Latency: 310s)</t>
        </is>
      </c>
      <c r="H32" s="28" t="n">
        <v>52</v>
      </c>
      <c r="I32" s="14" t="inlineStr">
        <is>
          <t>CAM-02 (Overhead Till)</t>
        </is>
      </c>
      <c r="J32" s="14" t="inlineStr">
        <is>
          <t>Confirm whether supervisor M-901 was physically present at workstation during authorization.</t>
        </is>
      </c>
    </row>
    <row r="33" ht="19" customHeight="1">
      <c r="A33" s="40" t="inlineStr">
        <is>
          <t>HIGH-3</t>
        </is>
      </c>
      <c r="B33" s="12" t="inlineStr">
        <is>
          <t>2026-10-12 13:12:44</t>
        </is>
      </c>
      <c r="C33" s="12" t="inlineStr">
        <is>
          <t>BR-02</t>
        </is>
      </c>
      <c r="D33" s="12" t="inlineStr">
        <is>
          <t>T-01</t>
        </is>
      </c>
      <c r="E33" s="12" t="inlineStr">
        <is>
          <t>C-108</t>
        </is>
      </c>
      <c r="F33" s="11" t="inlineStr">
        <is>
          <t>Jason Miller</t>
        </is>
      </c>
      <c r="G33" s="10" t="inlineStr">
        <is>
          <t>Pre-Settlement Line Item Deletion</t>
        </is>
      </c>
      <c r="H33" s="25" t="n">
        <v>42</v>
      </c>
      <c r="I33" s="11" t="inlineStr">
        <is>
          <t>CAM-01 (Counter &amp; Hand-Off)</t>
        </is>
      </c>
      <c r="J33" s="11" t="inlineStr">
        <is>
          <t>Verify whether customer received full order while register record reflects only beverage item.</t>
        </is>
      </c>
    </row>
    <row r="34" ht="19" customHeight="1">
      <c r="A34" s="40" t="inlineStr">
        <is>
          <t>HIGH-4</t>
        </is>
      </c>
      <c r="B34" s="15" t="inlineStr">
        <is>
          <t>2026-10-13 12:35:20</t>
        </is>
      </c>
      <c r="C34" s="15" t="inlineStr">
        <is>
          <t>BR-03</t>
        </is>
      </c>
      <c r="D34" s="15" t="inlineStr">
        <is>
          <t>T-02</t>
        </is>
      </c>
      <c r="E34" s="15" t="inlineStr">
        <is>
          <t>C-112</t>
        </is>
      </c>
      <c r="F34" s="14" t="inlineStr">
        <is>
          <t>Ryan Gallagher</t>
        </is>
      </c>
      <c r="G34" s="13" t="inlineStr">
        <is>
          <t>No-Sale Drawer Opening during Peak Period</t>
        </is>
      </c>
      <c r="H34" s="28" t="n">
        <v>0</v>
      </c>
      <c r="I34" s="14" t="inlineStr">
        <is>
          <t>CAM-03 (Cash Till Overhead)</t>
        </is>
      </c>
      <c r="J34" s="14" t="inlineStr">
        <is>
          <t>Determine whether currency was accepted and deposited into drawer without active ticket entry.</t>
        </is>
      </c>
    </row>
    <row r="35" ht="19" customHeight="1">
      <c r="A35" s="40" t="inlineStr">
        <is>
          <t>HIGH-5</t>
        </is>
      </c>
      <c r="B35" s="12" t="inlineStr">
        <is>
          <t>2026-10-14 16:15:30</t>
        </is>
      </c>
      <c r="C35" s="12" t="inlineStr">
        <is>
          <t>BR-04</t>
        </is>
      </c>
      <c r="D35" s="12" t="inlineStr">
        <is>
          <t>T-02</t>
        </is>
      </c>
      <c r="E35" s="12" t="inlineStr">
        <is>
          <t>C-115</t>
        </is>
      </c>
      <c r="F35" s="11" t="inlineStr">
        <is>
          <t>Samantha Reed</t>
        </is>
      </c>
      <c r="G35" s="10" t="inlineStr">
        <is>
          <t>Supervisory Credential Concurrency (M-904)</t>
        </is>
      </c>
      <c r="H35" s="25" t="n">
        <v>38</v>
      </c>
      <c r="I35" s="11" t="inlineStr">
        <is>
          <t>CAM-01 &amp; CAM-02 Split</t>
        </is>
      </c>
      <c r="J35" s="11" t="inlineStr">
        <is>
          <t>Verify physical location of M-904; terminal T-01 recorded separate override 22 seconds prior.</t>
        </is>
      </c>
    </row>
    <row r="36" ht="19" customHeight="1">
      <c r="A36" s="40" t="inlineStr">
        <is>
          <t>HIGH-6</t>
        </is>
      </c>
      <c r="B36" s="15" t="inlineStr">
        <is>
          <t>2026-10-15 20:05:18</t>
        </is>
      </c>
      <c r="C36" s="15" t="inlineStr">
        <is>
          <t>BR-01</t>
        </is>
      </c>
      <c r="D36" s="15" t="inlineStr">
        <is>
          <t>T-02</t>
        </is>
      </c>
      <c r="E36" s="15" t="inlineStr">
        <is>
          <t>C-104</t>
        </is>
      </c>
      <c r="F36" s="14" t="inlineStr">
        <is>
          <t>Kevin O'Connor</t>
        </is>
      </c>
      <c r="G36" s="13" t="inlineStr">
        <is>
          <t>Post-Settlement Cash Void (Latency: 240s)</t>
        </is>
      </c>
      <c r="H36" s="28" t="n">
        <v>64</v>
      </c>
      <c r="I36" s="14" t="inlineStr">
        <is>
          <t>CAM-02 (Overhead Till)</t>
        </is>
      </c>
      <c r="J36" s="14" t="inlineStr">
        <is>
          <t>Confirm customer payment method and check whether guest receipt was retained by cashier.</t>
        </is>
      </c>
    </row>
    <row r="37" ht="19" customHeight="1">
      <c r="A37" s="40" t="inlineStr">
        <is>
          <t>HIGH-7</t>
        </is>
      </c>
      <c r="B37" s="12" t="inlineStr">
        <is>
          <t>2026-10-16 19:30:45</t>
        </is>
      </c>
      <c r="C37" s="12" t="inlineStr">
        <is>
          <t>BR-02</t>
        </is>
      </c>
      <c r="D37" s="12" t="inlineStr">
        <is>
          <t>T-01</t>
        </is>
      </c>
      <c r="E37" s="12" t="inlineStr">
        <is>
          <t>C-108</t>
        </is>
      </c>
      <c r="F37" s="11" t="inlineStr">
        <is>
          <t>Jason Miller</t>
        </is>
      </c>
      <c r="G37" s="10" t="inlineStr">
        <is>
          <t>Pre-Settlement Line Item Deletion</t>
        </is>
      </c>
      <c r="H37" s="25" t="n">
        <v>36.5</v>
      </c>
      <c r="I37" s="11" t="inlineStr">
        <is>
          <t>CAM-01 (Counter &amp; Hand-Off)</t>
        </is>
      </c>
      <c r="J37" s="11" t="inlineStr">
        <is>
          <t>Reconcile tender denomination accepted against change returned and items handed over counter.</t>
        </is>
      </c>
    </row>
  </sheetData>
  <mergeCells count="15">
    <mergeCell ref="A4:B4"/>
    <mergeCell ref="G4:H4"/>
    <mergeCell ref="E4:F4"/>
    <mergeCell ref="E6:F6"/>
    <mergeCell ref="C6:D6"/>
    <mergeCell ref="I4:J4"/>
    <mergeCell ref="I6:J6"/>
    <mergeCell ref="C5:D5"/>
    <mergeCell ref="A5:B5"/>
    <mergeCell ref="G5:H5"/>
    <mergeCell ref="E5:F5"/>
    <mergeCell ref="I5:J5"/>
    <mergeCell ref="G6:H6"/>
    <mergeCell ref="A6:B6"/>
    <mergeCell ref="C4:D4"/>
  </mergeCells>
  <conditionalFormatting sqref="E12:E26">
    <cfRule type="cellIs" priority="1" operator="equal" dxfId="0">
      <formula>"WATCHLIST / HIGH COLLUSION"</formula>
    </cfRule>
    <cfRule type="cellIs" priority="2" operator="equal" dxfId="0">
      <formula>"CRITICAL"</formula>
    </cfRule>
    <cfRule type="cellIs" priority="3" operator="equal" dxfId="1">
      <formula>"HIGH"</formula>
    </cfRule>
    <cfRule type="cellIs" priority="4" operator="equal" dxfId="1">
      <formula>"ELEVATED"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2026-10-28T10:25:53Z</dcterms:created>
  <dcterms:modified xmlns:dcterms="http://purl.org/dc/terms/" xmlns:xsi="http://www.w3.org/2001/XMLSchema-instance" xsi:type="dcterms:W3CDTF">2026-10-28T10:25:54Z</dcterms:modified>
</cp:coreProperties>
</file>