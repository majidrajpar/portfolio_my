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Report" sheetId="1" state="visible" r:id="rId1"/>
    <sheet xmlns:r="http://schemas.openxmlformats.org/officeDocument/2006/relationships" name="AP_1_RAW_Paper_Logistics" sheetId="2" state="visible" r:id="rId2"/>
    <sheet xmlns:r="http://schemas.openxmlformats.org/officeDocument/2006/relationships" name="AP_2_COR_Corrugator" sheetId="3" state="visible" r:id="rId3"/>
    <sheet xmlns:r="http://schemas.openxmlformats.org/officeDocument/2006/relationships" name="AP_3_CON_Converting" sheetId="4" state="visible" r:id="rId4"/>
    <sheet xmlns:r="http://schemas.openxmlformats.org/officeDocument/2006/relationships" name="AP_4_SCP_Scrap_Baling" sheetId="5" state="visible" r:id="rId5"/>
    <sheet xmlns:r="http://schemas.openxmlformats.org/officeDocument/2006/relationships" name="AP_5_MRO_Asset_Tooling" sheetId="6" state="visible" r:id="rId6"/>
    <sheet xmlns:r="http://schemas.openxmlformats.org/officeDocument/2006/relationships" name="AP_6_LOC_Warehouse_Dispatch" sheetId="7" state="visible" r:id="rId7"/>
    <sheet xmlns:r="http://schemas.openxmlformats.org/officeDocument/2006/relationships" name="AP_7_EHS_Boiler_Continuity" sheetId="8" state="visible" r:id="rId8"/>
    <sheet xmlns:r="http://schemas.openxmlformats.org/officeDocument/2006/relationships" name="Pillar_Summary" sheetId="9" state="visible" r:id="rId9"/>
    <sheet xmlns:r="http://schemas.openxmlformats.org/officeDocument/2006/relationships" name="Assurance_Methodology"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
  </numFmts>
  <fonts count="17">
    <font>
      <name val="Calibri"/>
      <family val="2"/>
      <color theme="1"/>
      <sz val="11"/>
      <scheme val="minor"/>
    </font>
    <font>
      <name val="Segoe UI"/>
      <b val="1"/>
      <color rgb="00FFFFFF"/>
      <sz val="15"/>
    </font>
    <font>
      <name val="Segoe UI"/>
      <i val="1"/>
      <color rgb="00D5D8DC"/>
      <sz val="10"/>
    </font>
    <font>
      <name val="Segoe UI"/>
      <b val="1"/>
      <color rgb="001B365D"/>
      <sz val="9"/>
    </font>
    <font>
      <name val="Segoe UI"/>
      <color rgb="00333333"/>
      <sz val="9"/>
    </font>
    <font>
      <name val="Segoe UI"/>
      <b val="1"/>
      <color rgb="00FFFFFF"/>
      <sz val="11"/>
    </font>
    <font>
      <name val="Segoe UI"/>
      <b val="1"/>
      <color rgb="00333333"/>
      <sz val="9"/>
    </font>
    <font>
      <name val="Segoe UI"/>
      <b val="1"/>
      <color rgb="00FFFFFF"/>
      <sz val="9"/>
    </font>
    <font>
      <name val="Segoe UI"/>
      <b val="1"/>
      <color rgb="00922B21"/>
      <sz val="9"/>
    </font>
    <font>
      <name val="Segoe UI"/>
      <color rgb="00595959"/>
      <sz val="8"/>
    </font>
    <font>
      <name val="Segoe UI"/>
      <b val="1"/>
      <color rgb="007D6608"/>
      <sz val="9"/>
    </font>
    <font>
      <name val="Segoe UI"/>
      <b val="1"/>
      <color rgb="00117A65"/>
      <sz val="9"/>
    </font>
    <font>
      <name val="Segoe UI"/>
      <b val="1"/>
      <color rgb="00B7950B"/>
      <sz val="9"/>
    </font>
    <font>
      <name val="Segoe UI"/>
      <b val="1"/>
      <color rgb="00595959"/>
      <sz val="8"/>
    </font>
    <font>
      <name val="Segoe UI"/>
      <b val="1"/>
      <color rgb="00922B21"/>
      <sz val="13"/>
    </font>
    <font>
      <name val="Segoe UI"/>
      <b val="1"/>
      <color rgb="001B365D"/>
      <sz val="16"/>
    </font>
    <font>
      <name val="Segoe UI"/>
      <b val="1"/>
      <color rgb="000563C1"/>
      <sz val="9"/>
      <u val="single"/>
    </font>
  </fonts>
  <fills count="11">
    <fill>
      <patternFill/>
    </fill>
    <fill>
      <patternFill patternType="gray125"/>
    </fill>
    <fill>
      <patternFill patternType="solid">
        <fgColor rgb="001B365D"/>
        <bgColor rgb="001B365D"/>
      </patternFill>
    </fill>
    <fill>
      <patternFill patternType="solid">
        <fgColor rgb="002B547E"/>
        <bgColor rgb="002B547E"/>
      </patternFill>
    </fill>
    <fill>
      <patternFill patternType="solid">
        <fgColor rgb="00EBF1F5"/>
        <bgColor rgb="00EBF1F5"/>
      </patternFill>
    </fill>
    <fill>
      <patternFill patternType="solid">
        <fgColor rgb="00FDEDEC"/>
        <bgColor rgb="00FDEDEC"/>
      </patternFill>
    </fill>
    <fill>
      <patternFill patternType="solid">
        <fgColor rgb="00FCF3CF"/>
        <bgColor rgb="00FCF3CF"/>
      </patternFill>
    </fill>
    <fill>
      <patternFill patternType="solid">
        <fgColor rgb="00E8F8F5"/>
        <bgColor rgb="00E8F8F5"/>
      </patternFill>
    </fill>
    <fill>
      <patternFill patternType="solid">
        <fgColor rgb="00FEF9E7"/>
        <bgColor rgb="00FEF9E7"/>
      </patternFill>
    </fill>
    <fill>
      <patternFill patternType="solid">
        <fgColor rgb="00FFFFFF"/>
        <bgColor rgb="00FFFFFF"/>
      </patternFill>
    </fill>
    <fill>
      <patternFill patternType="solid">
        <fgColor rgb="00F4F6F9"/>
        <bgColor rgb="00F4F6F9"/>
      </patternFill>
    </fill>
  </fills>
  <borders count="3">
    <border>
      <left/>
      <right/>
      <top/>
      <bottom/>
      <diagonal/>
    </border>
    <border>
      <left style="thin">
        <color rgb="00D5D8DC"/>
      </left>
      <right style="thin">
        <color rgb="00D5D8DC"/>
      </right>
      <top style="thin">
        <color rgb="00D5D8DC"/>
      </top>
      <bottom style="thin">
        <color rgb="00D5D8DC"/>
      </bottom>
    </border>
    <border>
      <left style="thin">
        <color rgb="00D5D8DC"/>
      </left>
      <right style="thin">
        <color rgb="00D5D8DC"/>
      </right>
      <top style="thin">
        <color rgb="001B365D"/>
      </top>
      <bottom style="double">
        <color rgb="001B365D"/>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13" fillId="4" borderId="1" applyAlignment="1" pivotButton="0" quotePrefix="0" xfId="0">
      <alignment horizontal="center" vertical="center" wrapText="1"/>
    </xf>
    <xf numFmtId="49" fontId="14" fillId="5" borderId="1" applyAlignment="1" pivotButton="0" quotePrefix="0" xfId="0">
      <alignment horizontal="center" vertical="center" wrapText="1"/>
    </xf>
    <xf numFmtId="0" fontId="0" fillId="0" borderId="1" applyAlignment="1" pivotButton="0" quotePrefix="0" xfId="0">
      <alignment horizontal="center" vertical="center" wrapText="1"/>
    </xf>
    <xf numFmtId="164" fontId="15" fillId="9" borderId="1" applyAlignment="1" pivotButton="0" quotePrefix="0" xfId="0">
      <alignment horizontal="center" vertical="center" wrapText="1"/>
    </xf>
    <xf numFmtId="3" fontId="15" fillId="9" borderId="1" applyAlignment="1" pivotButton="0" quotePrefix="0" xfId="0">
      <alignment horizontal="center" vertical="center" wrapText="1"/>
    </xf>
    <xf numFmtId="3" fontId="14" fillId="5" borderId="1" applyAlignment="1" pivotButton="0" quotePrefix="0" xfId="0">
      <alignment horizontal="center" vertical="center" wrapText="1"/>
    </xf>
    <xf numFmtId="165" fontId="15" fillId="9" borderId="1" applyAlignment="1" pivotButton="0" quotePrefix="0" xfId="0">
      <alignment horizontal="center" vertical="center" wrapText="1"/>
    </xf>
    <xf numFmtId="0" fontId="5" fillId="2" borderId="0" applyAlignment="1" pivotButton="0" quotePrefix="0" xfId="0">
      <alignment horizontal="left" vertical="center" wrapText="1"/>
    </xf>
    <xf numFmtId="0" fontId="7"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3" fontId="4" fillId="0" borderId="1" applyAlignment="1" pivotButton="0" quotePrefix="0" xfId="0">
      <alignment horizontal="center" vertical="center" wrapText="1"/>
    </xf>
    <xf numFmtId="3"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5" fillId="2" borderId="2" applyAlignment="1" pivotButton="0" quotePrefix="0" xfId="0">
      <alignment horizontal="right" vertical="center" wrapText="1"/>
    </xf>
    <xf numFmtId="3" fontId="5" fillId="2" borderId="2" applyAlignment="1" pivotButton="0" quotePrefix="0" xfId="0">
      <alignment horizontal="center" vertical="center" wrapText="1"/>
    </xf>
    <xf numFmtId="164" fontId="5" fillId="2" borderId="2" applyAlignment="1" pivotButton="0" quotePrefix="0" xfId="0">
      <alignment horizontal="center" vertical="center" wrapText="1"/>
    </xf>
    <xf numFmtId="0" fontId="5" fillId="2" borderId="2" applyAlignment="1" pivotButton="0" quotePrefix="0" xfId="0">
      <alignment horizontal="center" vertical="center" wrapText="1"/>
    </xf>
    <xf numFmtId="0" fontId="6" fillId="0" borderId="1" applyAlignment="1" pivotButton="0" quotePrefix="0" xfId="0">
      <alignment horizontal="center" vertical="top" wrapText="1"/>
    </xf>
    <xf numFmtId="0" fontId="4" fillId="0" borderId="1" applyAlignment="1" pivotButton="0" quotePrefix="0" xfId="0">
      <alignment horizontal="left" vertical="center" wrapText="1"/>
    </xf>
    <xf numFmtId="0" fontId="8" fillId="5" borderId="1" applyAlignment="1" pivotButton="0" quotePrefix="0" xfId="0">
      <alignment horizontal="center" vertical="top"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12" fillId="8" borderId="1" applyAlignment="1" pivotButton="0" quotePrefix="0" xfId="0">
      <alignment horizontal="center" vertical="top" wrapText="1"/>
    </xf>
    <xf numFmtId="0" fontId="7" fillId="4" borderId="1" applyAlignment="1" pivotButton="0" quotePrefix="0" xfId="0">
      <alignment horizontal="left" vertical="center" wrapText="1"/>
    </xf>
    <xf numFmtId="0" fontId="16" fillId="0" borderId="1" applyAlignment="1" pivotButton="0" quotePrefix="0" xfId="0">
      <alignment horizontal="left" vertical="center" wrapText="1"/>
    </xf>
    <xf numFmtId="0" fontId="5" fillId="2" borderId="0" applyAlignment="1" pivotButton="0" quotePrefix="0" xfId="0">
      <alignment horizontal="center" vertical="center" wrapText="1"/>
    </xf>
    <xf numFmtId="3" fontId="6" fillId="4" borderId="1" applyAlignment="1" pivotButton="0" quotePrefix="0" xfId="0">
      <alignment horizontal="center" vertical="center" wrapText="1"/>
    </xf>
    <xf numFmtId="164" fontId="6" fillId="4" borderId="1" applyAlignment="1" pivotButton="0" quotePrefix="0" xfId="0">
      <alignment horizontal="center" vertical="center" wrapText="1"/>
    </xf>
    <xf numFmtId="1" fontId="6" fillId="4" borderId="1" applyAlignment="1" pivotButton="0" quotePrefix="0" xfId="0">
      <alignment horizontal="center" vertical="center" wrapText="1"/>
    </xf>
    <xf numFmtId="49" fontId="6" fillId="4" borderId="1" applyAlignment="1" pivotButton="0" quotePrefix="0" xfId="0">
      <alignment horizontal="center" vertical="center" wrapText="1"/>
    </xf>
    <xf numFmtId="0" fontId="7" fillId="2" borderId="1" applyAlignment="1" pivotButton="0" quotePrefix="0" xfId="0">
      <alignment horizontal="center" vertical="center" wrapText="1"/>
    </xf>
    <xf numFmtId="0" fontId="9" fillId="0" borderId="1" applyAlignment="1" pivotButton="0" quotePrefix="0" xfId="0">
      <alignment horizontal="left" vertical="top" wrapText="1"/>
    </xf>
    <xf numFmtId="3" fontId="6" fillId="0" borderId="1" applyAlignment="1" pivotButton="0" quotePrefix="0" xfId="0">
      <alignment horizontal="center" vertical="top" wrapText="1"/>
    </xf>
    <xf numFmtId="0" fontId="10" fillId="6" borderId="1" applyAlignment="1" pivotButton="0" quotePrefix="0" xfId="0">
      <alignment horizontal="center" vertical="top" wrapText="1"/>
    </xf>
    <xf numFmtId="0" fontId="11" fillId="7" borderId="1" applyAlignment="1" pivotButton="0" quotePrefix="0" xfId="0">
      <alignment horizontal="center" vertical="top" wrapText="1"/>
    </xf>
    <xf numFmtId="0" fontId="2" fillId="2" borderId="0" applyAlignment="1" pivotButton="0" quotePrefix="0" xfId="0">
      <alignment horizontal="center" vertical="center" wrapText="1"/>
    </xf>
    <xf numFmtId="0" fontId="4" fillId="0" borderId="1" applyAlignment="1" pivotButton="0" quotePrefix="0" xfId="0">
      <alignment horizontal="center" vertical="center" wrapText="1"/>
    </xf>
    <xf numFmtId="0" fontId="4"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newsletters/the-audit-signal-7339153291630510080/" TargetMode="External" Id="rId1"/><Relationship Type="http://schemas.openxmlformats.org/officeDocument/2006/relationships/hyperlink" Target="https://majidrajpar.github.io/portfolio_my" TargetMode="External" Id="rId2"/><Relationship Type="http://schemas.openxmlformats.org/officeDocument/2006/relationships/hyperlink" Target="https://www.linkedin.com/in/majid-m-4b097118/" TargetMode="External" Id="rId3"/></Relationships>
</file>

<file path=xl/worksheets/_rels/sheet10.xml.rels><Relationships xmlns="http://schemas.openxmlformats.org/package/2006/relationships"><Relationship Type="http://schemas.openxmlformats.org/officeDocument/2006/relationships/hyperlink" Target="https://www.linkedin.com/newsletters/the-audit-signal-7339153291630510080/" TargetMode="External" Id="rId1"/><Relationship Type="http://schemas.openxmlformats.org/officeDocument/2006/relationships/hyperlink" Target="https://majidrajpar.github.io/portfolio_my" TargetMode="External" Id="rId2"/><Relationship Type="http://schemas.openxmlformats.org/officeDocument/2006/relationships/hyperlink" Target="https://www.linkedin.com/in/majid-m-4b097118/" TargetMode="External" Id="rId3"/></Relationships>
</file>

<file path=xl/worksheets/sheet1.xml><?xml version="1.0" encoding="utf-8"?>
<worksheet xmlns="http://schemas.openxmlformats.org/spreadsheetml/2006/main">
  <sheetPr>
    <outlinePr summaryBelow="1" summaryRight="1"/>
    <pageSetUpPr/>
  </sheetPr>
  <dimension ref="A2:N44"/>
  <sheetViews>
    <sheetView showGridLines="1" workbookViewId="0">
      <selection activeCell="A1" sqref="A1"/>
    </sheetView>
  </sheetViews>
  <sheetFormatPr baseColWidth="8" defaultRowHeight="15"/>
  <cols>
    <col width="12" customWidth="1" min="1" max="1"/>
    <col width="14" customWidth="1" min="2" max="2"/>
    <col width="16" customWidth="1" min="3" max="3"/>
    <col width="22" customWidth="1" min="4" max="4"/>
    <col width="12" customWidth="1" min="5" max="5"/>
    <col width="12" customWidth="1" min="6" max="6"/>
    <col width="12" customWidth="1" min="7" max="7"/>
    <col width="14" customWidth="1" min="8" max="8"/>
    <col width="14" customWidth="1" min="9" max="9"/>
    <col width="12" customWidth="1" min="10" max="10"/>
    <col width="12" customWidth="1" min="11" max="11"/>
    <col width="14" customWidth="1" min="12" max="12"/>
    <col width="16" customWidth="1" min="13" max="13"/>
    <col width="16" customWidth="1" min="14" max="14"/>
  </cols>
  <sheetData>
    <row r="2" ht="30" customHeight="1">
      <c r="A2" s="1" t="inlineStr">
        <is>
          <t>EXECUTIVE INTERNAL AUDIT DASHBOARD: INDUSTRIAL PACKAGING MANUFACTURING PLANT</t>
        </is>
      </c>
    </row>
    <row r="3" ht="18" customHeight="1">
      <c r="A3" s="2" t="inlineStr">
        <is>
          <t>Continuous Controls Monitoring &amp; Trench Operational Telemetry Assurance Model | Facility: Al-Quoz Plant #4 (Dubai Industrial City)</t>
        </is>
      </c>
    </row>
    <row r="5" ht="20" customHeight="1">
      <c r="A5" s="3" t="inlineStr">
        <is>
          <t>Audit Scope:</t>
        </is>
      </c>
      <c r="B5" s="4" t="inlineStr">
        <is>
          <t>Secondary Corrugated Packaging (B, C, E Flute &amp; Converting)</t>
        </is>
      </c>
      <c r="E5" s="3" t="inlineStr">
        <is>
          <t>Audit Period:</t>
        </is>
      </c>
      <c r="F5" s="4" t="inlineStr">
        <is>
          <t>Q3-Q4 2026 (12-Month Telemetry Review)</t>
        </is>
      </c>
      <c r="I5" s="3" t="inlineStr">
        <is>
          <t>Lead Auditor:</t>
        </is>
      </c>
      <c r="J5" s="4" t="inlineStr">
        <is>
          <t>Majid Mumtaz | CIA, ACA, FCCA, GRCP, GRCA, COSO ERM</t>
        </is>
      </c>
      <c r="L5" s="3" t="inlineStr">
        <is>
          <t>Review Date:</t>
        </is>
      </c>
      <c r="M5" s="4" t="inlineStr">
        <is>
          <t>30-Oct-2026</t>
        </is>
      </c>
    </row>
    <row r="7" ht="18" customHeight="1">
      <c r="A7" s="5" t="inlineStr">
        <is>
          <t>OVERALL AUDIT OPINION</t>
        </is>
      </c>
      <c r="B7" s="5" t="n"/>
      <c r="C7" s="5" t="inlineStr">
        <is>
          <t>WEIGHTED PLANT SCORE</t>
        </is>
      </c>
      <c r="D7" s="5" t="n"/>
      <c r="E7" s="5" t="inlineStr">
        <is>
          <t>TOTAL CONTROLS TESTED</t>
        </is>
      </c>
      <c r="F7" s="5" t="n"/>
      <c r="G7" s="5" t="inlineStr">
        <is>
          <t>CRITICAL DEFICIENCIES</t>
        </is>
      </c>
      <c r="H7" s="5" t="n"/>
      <c r="I7" s="5" t="inlineStr">
        <is>
          <t>HIGH RISK DEFICIENCIES</t>
        </is>
      </c>
      <c r="J7" s="5" t="n"/>
      <c r="K7" s="5" t="inlineStr">
        <is>
          <t>MEDIUM DEFICIENCIES</t>
        </is>
      </c>
      <c r="L7" s="5" t="n"/>
      <c r="M7" s="5" t="inlineStr">
        <is>
          <t>EST. FINANCIAL EXPOSURE</t>
        </is>
      </c>
      <c r="N7" s="5" t="n"/>
    </row>
    <row r="8" ht="20" customHeight="1">
      <c r="A8" s="6">
        <f>Pillar_Summary!K11</f>
        <v/>
      </c>
      <c r="B8" s="7" t="n"/>
      <c r="C8" s="8">
        <f>Pillar_Summary!G11</f>
        <v/>
      </c>
      <c r="D8" s="7" t="n"/>
      <c r="E8" s="9">
        <f>Pillar_Summary!D11</f>
        <v/>
      </c>
      <c r="F8" s="7" t="n"/>
      <c r="G8" s="10">
        <f>Pillar_Summary!H11</f>
        <v/>
      </c>
      <c r="H8" s="7" t="n"/>
      <c r="I8" s="9">
        <f>Pillar_Summary!I11</f>
        <v/>
      </c>
      <c r="J8" s="7" t="n"/>
      <c r="K8" s="9">
        <f>Pillar_Summary!J11</f>
        <v/>
      </c>
      <c r="L8" s="7" t="n"/>
      <c r="M8" s="11" t="n">
        <v>311000</v>
      </c>
      <c r="N8" s="7" t="n"/>
    </row>
    <row r="9" ht="20" customHeight="1">
      <c r="A9" s="7" t="n"/>
      <c r="B9" s="7" t="n"/>
      <c r="C9" s="7" t="n"/>
      <c r="D9" s="7" t="n"/>
      <c r="E9" s="7" t="n"/>
      <c r="F9" s="7" t="n"/>
      <c r="G9" s="7" t="n"/>
      <c r="H9" s="7" t="n"/>
      <c r="I9" s="7" t="n"/>
      <c r="J9" s="7" t="n"/>
      <c r="K9" s="7" t="n"/>
      <c r="L9" s="7" t="n"/>
      <c r="M9" s="7" t="n"/>
      <c r="N9" s="7" t="n"/>
    </row>
    <row r="11" ht="22" customHeight="1">
      <c r="A11" s="12" t="inlineStr">
        <is>
          <t>SECTION 1: FIVE CORE ASSURANCE PILLARS SCORECARD</t>
        </is>
      </c>
    </row>
    <row r="12" ht="22" customHeight="1">
      <c r="A12" s="13" t="inlineStr">
        <is>
          <t>Pillar ID</t>
        </is>
      </c>
      <c r="B12" s="13" t="inlineStr">
        <is>
          <t>Core Assurance Pillar Name</t>
        </is>
      </c>
      <c r="E12" s="13" t="inlineStr">
        <is>
          <t>Procedures</t>
        </is>
      </c>
      <c r="F12" s="13" t="inlineStr">
        <is>
          <t>Max Pts</t>
        </is>
      </c>
      <c r="G12" s="13" t="inlineStr">
        <is>
          <t>Earned Pts</t>
        </is>
      </c>
      <c r="H12" s="13" t="inlineStr">
        <is>
          <t>Score %</t>
        </is>
      </c>
      <c r="I12" s="13" t="inlineStr">
        <is>
          <t>Critical Fails</t>
        </is>
      </c>
      <c r="J12" s="13" t="inlineStr">
        <is>
          <t>High Gaps</t>
        </is>
      </c>
      <c r="K12" s="13" t="inlineStr">
        <is>
          <t>Med Gaps</t>
        </is>
      </c>
      <c r="L12" s="13" t="inlineStr">
        <is>
          <t>Fiduciary Assurance Rating</t>
        </is>
      </c>
    </row>
    <row r="13" ht="20" customHeight="1">
      <c r="A13" s="14">
        <f>Pillar_Summary!A6</f>
        <v/>
      </c>
      <c r="B13" s="15">
        <f>Pillar_Summary!B6</f>
        <v/>
      </c>
      <c r="E13" s="16">
        <f>Pillar_Summary!D6</f>
        <v/>
      </c>
      <c r="F13" s="16">
        <f>Pillar_Summary!E6</f>
        <v/>
      </c>
      <c r="G13" s="17">
        <f>Pillar_Summary!F6</f>
        <v/>
      </c>
      <c r="H13" s="18">
        <f>Pillar_Summary!G6</f>
        <v/>
      </c>
      <c r="I13" s="17">
        <f>Pillar_Summary!H6</f>
        <v/>
      </c>
      <c r="J13" s="16">
        <f>Pillar_Summary!I6</f>
        <v/>
      </c>
      <c r="K13" s="16">
        <f>Pillar_Summary!J6</f>
        <v/>
      </c>
      <c r="L13" s="14">
        <f>Pillar_Summary!K6</f>
        <v/>
      </c>
    </row>
    <row r="14" ht="20" customHeight="1">
      <c r="A14" s="14">
        <f>Pillar_Summary!A7</f>
        <v/>
      </c>
      <c r="B14" s="15">
        <f>Pillar_Summary!B7</f>
        <v/>
      </c>
      <c r="E14" s="16">
        <f>Pillar_Summary!D7</f>
        <v/>
      </c>
      <c r="F14" s="16">
        <f>Pillar_Summary!E7</f>
        <v/>
      </c>
      <c r="G14" s="17">
        <f>Pillar_Summary!F7</f>
        <v/>
      </c>
      <c r="H14" s="18">
        <f>Pillar_Summary!G7</f>
        <v/>
      </c>
      <c r="I14" s="17">
        <f>Pillar_Summary!H7</f>
        <v/>
      </c>
      <c r="J14" s="16">
        <f>Pillar_Summary!I7</f>
        <v/>
      </c>
      <c r="K14" s="16">
        <f>Pillar_Summary!J7</f>
        <v/>
      </c>
      <c r="L14" s="14">
        <f>Pillar_Summary!K7</f>
        <v/>
      </c>
    </row>
    <row r="15" ht="20" customHeight="1">
      <c r="A15" s="14">
        <f>Pillar_Summary!A8</f>
        <v/>
      </c>
      <c r="B15" s="15">
        <f>Pillar_Summary!B8</f>
        <v/>
      </c>
      <c r="E15" s="16">
        <f>Pillar_Summary!D8</f>
        <v/>
      </c>
      <c r="F15" s="16">
        <f>Pillar_Summary!E8</f>
        <v/>
      </c>
      <c r="G15" s="17">
        <f>Pillar_Summary!F8</f>
        <v/>
      </c>
      <c r="H15" s="18">
        <f>Pillar_Summary!G8</f>
        <v/>
      </c>
      <c r="I15" s="17">
        <f>Pillar_Summary!H8</f>
        <v/>
      </c>
      <c r="J15" s="16">
        <f>Pillar_Summary!I8</f>
        <v/>
      </c>
      <c r="K15" s="16">
        <f>Pillar_Summary!J8</f>
        <v/>
      </c>
      <c r="L15" s="14">
        <f>Pillar_Summary!K8</f>
        <v/>
      </c>
    </row>
    <row r="16" ht="20" customHeight="1">
      <c r="A16" s="14">
        <f>Pillar_Summary!A9</f>
        <v/>
      </c>
      <c r="B16" s="15">
        <f>Pillar_Summary!B9</f>
        <v/>
      </c>
      <c r="E16" s="16">
        <f>Pillar_Summary!D9</f>
        <v/>
      </c>
      <c r="F16" s="16">
        <f>Pillar_Summary!E9</f>
        <v/>
      </c>
      <c r="G16" s="17">
        <f>Pillar_Summary!F9</f>
        <v/>
      </c>
      <c r="H16" s="18">
        <f>Pillar_Summary!G9</f>
        <v/>
      </c>
      <c r="I16" s="17">
        <f>Pillar_Summary!H9</f>
        <v/>
      </c>
      <c r="J16" s="16">
        <f>Pillar_Summary!I9</f>
        <v/>
      </c>
      <c r="K16" s="16">
        <f>Pillar_Summary!J9</f>
        <v/>
      </c>
      <c r="L16" s="14">
        <f>Pillar_Summary!K9</f>
        <v/>
      </c>
    </row>
    <row r="17" ht="20" customHeight="1">
      <c r="A17" s="14">
        <f>Pillar_Summary!A10</f>
        <v/>
      </c>
      <c r="B17" s="15">
        <f>Pillar_Summary!B10</f>
        <v/>
      </c>
      <c r="E17" s="16">
        <f>Pillar_Summary!D10</f>
        <v/>
      </c>
      <c r="F17" s="16">
        <f>Pillar_Summary!E10</f>
        <v/>
      </c>
      <c r="G17" s="17">
        <f>Pillar_Summary!F10</f>
        <v/>
      </c>
      <c r="H17" s="18">
        <f>Pillar_Summary!G10</f>
        <v/>
      </c>
      <c r="I17" s="17">
        <f>Pillar_Summary!H10</f>
        <v/>
      </c>
      <c r="J17" s="16">
        <f>Pillar_Summary!I10</f>
        <v/>
      </c>
      <c r="K17" s="16">
        <f>Pillar_Summary!J10</f>
        <v/>
      </c>
      <c r="L17" s="14">
        <f>Pillar_Summary!K10</f>
        <v/>
      </c>
    </row>
    <row r="18" ht="24" customHeight="1">
      <c r="A18" s="19" t="inlineStr">
        <is>
          <t>CONSOLIDATED ASSURANCE OPINION</t>
        </is>
      </c>
      <c r="E18" s="20">
        <f>SUM(E13:E17)</f>
        <v/>
      </c>
      <c r="F18" s="20">
        <f>SUM(F13:F17)</f>
        <v/>
      </c>
      <c r="G18" s="20">
        <f>SUM(G13:G17)</f>
        <v/>
      </c>
      <c r="H18" s="21">
        <f>IF(F18&gt;0, G18/F18, 0)</f>
        <v/>
      </c>
      <c r="I18" s="20">
        <f>SUM(I13:I17)</f>
        <v/>
      </c>
      <c r="J18" s="20">
        <f>SUM(J13:J17)</f>
        <v/>
      </c>
      <c r="K18" s="20">
        <f>SUM(K13:K17)</f>
        <v/>
      </c>
      <c r="L18" s="22">
        <f>Pillar_Summary!K11</f>
        <v/>
      </c>
    </row>
    <row r="20" ht="22" customHeight="1">
      <c r="A20" s="12" t="inlineStr">
        <is>
          <t>SECTION 2: OPERATIONAL DOMAIN BREAKDOWN &amp; CONTROL PERFORMANCE</t>
        </is>
      </c>
    </row>
    <row r="21" ht="22" customHeight="1">
      <c r="A21" s="13" t="inlineStr">
        <is>
          <t>Code</t>
        </is>
      </c>
      <c r="B21" s="13" t="inlineStr">
        <is>
          <t>Operational Manufacturing Domain</t>
        </is>
      </c>
      <c r="E21" s="13" t="inlineStr">
        <is>
          <t>Tests</t>
        </is>
      </c>
      <c r="F21" s="13" t="inlineStr">
        <is>
          <t>Max Pts</t>
        </is>
      </c>
      <c r="G21" s="13" t="inlineStr">
        <is>
          <t>Earned Pts</t>
        </is>
      </c>
      <c r="H21" s="13" t="inlineStr">
        <is>
          <t>Domain Score</t>
        </is>
      </c>
      <c r="I21" s="13" t="inlineStr">
        <is>
          <t>Critical Fails</t>
        </is>
      </c>
      <c r="J21" s="13" t="inlineStr">
        <is>
          <t>High Gaps</t>
        </is>
      </c>
      <c r="K21" s="13" t="inlineStr">
        <is>
          <t>Med Gaps</t>
        </is>
      </c>
      <c r="L21" s="13" t="inlineStr">
        <is>
          <t>Domain Compliance Rating</t>
        </is>
      </c>
    </row>
    <row r="22" ht="20" customHeight="1">
      <c r="A22" s="23" t="inlineStr">
        <is>
          <t>RAW</t>
        </is>
      </c>
      <c r="B22" s="24" t="inlineStr">
        <is>
          <t>Raw Material Management &amp; Paper Reel Logistics</t>
        </is>
      </c>
      <c r="E22" s="16">
        <f>COUNTA('AP_1_RAW_Paper_Logistics'!A12:A16)</f>
        <v/>
      </c>
      <c r="F22" s="16">
        <f>'AP_1_RAW_Paper_Logistics'!M17</f>
        <v/>
      </c>
      <c r="G22" s="17">
        <f>'AP_1_RAW_Paper_Logistics'!L17</f>
        <v/>
      </c>
      <c r="H22" s="18">
        <f>IF(F22&gt;0, G22/F22, 0)</f>
        <v/>
      </c>
      <c r="I22" s="17">
        <f>'AP_1_RAW_Paper_Logistics'!F7</f>
        <v/>
      </c>
      <c r="J22" s="16">
        <f>'AP_1_RAW_Paper_Logistics'!G7</f>
        <v/>
      </c>
      <c r="K22" s="16">
        <f>'AP_1_RAW_Paper_Logistics'!H7</f>
        <v/>
      </c>
      <c r="L22" s="23">
        <f>'AP_1_RAW_Paper_Logistics'!J7</f>
        <v/>
      </c>
    </row>
    <row r="23" ht="20" customHeight="1">
      <c r="A23" s="23" t="inlineStr">
        <is>
          <t>COR</t>
        </is>
      </c>
      <c r="B23" s="24" t="inlineStr">
        <is>
          <t>Corrugator Wet End &amp; Dry End Operations</t>
        </is>
      </c>
      <c r="E23" s="16">
        <f>COUNTA('AP_2_COR_Corrugator'!A12:A16)</f>
        <v/>
      </c>
      <c r="F23" s="16">
        <f>'AP_2_COR_Corrugator'!M17</f>
        <v/>
      </c>
      <c r="G23" s="17">
        <f>'AP_2_COR_Corrugator'!L17</f>
        <v/>
      </c>
      <c r="H23" s="18">
        <f>IF(F23&gt;0, G23/F23, 0)</f>
        <v/>
      </c>
      <c r="I23" s="17">
        <f>'AP_2_COR_Corrugator'!F7</f>
        <v/>
      </c>
      <c r="J23" s="16">
        <f>'AP_2_COR_Corrugator'!G7</f>
        <v/>
      </c>
      <c r="K23" s="16">
        <f>'AP_2_COR_Corrugator'!H7</f>
        <v/>
      </c>
      <c r="L23" s="23">
        <f>'AP_2_COR_Corrugator'!J7</f>
        <v/>
      </c>
    </row>
    <row r="24" ht="20" customHeight="1">
      <c r="A24" s="23" t="inlineStr">
        <is>
          <t>CON</t>
        </is>
      </c>
      <c r="B24" s="24" t="inlineStr">
        <is>
          <t>Converting, Printing &amp; Finishing Operations</t>
        </is>
      </c>
      <c r="E24" s="16">
        <f>COUNTA('AP_3_CON_Converting'!A12:A16)</f>
        <v/>
      </c>
      <c r="F24" s="16">
        <f>'AP_3_CON_Converting'!M17</f>
        <v/>
      </c>
      <c r="G24" s="17">
        <f>'AP_3_CON_Converting'!L17</f>
        <v/>
      </c>
      <c r="H24" s="18">
        <f>IF(F24&gt;0, G24/F24, 0)</f>
        <v/>
      </c>
      <c r="I24" s="17">
        <f>'AP_3_CON_Converting'!F7</f>
        <v/>
      </c>
      <c r="J24" s="16">
        <f>'AP_3_CON_Converting'!G7</f>
        <v/>
      </c>
      <c r="K24" s="16">
        <f>'AP_3_CON_Converting'!H7</f>
        <v/>
      </c>
      <c r="L24" s="23">
        <f>'AP_3_CON_Converting'!J7</f>
        <v/>
      </c>
    </row>
    <row r="25" ht="20" customHeight="1">
      <c r="A25" s="23" t="inlineStr">
        <is>
          <t>SCP</t>
        </is>
      </c>
      <c r="B25" s="24" t="inlineStr">
        <is>
          <t>Scrap, Baling &amp; Mass Balance</t>
        </is>
      </c>
      <c r="E25" s="16">
        <f>COUNTA('AP_4_SCP_Scrap_Baling'!A12:A16)</f>
        <v/>
      </c>
      <c r="F25" s="16">
        <f>'AP_4_SCP_Scrap_Baling'!M17</f>
        <v/>
      </c>
      <c r="G25" s="17">
        <f>'AP_4_SCP_Scrap_Baling'!L17</f>
        <v/>
      </c>
      <c r="H25" s="18">
        <f>IF(F25&gt;0, G25/F25, 0)</f>
        <v/>
      </c>
      <c r="I25" s="17">
        <f>'AP_4_SCP_Scrap_Baling'!F7</f>
        <v/>
      </c>
      <c r="J25" s="16">
        <f>'AP_4_SCP_Scrap_Baling'!G7</f>
        <v/>
      </c>
      <c r="K25" s="16">
        <f>'AP_4_SCP_Scrap_Baling'!H7</f>
        <v/>
      </c>
      <c r="L25" s="23">
        <f>'AP_4_SCP_Scrap_Baling'!J7</f>
        <v/>
      </c>
    </row>
    <row r="26" ht="20" customHeight="1">
      <c r="A26" s="23" t="inlineStr">
        <is>
          <t>MRO</t>
        </is>
      </c>
      <c r="B26" s="24" t="inlineStr">
        <is>
          <t>Tooling, Maintenance &amp; Asset Longevity</t>
        </is>
      </c>
      <c r="E26" s="16">
        <f>COUNTA('AP_5_MRO_Asset_Tooling'!A12:A16)</f>
        <v/>
      </c>
      <c r="F26" s="16">
        <f>'AP_5_MRO_Asset_Tooling'!M17</f>
        <v/>
      </c>
      <c r="G26" s="17">
        <f>'AP_5_MRO_Asset_Tooling'!L17</f>
        <v/>
      </c>
      <c r="H26" s="18">
        <f>IF(F26&gt;0, G26/F26, 0)</f>
        <v/>
      </c>
      <c r="I26" s="17">
        <f>'AP_5_MRO_Asset_Tooling'!F7</f>
        <v/>
      </c>
      <c r="J26" s="16">
        <f>'AP_5_MRO_Asset_Tooling'!G7</f>
        <v/>
      </c>
      <c r="K26" s="16">
        <f>'AP_5_MRO_Asset_Tooling'!H7</f>
        <v/>
      </c>
      <c r="L26" s="23">
        <f>'AP_5_MRO_Asset_Tooling'!J7</f>
        <v/>
      </c>
    </row>
    <row r="27" ht="20" customHeight="1">
      <c r="A27" s="23" t="inlineStr">
        <is>
          <t>LOC</t>
        </is>
      </c>
      <c r="B27" s="24" t="inlineStr">
        <is>
          <t>Warehousing, Logistics &amp; Dispatch Integrity</t>
        </is>
      </c>
      <c r="E27" s="16">
        <f>COUNTA('AP_6_LOC_Warehouse_Dispatch'!A12:A16)</f>
        <v/>
      </c>
      <c r="F27" s="16">
        <f>'AP_6_LOC_Warehouse_Dispatch'!M17</f>
        <v/>
      </c>
      <c r="G27" s="17">
        <f>'AP_6_LOC_Warehouse_Dispatch'!L17</f>
        <v/>
      </c>
      <c r="H27" s="18">
        <f>IF(F27&gt;0, G27/F27, 0)</f>
        <v/>
      </c>
      <c r="I27" s="17">
        <f>'AP_6_LOC_Warehouse_Dispatch'!F7</f>
        <v/>
      </c>
      <c r="J27" s="16">
        <f>'AP_6_LOC_Warehouse_Dispatch'!G7</f>
        <v/>
      </c>
      <c r="K27" s="16">
        <f>'AP_6_LOC_Warehouse_Dispatch'!H7</f>
        <v/>
      </c>
      <c r="L27" s="23">
        <f>'AP_6_LOC_Warehouse_Dispatch'!J7</f>
        <v/>
      </c>
    </row>
    <row r="28" ht="20" customHeight="1">
      <c r="A28" s="23" t="inlineStr">
        <is>
          <t>EHS</t>
        </is>
      </c>
      <c r="B28" s="24" t="inlineStr">
        <is>
          <t>Boiler House, Safety &amp; Catastrophic Continuity</t>
        </is>
      </c>
      <c r="E28" s="16">
        <f>COUNTA('AP_7_EHS_Boiler_Continuity'!A12:A16)</f>
        <v/>
      </c>
      <c r="F28" s="16">
        <f>'AP_7_EHS_Boiler_Continuity'!M17</f>
        <v/>
      </c>
      <c r="G28" s="17">
        <f>'AP_7_EHS_Boiler_Continuity'!L17</f>
        <v/>
      </c>
      <c r="H28" s="18">
        <f>IF(F28&gt;0, G28/F28, 0)</f>
        <v/>
      </c>
      <c r="I28" s="17">
        <f>'AP_7_EHS_Boiler_Continuity'!F7</f>
        <v/>
      </c>
      <c r="J28" s="16">
        <f>'AP_7_EHS_Boiler_Continuity'!G7</f>
        <v/>
      </c>
      <c r="K28" s="16">
        <f>'AP_7_EHS_Boiler_Continuity'!H7</f>
        <v/>
      </c>
      <c r="L28" s="23">
        <f>'AP_7_EHS_Boiler_Continuity'!J7</f>
        <v/>
      </c>
    </row>
    <row r="29" ht="24" customHeight="1">
      <c r="A29" s="19" t="inlineStr">
        <is>
          <t>TOTAL OPERATIONAL DOMAIN POINTS</t>
        </is>
      </c>
      <c r="E29" s="20">
        <f>SUM(E22:E28)</f>
        <v/>
      </c>
      <c r="F29" s="20">
        <f>SUM(F22:F28)</f>
        <v/>
      </c>
      <c r="G29" s="20">
        <f>SUM(G22:G28)</f>
        <v/>
      </c>
      <c r="H29" s="21">
        <f>IF(F29&gt;0, G29/F29, 0)</f>
        <v/>
      </c>
      <c r="I29" s="20">
        <f>SUM(I22:I28)</f>
        <v/>
      </c>
      <c r="J29" s="20">
        <f>SUM(J22:J28)</f>
        <v/>
      </c>
      <c r="K29" s="20">
        <f>SUM(K22:K28)</f>
        <v/>
      </c>
      <c r="L29" s="22">
        <f>IF(I29&gt;0, "Critical Failure Override", IF(H29&gt;=0.85, "Substantial", IF(H29&gt;=0.70, "Satisfactory", "Unsatisfactory")))</f>
        <v/>
      </c>
    </row>
    <row r="31" ht="22" customHeight="1">
      <c r="A31" s="12" t="inlineStr">
        <is>
          <t>SECTION 3: EXECUTIVE HIGH-RISK &amp; CRITICAL DEFICIENCIES REQUIRING IMMEDIATE MITIGATION</t>
        </is>
      </c>
    </row>
    <row r="32" ht="22" customHeight="1">
      <c r="A32" s="13" t="inlineStr">
        <is>
          <t>Ref ID</t>
        </is>
      </c>
      <c r="B32" s="13" t="inlineStr">
        <is>
          <t>Severity</t>
        </is>
      </c>
      <c r="C32" s="13" t="inlineStr">
        <is>
          <t>Deficiency Title &amp; Operational Finding</t>
        </is>
      </c>
      <c r="F32" s="13" t="inlineStr">
        <is>
          <t>Assurance Pillar &amp; Strategic Impact</t>
        </is>
      </c>
      <c r="I32" s="13" t="inlineStr">
        <is>
          <t>Mandated Management Remediation Plan</t>
        </is>
      </c>
      <c r="L32" s="13" t="inlineStr">
        <is>
          <t>Target Date</t>
        </is>
      </c>
      <c r="M32" s="13" t="inlineStr">
        <is>
          <t>Accountable Action Owner</t>
        </is>
      </c>
    </row>
    <row r="33" ht="54" customHeight="1">
      <c r="A33" s="23">
        <f>'AP_1_RAW_Paper_Logistics'!A12</f>
        <v/>
      </c>
      <c r="B33" s="25">
        <f>'AP_1_RAW_Paper_Logistics'!N12</f>
        <v/>
      </c>
      <c r="C33" s="26">
        <f>'AP_1_RAW_Paper_Logistics'!I12</f>
        <v/>
      </c>
      <c r="F33" s="26">
        <f>'AP_1_RAW_Paper_Logistics'!D12</f>
        <v/>
      </c>
      <c r="I33" s="26">
        <f>'AP_1_RAW_Paper_Logistics'!O12</f>
        <v/>
      </c>
      <c r="L33" s="27">
        <f>'AP_1_RAW_Paper_Logistics'!P12</f>
        <v/>
      </c>
      <c r="M33" s="26">
        <f>'AP_1_RAW_Paper_Logistics'!Q12</f>
        <v/>
      </c>
    </row>
    <row r="34" ht="54" customHeight="1">
      <c r="A34" s="23">
        <f>'AP_4_SCP_Scrap_Baling'!A15</f>
        <v/>
      </c>
      <c r="B34" s="25">
        <f>'AP_4_SCP_Scrap_Baling'!N15</f>
        <v/>
      </c>
      <c r="C34" s="26">
        <f>'AP_4_SCP_Scrap_Baling'!I15</f>
        <v/>
      </c>
      <c r="F34" s="26">
        <f>'AP_4_SCP_Scrap_Baling'!D15</f>
        <v/>
      </c>
      <c r="I34" s="26">
        <f>'AP_4_SCP_Scrap_Baling'!O15</f>
        <v/>
      </c>
      <c r="L34" s="27">
        <f>'AP_4_SCP_Scrap_Baling'!P15</f>
        <v/>
      </c>
      <c r="M34" s="26">
        <f>'AP_4_SCP_Scrap_Baling'!Q15</f>
        <v/>
      </c>
    </row>
    <row r="35" ht="54" customHeight="1">
      <c r="A35" s="23">
        <f>'AP_7_EHS_Boiler_Continuity'!A12</f>
        <v/>
      </c>
      <c r="B35" s="25">
        <f>'AP_7_EHS_Boiler_Continuity'!N12</f>
        <v/>
      </c>
      <c r="C35" s="26">
        <f>'AP_7_EHS_Boiler_Continuity'!I12</f>
        <v/>
      </c>
      <c r="F35" s="26">
        <f>'AP_7_EHS_Boiler_Continuity'!D12</f>
        <v/>
      </c>
      <c r="I35" s="26">
        <f>'AP_7_EHS_Boiler_Continuity'!O12</f>
        <v/>
      </c>
      <c r="L35" s="27">
        <f>'AP_7_EHS_Boiler_Continuity'!P12</f>
        <v/>
      </c>
      <c r="M35" s="26">
        <f>'AP_7_EHS_Boiler_Continuity'!Q12</f>
        <v/>
      </c>
    </row>
    <row r="36" ht="54" customHeight="1">
      <c r="A36" s="23">
        <f>'AP_1_RAW_Paper_Logistics'!A14</f>
        <v/>
      </c>
      <c r="B36" s="28">
        <f>'AP_1_RAW_Paper_Logistics'!N14</f>
        <v/>
      </c>
      <c r="C36" s="26">
        <f>'AP_1_RAW_Paper_Logistics'!I14</f>
        <v/>
      </c>
      <c r="F36" s="26">
        <f>'AP_1_RAW_Paper_Logistics'!D14</f>
        <v/>
      </c>
      <c r="I36" s="26">
        <f>'AP_1_RAW_Paper_Logistics'!O14</f>
        <v/>
      </c>
      <c r="L36" s="27">
        <f>'AP_1_RAW_Paper_Logistics'!P14</f>
        <v/>
      </c>
      <c r="M36" s="26">
        <f>'AP_1_RAW_Paper_Logistics'!Q14</f>
        <v/>
      </c>
    </row>
    <row r="37" ht="54" customHeight="1">
      <c r="A37" s="23">
        <f>'AP_2_COR_Corrugator'!A12</f>
        <v/>
      </c>
      <c r="B37" s="28">
        <f>'AP_2_COR_Corrugator'!N12</f>
        <v/>
      </c>
      <c r="C37" s="26">
        <f>'AP_2_COR_Corrugator'!I12</f>
        <v/>
      </c>
      <c r="F37" s="26">
        <f>'AP_2_COR_Corrugator'!D12</f>
        <v/>
      </c>
      <c r="I37" s="26">
        <f>'AP_2_COR_Corrugator'!O12</f>
        <v/>
      </c>
      <c r="L37" s="27">
        <f>'AP_2_COR_Corrugator'!P12</f>
        <v/>
      </c>
      <c r="M37" s="26">
        <f>'AP_2_COR_Corrugator'!Q12</f>
        <v/>
      </c>
    </row>
    <row r="38" ht="54" customHeight="1">
      <c r="A38" s="23">
        <f>'AP_7_EHS_Boiler_Continuity'!A14</f>
        <v/>
      </c>
      <c r="B38" s="28">
        <f>'AP_7_EHS_Boiler_Continuity'!N14</f>
        <v/>
      </c>
      <c r="C38" s="26">
        <f>'AP_7_EHS_Boiler_Continuity'!I14</f>
        <v/>
      </c>
      <c r="F38" s="26">
        <f>'AP_7_EHS_Boiler_Continuity'!D14</f>
        <v/>
      </c>
      <c r="I38" s="26">
        <f>'AP_7_EHS_Boiler_Continuity'!O14</f>
        <v/>
      </c>
      <c r="L38" s="27">
        <f>'AP_7_EHS_Boiler_Continuity'!P14</f>
        <v/>
      </c>
      <c r="M38" s="26">
        <f>'AP_7_EHS_Boiler_Continuity'!Q14</f>
        <v/>
      </c>
    </row>
    <row r="40" ht="22" customHeight="1">
      <c r="A40" s="12" t="inlineStr">
        <is>
          <t>SECTION 4: MODEL ARCHITECTURE, THOUGHT LEADERSHIP &amp; ASSURANCE PROFILES</t>
        </is>
      </c>
    </row>
    <row r="41" ht="20" customHeight="1">
      <c r="A41" s="29" t="inlineStr">
        <is>
          <t>Framework Architect:</t>
        </is>
      </c>
      <c r="B41" s="29" t="n"/>
      <c r="C41" s="15" t="inlineStr">
        <is>
          <t>Majid Mumtaz | CIA (IIA), ACA (ICAEW UK), FCCA (ACCA UK), GRCP &amp; GRCA (OCEG), COSO ERM Certified</t>
        </is>
      </c>
      <c r="D41" s="15" t="n"/>
      <c r="E41" s="15" t="n"/>
      <c r="F41" s="15" t="n"/>
      <c r="G41" s="15" t="n"/>
      <c r="H41" s="15" t="n"/>
      <c r="I41" s="15" t="n"/>
      <c r="J41" s="15" t="n"/>
      <c r="K41" s="15" t="n"/>
      <c r="L41" s="15" t="n"/>
      <c r="M41" s="15" t="n"/>
      <c r="N41" s="15" t="n"/>
    </row>
    <row r="42" ht="20" customHeight="1">
      <c r="A42" s="29" t="inlineStr">
        <is>
          <t>The Audit Signal Newsletter:</t>
        </is>
      </c>
      <c r="B42" s="29" t="n"/>
      <c r="C42" s="30" t="inlineStr">
        <is>
          <t>The Audit Signal — Technical Articles on Continuous Auditing &amp; EBITDA Defense (LinkedIn)</t>
        </is>
      </c>
      <c r="D42" s="30" t="n"/>
      <c r="E42" s="30" t="n"/>
      <c r="F42" s="30" t="n"/>
      <c r="G42" s="30" t="n"/>
      <c r="H42" s="30" t="n"/>
      <c r="I42" s="30" t="n"/>
      <c r="J42" s="30" t="n"/>
      <c r="K42" s="30" t="n"/>
      <c r="L42" s="30" t="n"/>
      <c r="M42" s="30" t="n"/>
      <c r="N42" s="30" t="n"/>
    </row>
    <row r="43" ht="20" customHeight="1">
      <c r="A43" s="29" t="inlineStr">
        <is>
          <t>Continuous Controls Monitoring:</t>
        </is>
      </c>
      <c r="B43" s="29" t="n"/>
      <c r="C43" s="30" t="inlineStr">
        <is>
          <t>Interactive Audit &amp; Continuous Controls Monitoring Portfolio (majidrajpar.github.io/portfolio_my)</t>
        </is>
      </c>
      <c r="D43" s="30" t="n"/>
      <c r="E43" s="30" t="n"/>
      <c r="F43" s="30" t="n"/>
      <c r="G43" s="30" t="n"/>
      <c r="H43" s="30" t="n"/>
      <c r="I43" s="30" t="n"/>
      <c r="J43" s="30" t="n"/>
      <c r="K43" s="30" t="n"/>
      <c r="L43" s="30" t="n"/>
      <c r="M43" s="30" t="n"/>
      <c r="N43" s="30" t="n"/>
    </row>
    <row r="44" ht="20" customHeight="1">
      <c r="A44" s="29" t="inlineStr">
        <is>
          <t>Author Executive Profile:</t>
        </is>
      </c>
      <c r="B44" s="29" t="n"/>
      <c r="C44" s="30" t="inlineStr">
        <is>
          <t>LinkedIn Executive Profile: Majid Mumtaz</t>
        </is>
      </c>
      <c r="D44" s="30" t="n"/>
      <c r="E44" s="30" t="n"/>
      <c r="F44" s="30" t="n"/>
      <c r="G44" s="30" t="n"/>
      <c r="H44" s="30" t="n"/>
      <c r="I44" s="30" t="n"/>
      <c r="J44" s="30" t="n"/>
      <c r="K44" s="30" t="n"/>
      <c r="L44" s="30" t="n"/>
      <c r="M44" s="30" t="n"/>
      <c r="N44" s="30" t="n"/>
    </row>
  </sheetData>
  <mergeCells count="88">
    <mergeCell ref="I32:K32"/>
    <mergeCell ref="F36:H36"/>
    <mergeCell ref="F33:H33"/>
    <mergeCell ref="A29:D29"/>
    <mergeCell ref="A11:N11"/>
    <mergeCell ref="I8:J9"/>
    <mergeCell ref="K8:L9"/>
    <mergeCell ref="A8:B9"/>
    <mergeCell ref="C8:D9"/>
    <mergeCell ref="B28:D28"/>
    <mergeCell ref="L25:N25"/>
    <mergeCell ref="M35:N35"/>
    <mergeCell ref="A7:B7"/>
    <mergeCell ref="A41:B41"/>
    <mergeCell ref="A42:B42"/>
    <mergeCell ref="M36:N36"/>
    <mergeCell ref="M33:N33"/>
    <mergeCell ref="I34:K34"/>
    <mergeCell ref="C34:E34"/>
    <mergeCell ref="C42:N42"/>
    <mergeCell ref="I36:K36"/>
    <mergeCell ref="L13:N13"/>
    <mergeCell ref="L15:N15"/>
    <mergeCell ref="L24:N24"/>
    <mergeCell ref="L18:N18"/>
    <mergeCell ref="I37:K37"/>
    <mergeCell ref="F35:H35"/>
    <mergeCell ref="B17:D17"/>
    <mergeCell ref="C44:N44"/>
    <mergeCell ref="L26:N26"/>
    <mergeCell ref="G7:H7"/>
    <mergeCell ref="I7:J7"/>
    <mergeCell ref="C32:E32"/>
    <mergeCell ref="C38:E38"/>
    <mergeCell ref="M7:N7"/>
    <mergeCell ref="A3:N3"/>
    <mergeCell ref="E8:F9"/>
    <mergeCell ref="G8:H9"/>
    <mergeCell ref="C33:E33"/>
    <mergeCell ref="L28:N28"/>
    <mergeCell ref="B21:D21"/>
    <mergeCell ref="L12:N12"/>
    <mergeCell ref="C35:E35"/>
    <mergeCell ref="A40:N40"/>
    <mergeCell ref="B14:D14"/>
    <mergeCell ref="M34:N34"/>
    <mergeCell ref="B23:D23"/>
    <mergeCell ref="L14:N14"/>
    <mergeCell ref="L23:N23"/>
    <mergeCell ref="F32:H32"/>
    <mergeCell ref="B13:D13"/>
    <mergeCell ref="F38:H38"/>
    <mergeCell ref="C36:E36"/>
    <mergeCell ref="F37:H37"/>
    <mergeCell ref="I38:K38"/>
    <mergeCell ref="C37:E37"/>
    <mergeCell ref="M37:N37"/>
    <mergeCell ref="A2:N2"/>
    <mergeCell ref="L27:N27"/>
    <mergeCell ref="L17:N17"/>
    <mergeCell ref="B25:D25"/>
    <mergeCell ref="F34:H34"/>
    <mergeCell ref="K7:L7"/>
    <mergeCell ref="C7:D7"/>
    <mergeCell ref="E7:F7"/>
    <mergeCell ref="A43:B43"/>
    <mergeCell ref="A20:N20"/>
    <mergeCell ref="B22:D22"/>
    <mergeCell ref="M38:N38"/>
    <mergeCell ref="B12:D12"/>
    <mergeCell ref="A31:N31"/>
    <mergeCell ref="C41:N41"/>
    <mergeCell ref="L29:N29"/>
    <mergeCell ref="M8:N9"/>
    <mergeCell ref="C43:N43"/>
    <mergeCell ref="I33:K33"/>
    <mergeCell ref="L22:N22"/>
    <mergeCell ref="I35:K35"/>
    <mergeCell ref="B15:D15"/>
    <mergeCell ref="B24:D24"/>
    <mergeCell ref="L21:N21"/>
    <mergeCell ref="B26:D26"/>
    <mergeCell ref="B16:D16"/>
    <mergeCell ref="L16:N16"/>
    <mergeCell ref="A18:D18"/>
    <mergeCell ref="M32:N32"/>
    <mergeCell ref="B27:D27"/>
    <mergeCell ref="A44:B44"/>
  </mergeCells>
  <hyperlinks>
    <hyperlink xmlns:r="http://schemas.openxmlformats.org/officeDocument/2006/relationships" ref="C42" r:id="rId1"/>
    <hyperlink xmlns:r="http://schemas.openxmlformats.org/officeDocument/2006/relationships" ref="C43" r:id="rId2"/>
    <hyperlink xmlns:r="http://schemas.openxmlformats.org/officeDocument/2006/relationships" ref="C4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Q17"/>
  <sheetViews>
    <sheetView showGridLines="1" workbookViewId="0">
      <selection activeCell="A1" sqref="A1"/>
    </sheetView>
  </sheetViews>
  <sheetFormatPr baseColWidth="8" defaultRowHeight="15"/>
  <cols>
    <col width="10" customWidth="1" min="1" max="1"/>
    <col width="38" customWidth="1" min="2" max="2"/>
    <col width="13" customWidth="1" min="3" max="3"/>
    <col width="24" customWidth="1" min="4" max="4"/>
    <col width="42" customWidth="1" min="5" max="5"/>
    <col width="32" customWidth="1" min="6" max="6"/>
    <col width="22" customWidth="1" min="7" max="7"/>
    <col width="12" customWidth="1" min="8" max="8"/>
    <col width="42" customWidth="1" min="9" max="9"/>
    <col width="20" customWidth="1" min="10" max="10"/>
    <col width="12" customWidth="1" min="11" max="11"/>
    <col width="12" customWidth="1" min="12" max="12"/>
    <col width="12" customWidth="1" min="13" max="13"/>
    <col width="15" customWidth="1" min="14" max="14"/>
    <col width="40" customWidth="1" min="15" max="15"/>
    <col width="13" customWidth="1" min="16" max="16"/>
    <col width="24" customWidth="1" min="17" max="17"/>
  </cols>
  <sheetData>
    <row r="2" ht="28" customHeight="1">
      <c r="A2" s="1" t="inlineStr">
        <is>
          <t>PLANT AUDIT PROGRAM: RAW MATERIAL MANAGEMENT &amp; PAPER REEL LOGISTICS</t>
        </is>
      </c>
    </row>
    <row r="3" ht="18" customHeight="1">
      <c r="A3" s="2" t="inlineStr">
        <is>
          <t>Facility: Al-Quoz Industrial Packaging Plant #4 (DIC) | Sector: Secondary Corrugated Packaging | Domain Code: RAW | Working Paper: WP-RAW-00</t>
        </is>
      </c>
    </row>
    <row r="5">
      <c r="A5" s="3" t="inlineStr">
        <is>
          <t>Domain Scope:</t>
        </is>
      </c>
      <c r="B5" s="4" t="inlineStr">
        <is>
          <t>Inbound weighbridge verification, paper reel moisture/GSM validation, core tare deductions, clamp truck handling, clamp damage scrap, barcode roll-tag traceability, and high-density yard reel storage.</t>
        </is>
      </c>
      <c r="L5" s="3" t="inlineStr">
        <is>
          <t>Lead Specialty:</t>
        </is>
      </c>
      <c r="M5" s="4" t="inlineStr">
        <is>
          <t>Raw Materials Procurement &amp; Material Handling Auditor</t>
        </is>
      </c>
    </row>
    <row r="7">
      <c r="A7" s="31" t="inlineStr">
        <is>
          <t>DOMAIN PERFORMANCE ROLLUP</t>
        </is>
      </c>
      <c r="C7" s="32">
        <f>SUM(M12:M16)</f>
        <v/>
      </c>
      <c r="D7" s="32">
        <f>SUM(L12:L16)</f>
        <v/>
      </c>
      <c r="E7" s="33">
        <f>IF(C7&gt;0, D7/C7, 0)</f>
        <v/>
      </c>
      <c r="F7" s="34">
        <f>COUNTIF(N12:N16, "Critical")</f>
        <v/>
      </c>
      <c r="G7" s="34">
        <f>COUNTIF(N12:N16, "High")</f>
        <v/>
      </c>
      <c r="H7" s="34">
        <f>COUNTIF(N12:N16, "Medium")</f>
        <v/>
      </c>
      <c r="I7" s="34">
        <f>COUNTIF(N12:N16, "Low")</f>
        <v/>
      </c>
      <c r="J7" s="35">
        <f>IF(F7&gt;0, "Critical Failure", IF(E7&gt;=0.85, "Substantial", IF(E7&gt;=0.70, "Satisfactory", IF(E7&gt;=0.55, "Limited", "Unsatisfactory"))))</f>
        <v/>
      </c>
    </row>
    <row r="11" ht="26" customHeight="1">
      <c r="A11" s="36" t="inlineStr">
        <is>
          <t>Ref ID</t>
        </is>
      </c>
      <c r="B11" s="36" t="inlineStr">
        <is>
          <t>Risk Title &amp; Trench Reality (Parallax View)</t>
        </is>
      </c>
      <c r="C11" s="36" t="inlineStr">
        <is>
          <t>Inherent Risk</t>
        </is>
      </c>
      <c r="D11" s="36" t="inlineStr">
        <is>
          <t>Assigned Assurance Pillar</t>
        </is>
      </c>
      <c r="E11" s="36" t="inlineStr">
        <is>
          <t>Specific Audit Test Procedure</t>
        </is>
      </c>
      <c r="F11" s="36" t="inlineStr">
        <is>
          <t>Telemetry &amp; Evidence Sources</t>
        </is>
      </c>
      <c r="G11" s="36" t="inlineStr">
        <is>
          <t>Sample Population &amp; Scope</t>
        </is>
      </c>
      <c r="H11" s="36" t="inlineStr">
        <is>
          <t>WP Ref</t>
        </is>
      </c>
      <c r="I11" s="36" t="inlineStr">
        <is>
          <t>Auditor Field Observations &amp; Testing Notes</t>
        </is>
      </c>
      <c r="J11" s="36" t="inlineStr">
        <is>
          <t>Control Status</t>
        </is>
      </c>
      <c r="K11" s="36" t="inlineStr">
        <is>
          <t>Risk Weight</t>
        </is>
      </c>
      <c r="L11" s="36" t="inlineStr">
        <is>
          <t>Earned Pts</t>
        </is>
      </c>
      <c r="M11" s="36" t="inlineStr">
        <is>
          <t>Max Pts</t>
        </is>
      </c>
      <c r="N11" s="36" t="inlineStr">
        <is>
          <t>Finding Severity</t>
        </is>
      </c>
      <c r="O11" s="36" t="inlineStr">
        <is>
          <t>Management Action Plan &amp; Remediation</t>
        </is>
      </c>
      <c r="P11" s="36" t="inlineStr">
        <is>
          <t>Target Date</t>
        </is>
      </c>
      <c r="Q11" s="36" t="inlineStr">
        <is>
          <t>Action Owner</t>
        </is>
      </c>
    </row>
    <row r="12" ht="135" customHeight="1">
      <c r="A12" s="23" t="inlineStr">
        <is>
          <t>RAW-01</t>
        </is>
      </c>
      <c r="B12" s="26" t="inlineStr">
        <is>
          <t>INBOUND PAPER REEL MOISTURE &amp; WEIGHBRIDGE WEIGHT RECONCILIATION FRAUD
• HQ Assumption: HQ assumes that delivered reel weights match vendor invoice weights within standard 0.5% commercial moisture tolerance, verified by automated weighbridge gross-tare tickets and QA lab moisture testing prior to GRN booking.
• Floor Reality: Under turnaround pressure to clear truck demurrage, security records weighbridge gross weight while drivers stay inside the cab. Mill roll moisture tests are forged or taken from outer wrapper only. Reels delivered with 11-13% moisture (spec 7.0-8.0%) from open flatbed rain exposure are booked at full invoice weight. The mill pays virgin kraft paper rates for absorbed water, which evaporates as steam at the preheaters, leaving a massive unrecorded paper fiber shortage.</t>
        </is>
      </c>
      <c r="C12" s="25" t="inlineStr">
        <is>
          <t>Critical</t>
        </is>
      </c>
      <c r="D12" s="26" t="inlineStr">
        <is>
          <t>1. Margin Truthfulness</t>
        </is>
      </c>
      <c r="E12" s="26" t="inlineStr">
        <is>
          <t>1. Extract 100% weighbridge gross/tare/net log entries for paper delivery trucks over the audit period and match against ERP Goods Receipt Notes (GRN) and Vendor Invoices.
2. Audit weighbridge load-cell calibration certificates (ISO/IEC 17025 accredited) and zero-balance drift logs.
3. Cross-reference automated weighbridge CCTV footage for a sample of 25 deliveries to verify truck driver de-boarding during tare weighing.
4. Compare QA handheld moisture meter logs against ERP moisture deductions; inspect raw handheld meter internal calibration and memory buffer.
5. Pull 30 sample reel roll-tags, cut 100mm core-to-surface samples, and perform gravimetric oven-drying (bone-dry weight method per ISO 287 / TAPPI T412) to calculate actual moisture percentage vs GRN recorded moisture.
6. Quantify total financial variance where billed moisture exceeded spec without vendor credit memo debit notes.</t>
        </is>
      </c>
      <c r="F12" s="37" t="inlineStr">
        <is>
          <t>Automated Weighbridge digital indicator logs (RS-232/Ethernet stream), ERP Purchasing &amp; GRN tables (EKPO, MSEG), Weighbridge CCTV timestamped footage, ISO 17025 load-cell calibration certificates, Lab Gravimetric Drying Oven logs (TAPPI T412), Handheld Dielectric Moisture Meter internal memory dumps.</t>
        </is>
      </c>
      <c r="G12" s="26" t="inlineStr">
        <is>
          <t>100% continuous data reconciliation of all inbound paper deliveries (12-month ERP/Weighbridge population); Physical audit of 30 active reel tags and 10 bone-dry oven destructive lab tests.</t>
        </is>
      </c>
      <c r="H12" s="23" t="inlineStr">
        <is>
          <t>WP-RAW-01</t>
        </is>
      </c>
      <c r="I12" s="26" t="inlineStr">
        <is>
          <t>Weighbridge telemetry unlinked to ERP GRN. Drivers observed remaining in cab during tare weighing. Lab moisture tests skipped on 18 of 30 tested reels; billed moisture averaged 11.4% vs 7.5% spec without vendor debit memos raised ($148k estimated water weight paid as virgin fiber).</t>
        </is>
      </c>
      <c r="J12" s="25" t="inlineStr">
        <is>
          <t>Ineffective</t>
        </is>
      </c>
      <c r="K12" s="38">
        <f>IF(C12="Critical", 10, IF(C12="High", 5, IF(C12="Medium", 3, 1)))</f>
        <v/>
      </c>
      <c r="L12" s="38">
        <f>IF(J12="Effective", K12*4, IF(J12="Partially Effective", K12*2, IF(J12="Ineffective", K12*1, 0)))</f>
        <v/>
      </c>
      <c r="M12" s="38">
        <f>IF(J12="N/A", 0, K12*4)</f>
        <v/>
      </c>
      <c r="N12" s="23">
        <f>IF(J12="Effective", "None", IF(J12="N/A", "None", IF(AND(C12="Critical", J12="Ineffective"), "Critical", IF(OR(AND(C12="Critical", J12="Partially Effective"), AND(C12="High", J12="Ineffective")), "High", IF(OR(AND(C12="High", J12="Partially Effective"), AND(C12="Medium", J12="Ineffective")), "Medium", "Low")))))</f>
        <v/>
      </c>
      <c r="O12" s="26" t="inlineStr">
        <is>
          <t>Implement automated RS-232 weighbridge-to-ERP interface with driver cabin infrared de-boarding interlocks. Institute mandatory automated dielectric moisture probe checks on 100% of inbound reels with automated ERP vendor debit notes for moisture &gt;8.0%.</t>
        </is>
      </c>
      <c r="P12" s="27" t="inlineStr">
        <is>
          <t>2026-12-15</t>
        </is>
      </c>
      <c r="Q12" s="26" t="inlineStr">
        <is>
          <t>Procurement Director &amp; Plant Weighbridge Lead</t>
        </is>
      </c>
    </row>
    <row r="13" ht="135" customHeight="1">
      <c r="A13" s="23" t="inlineStr">
        <is>
          <t>RAW-02</t>
        </is>
      </c>
      <c r="B13" s="26" t="inlineStr">
        <is>
          <t>PAPER REEL CORE TARE WEIGHT INFLATION &amp; UNCREDITED CORE RETURNS
• HQ Assumption: HQ assumes standard core tare weights (typically 30-50 kg per reel depending on 4-inch or 6-inch core diameter) are accurately deducted during paper consumption and returned to mills for full salvage deposit credits.
• Floor Reality: Paper mills systematically deliver heavy-wall cardboard/steel-reinforced cores weighing up to 75 kg while standard ERP deduction remains hardcoded at 35 kg. The extra 40 kg per reel is charged to the plant as paper. On the shop floor, spent cores are crushed by clamp trucks, discarded into paper balers as OCC scrap, or stolen by scrap cartels instead of being credited by paper mills.</t>
        </is>
      </c>
      <c r="C13" s="39" t="inlineStr">
        <is>
          <t>Medium</t>
        </is>
      </c>
      <c r="D13" s="26" t="inlineStr">
        <is>
          <t>3. Mass Balance &amp; Anti-Theft</t>
        </is>
      </c>
      <c r="E13" s="26" t="inlineStr">
        <is>
          <t>1. Inspect ERP Item Master data for all paper reel stock keeping units (SKUs) to verify standard core tare deduction parameters.
2. Physically weigh 50 empty cores across all supplying paper mills (separating 76mm/3-inch, 100mm/4-inch, and 150mm/6-inch inner diameter cores) using calibrated floor platform scales.
3. Calculate the delta between actual physical core tare and the ERP standard deduction.
4. Audit the reconciliation of spent core inventory: compare total reels consumed on corrugators against total cores returned to paper mills (vendor credit notes) plus scrap core sales tickets.
5. Inspect baler pit surveillance footage to determine if intact or crushed cores are being fed into export OCC balers to artificially inflate scrap bale counts.</t>
        </is>
      </c>
      <c r="F13" s="37" t="inlineStr">
        <is>
          <t>ERP Material Master core tare parameters (MARA/MARC tables), Calibrated Platform Scale calibration certificates, Splicer Butt-Roll reel unwinding telemetry, Paper Mill core credit notes, Scrap baling scale tickets, Baler staging bay CCTV footage.</t>
        </is>
      </c>
      <c r="G13" s="26" t="inlineStr">
        <is>
          <t>Physical weigh-sampling of 50 spent cores from 5 distinct paper suppliers; 100% reconciliation of corrugator reel consumption vs core return credits over trailing 6 months.</t>
        </is>
      </c>
      <c r="H13" s="23" t="inlineStr">
        <is>
          <t>WP-RAW-02</t>
        </is>
      </c>
      <c r="I13" s="26" t="inlineStr">
        <is>
          <t>Platform scales calibrated. Core tare weights checked across 50 spent rolls; average core weight variance was 1.2 kg against 35 kg standard. Spent cores crushed and documented under export OCC baler tickets.</t>
        </is>
      </c>
      <c r="J13" s="40" t="inlineStr">
        <is>
          <t>Effective</t>
        </is>
      </c>
      <c r="K13" s="38">
        <f>IF(C13="Critical", 10, IF(C13="High", 5, IF(C13="Medium", 3, 1)))</f>
        <v/>
      </c>
      <c r="L13" s="38">
        <f>IF(J13="Effective", K13*4, IF(J13="Partially Effective", K13*2, IF(J13="Ineffective", K13*1, 0)))</f>
        <v/>
      </c>
      <c r="M13" s="38">
        <f>IF(J13="N/A", 0, K13*4)</f>
        <v/>
      </c>
      <c r="N13" s="23">
        <f>IF(J13="Effective", "None", IF(J13="N/A", "None", IF(AND(C13="Critical", J13="Ineffective"), "Critical", IF(OR(AND(C13="Critical", J13="Partially Effective"), AND(C13="High", J13="Ineffective")), "High", IF(OR(AND(C13="High", J13="Partially Effective"), AND(C13="Medium", J13="Ineffective")), "Medium", "Low")))))</f>
        <v/>
      </c>
      <c r="O13" s="26" t="inlineStr">
        <is>
          <t>Maintain bi-monthly scale calibration and continue spot-checking core weights across unlisted paper suppliers.</t>
        </is>
      </c>
      <c r="P13" s="27" t="inlineStr">
        <is>
          <t>2027-01-31</t>
        </is>
      </c>
      <c r="Q13" s="26" t="inlineStr">
        <is>
          <t>Raw Materials Warehouse Supervisor</t>
        </is>
      </c>
    </row>
    <row r="14" ht="135" customHeight="1">
      <c r="A14" s="23" t="inlineStr">
        <is>
          <t>RAW-03</t>
        </is>
      </c>
      <c r="B14" s="26" t="inlineStr">
        <is>
          <t>CLAMP TRUCK HANDLING ABUSE &amp; REEL BARREL DELAMINATION WASTE
• HQ Assumption: HQ assumes paper reels are handled by trained operators utilizing hydraulic clamp pressure regulators calibrated to reel weight and paper grade, preserving roll integrity until corrugator loading.
• Floor Reality: Clamp truck operators disable hydraulic clamp pressure limiters to lift reels faster without slippage, crushing roll ends and creating deep ovality ('egg-shaped' reels) that jam the corrugator unwind stands. Drivers drop reels vertically on concrete, cracking the outer 30-50mm of paper fiber ('butt damage'). Operators peel off 100 to 200 kg of good paper per roll before splicing to hide the gouges, booking it as 'mill transit damage' rather than internal handling scrap.</t>
        </is>
      </c>
      <c r="C14" s="28" t="inlineStr">
        <is>
          <t>High</t>
        </is>
      </c>
      <c r="D14" s="26" t="inlineStr">
        <is>
          <t>2. Asset Longevity</t>
        </is>
      </c>
      <c r="E14" s="26" t="inlineStr">
        <is>
          <t>1. Inspect all forklift clamp attachments for operational hydraulic pressure regulators, dual-pressure setting switches, and contact pad condition (rubber wear, exposed metal bolts).
2. Audit clamp truck maintenance work orders and pressure gauge calibration records for trailing 12 months.
3. Observe real-time unloading of minimum 5 paper reel trucks and 10 warehouse reel transfers; record instances of horizontal rolling, edge dropping, or heel striking.
4. Analyze corrugator reel preparation area: measure the depth of paper stripped off damaged rolls prior to mounting on roll stands across 20 consecutive reel changes.
5. Reconcile ERP scrap code 'Handling/Peel-Off Waste' against clamp truck telematics shock sensor/impact event logs.
6. Inspect uncoiling reels on corrugator unwind stands for out-of-round oscillation, brake squeal, and web flutter.</t>
        </is>
      </c>
      <c r="F14" s="37" t="inlineStr">
        <is>
          <t>Clamp truck telematics impact/shock sensor logs (G-force telemetry), Hydraulic clamp pressure gauge calibration records, Clamp contact pad maintenance logs, Corrugator Reel Stand unwinder tension telemetry, ERP Scrap Reason Code analysis (Peel-Off / Transit vs Handling).</t>
        </is>
      </c>
      <c r="G14" s="26" t="inlineStr">
        <is>
          <t>Physical inspection of 100% clamp truck fleet (all attachments/regulators); Unannounced observation of 20 reel changeovers at wet end; 100% scrap booking transaction analysis for trailing 6 months.</t>
        </is>
      </c>
      <c r="H14" s="23" t="inlineStr">
        <is>
          <t>WP-RAW-03</t>
        </is>
      </c>
      <c r="I14" s="26" t="inlineStr">
        <is>
          <t>Clamp trucks lack automated hydraulic pressure limiters. Drivers frequently operate at max hydraulic pressure to prevent roll slippage during rapid unloading, causing reel end ovality and 120-160 kg barrel delamination strip waste on 4 of 20 observed setups.</t>
        </is>
      </c>
      <c r="J14" s="39" t="inlineStr">
        <is>
          <t>Partially Effective</t>
        </is>
      </c>
      <c r="K14" s="38">
        <f>IF(C14="Critical", 10, IF(C14="High", 5, IF(C14="Medium", 3, 1)))</f>
        <v/>
      </c>
      <c r="L14" s="38">
        <f>IF(J14="Effective", K14*4, IF(J14="Partially Effective", K14*2, IF(J14="Ineffective", K14*1, 0)))</f>
        <v/>
      </c>
      <c r="M14" s="38">
        <f>IF(J14="N/A", 0, K14*4)</f>
        <v/>
      </c>
      <c r="N14" s="23">
        <f>IF(J14="Effective", "None", IF(J14="N/A", "None", IF(AND(C14="Critical", J14="Ineffective"), "Critical", IF(OR(AND(C14="Critical", J14="Partially Effective"), AND(C14="High", J14="Ineffective")), "High", IF(OR(AND(C14="High", J14="Partially Effective"), AND(C14="Medium", J14="Ineffective")), "Medium", "Low")))))</f>
        <v/>
      </c>
      <c r="O14" s="26" t="inlineStr">
        <is>
          <t>Retrofit all clamp truck attachments with 3-stage proportional hydraulic pressure regulation valves matched to paper reel diameter/grade. Retrain forklift drivers on roll-handling protocols.</t>
        </is>
      </c>
      <c r="P14" s="27" t="inlineStr">
        <is>
          <t>2027-01-15</t>
        </is>
      </c>
      <c r="Q14" s="26" t="inlineStr">
        <is>
          <t>Logistics &amp; Mobile Equipment Fleet Manager</t>
        </is>
      </c>
    </row>
    <row r="15" ht="135" customHeight="1">
      <c r="A15" s="23" t="inlineStr">
        <is>
          <t>RAW-04</t>
        </is>
      </c>
      <c r="B15" s="26" t="inlineStr">
        <is>
          <t>PAPER SUB-SPEC GRADE SUBSTITUTION &amp; GRAMMAGE (GSM) CHEATING
• HQ Assumption: HQ assumes the paper stock issued to the corrugator strictly complies with the Bill of Materials (BOM) flute-liner recipe (e.g., Kraftliner 175g, Fluting 125g, Testliner 150g).
• Floor Reality: When the warehouse runs out of specified virgin Kraftliner or heavy semi-chemical fluting, production supervisors secretly substitute cheaper recycled Testliner or lower-GSM paper without updating the production order BOM in ERP to keep line speeds high. Alternatively, suppliers deliver paper that is 5-10% below nominal GSM (e.g., 160 GSM delivered as 175 GSM). The plant produces boxes that fail customer BCT/ECT specs, leading to crushing during high-humidity pallet stacking at client warehouses.</t>
        </is>
      </c>
      <c r="C15" s="25" t="inlineStr">
        <is>
          <t>Critical</t>
        </is>
      </c>
      <c r="D15" s="26" t="inlineStr">
        <is>
          <t>5. Customer Bailee &amp; Spec Integrity</t>
        </is>
      </c>
      <c r="E15" s="26" t="inlineStr">
        <is>
          <t>1. Extract BOM specifications for the top 20 revenue-generating SKU corrugation run orders and identify nominal liner/medium GSM, burst strength, and paper grades.
2. Pull 50 sample paper swatches directly from corrugator unwind stands during active production runs across all flute combinations (A, B, C, E flutes).
3. Conduct conditioned laboratory testing per ISO 536 / TAPPI T410 for exact Grammage (GSM) after conditioning samples at 23°C and 50% RH for 24 hours.
4. Perform Mullen Burst Test (ISO 2759 / TAPPI T807) and Ring Crush Test / Short Span Compression Test (SCT, ISO 9895) on the sample swatches.
5. Compare lab test results against the supplier certificate of analysis (COA), ERP reel master data, and production order BOM.
6. Trace ERP inventory movements for forced manual batch substitutions (movement type 311/261) executed without QA engineering deviation approval.</t>
        </is>
      </c>
      <c r="F15" s="37" t="inlineStr">
        <is>
          <t>ERP Production Order BOM execution logs, Raw Material Batch Traceability tables, Lab GSM Scale (0.001g precision) data logs, Mullen Burst Tester digital readouts, Short Span Compression Tester (SCT) telemetry, Corrugator wet-end roll-tag barcode scans.</t>
        </is>
      </c>
      <c r="G15" s="26" t="inlineStr">
        <is>
          <t>50 physical paper sample extractions across 5 operating shifts; 100% audit of BOM vs actual batch issues for top 20 SKUs over trailing 90 days.</t>
        </is>
      </c>
      <c r="H15" s="23" t="inlineStr">
        <is>
          <t>WP-RAW-04</t>
        </is>
      </c>
      <c r="I15" s="26" t="inlineStr">
        <is>
          <t>Barcode roll-tags scanned at wet-end infeed. 25 sample batch rolls tested in QA lab: bone-dry conditioned GSM and Short Span Compression (SCT) matched technical data sheets and client BOM specs within +/-1.8%.</t>
        </is>
      </c>
      <c r="J15" s="40" t="inlineStr">
        <is>
          <t>Effective</t>
        </is>
      </c>
      <c r="K15" s="38">
        <f>IF(C15="Critical", 10, IF(C15="High", 5, IF(C15="Medium", 3, 1)))</f>
        <v/>
      </c>
      <c r="L15" s="38">
        <f>IF(J15="Effective", K15*4, IF(J15="Partially Effective", K15*2, IF(J15="Ineffective", K15*1, 0)))</f>
        <v/>
      </c>
      <c r="M15" s="38">
        <f>IF(J15="N/A", 0, K15*4)</f>
        <v/>
      </c>
      <c r="N15" s="23">
        <f>IF(J15="Effective", "None", IF(J15="N/A", "None", IF(AND(C15="Critical", J15="Ineffective"), "Critical", IF(OR(AND(C15="Critical", J15="Partially Effective"), AND(C15="High", J15="Ineffective")), "High", IF(OR(AND(C15="High", J15="Partially Effective"), AND(C15="Medium", J15="Ineffective")), "Medium", "Low")))))</f>
        <v/>
      </c>
      <c r="O15" s="26" t="inlineStr">
        <is>
          <t>Maintain automated barcode scanning interlock on roll stands to prevent unapproved paper grade splicing.</t>
        </is>
      </c>
      <c r="P15" s="27" t="inlineStr">
        <is>
          <t>2027-02-28</t>
        </is>
      </c>
      <c r="Q15" s="26" t="inlineStr">
        <is>
          <t>Quality Assurance Manager</t>
        </is>
      </c>
    </row>
    <row r="16" ht="135" customHeight="1">
      <c r="A16" s="23" t="inlineStr">
        <is>
          <t>RAW-05</t>
        </is>
      </c>
      <c r="B16" s="26" t="inlineStr">
        <is>
          <t>PAPER REEL YARD FIRE LOADING &amp; SPRINKLER CLEARANCE DEFICIENCIES
• HQ Assumption: HQ assumes reel stock storage adheres strictly to NFPA 13 guidelines for roll paper storage (maximum stack height, minimum 36-inch clearance beneath sprinkler heads, 8-foot flue space aisles).
• Floor Reality: To maximize covered storage capacity, warehouse supervisors stack reels 4 to 5 rolls high (reaching within 12 inches of sprinkler deflectors), bridging flue spaces and blocking wall hydrants. Clamp operators park reels across fire exit doors and in front of sprinkler control valves. In the event of a roll paper fire, intense vertical chimney drafts will overwhelm the sprinkler deluge system, leading to total warehouse destruction.</t>
        </is>
      </c>
      <c r="C16" s="25" t="inlineStr">
        <is>
          <t>Critical</t>
        </is>
      </c>
      <c r="D16" s="26" t="inlineStr">
        <is>
          <t>4. Catastrophic Continuity</t>
        </is>
      </c>
      <c r="E16" s="26" t="inlineStr">
        <is>
          <t>1. Measure physical vertical clearance between topmost paper rolls and automatic sprinkler deflectors across 100% of warehouse storage bays.
2. Audit horizontal flue spaces between double-row and multi-row roll stacks against NFPA 13 Roll Paper Storage design criteria (minimum 6-inch longitudinal flue spaces).
3. Inspect all wall-mounted fire hose reels, fire extinguishers, and sprinkler sectional control riser valves for unobstructed 36-inch clear access.
4. Review annual fire insurance risk engineering survey reports (e.g., FM Global, AXA XL) and test closure status of prior recommendation points.
5. Test operation of warehouse flame/smoke beam detectors and verify weekly diesel fire pump auto-start test logs.
6. Audit clamp truck electrical charging stations located in paper roll storage areas for thermal run-away protection and flammable clearance.</t>
        </is>
      </c>
      <c r="F16" s="37" t="inlineStr">
        <is>
          <t>Laser distance meter measurements of sprinkler clearances, Annual Insurance Risk Engineering Survey compliance matrices, Sprinkler riser water pressure gauges and tamper switch SCADA alarms, Fire pump controller weekly test logs, Fire alarm panel historical event logs.</t>
        </is>
      </c>
      <c r="G16" s="26" t="inlineStr">
        <is>
          <t>100% physical survey of all paper reel storage bays; Physical inspection of 100% fire risers, extinguishers, and hydrants in warehouse zones.</t>
        </is>
      </c>
      <c r="H16" s="23" t="inlineStr">
        <is>
          <t>WP-RAW-05</t>
        </is>
      </c>
      <c r="I16" s="26" t="inlineStr">
        <is>
          <t>Reel yard stacking maintained at maximum 4-high (under 5.5m) with certified 1.2m flue spacing. Laser measurement confirmed 42 inches clearance from highest roll top to sprinkler deflectors (NFPA 13 minimum 36 in). Fire risers unobstructed.</t>
        </is>
      </c>
      <c r="J16" s="40" t="inlineStr">
        <is>
          <t>Effective</t>
        </is>
      </c>
      <c r="K16" s="38">
        <f>IF(C16="Critical", 10, IF(C16="High", 5, IF(C16="Medium", 3, 1)))</f>
        <v/>
      </c>
      <c r="L16" s="38">
        <f>IF(J16="Effective", K16*4, IF(J16="Partially Effective", K16*2, IF(J16="Ineffective", K16*1, 0)))</f>
        <v/>
      </c>
      <c r="M16" s="38">
        <f>IF(J16="N/A", 0, K16*4)</f>
        <v/>
      </c>
      <c r="N16" s="23">
        <f>IF(J16="Effective", "None", IF(J16="N/A", "None", IF(AND(C16="Critical", J16="Ineffective"), "Critical", IF(OR(AND(C16="Critical", J16="Partially Effective"), AND(C16="High", J16="Ineffective")), "High", IF(OR(AND(C16="High", J16="Partially Effective"), AND(C16="Medium", J16="Ineffective")), "Medium", "Low")))))</f>
        <v/>
      </c>
      <c r="O16" s="26" t="inlineStr">
        <is>
          <t>Continue weekly HSE laser inspection of yard roll stacking heights and maintain yellow floor demarcations.</t>
        </is>
      </c>
      <c r="P16" s="27" t="inlineStr">
        <is>
          <t>Ongoing</t>
        </is>
      </c>
      <c r="Q16" s="26" t="inlineStr">
        <is>
          <t>Plant HSE Manager</t>
        </is>
      </c>
    </row>
    <row r="17" ht="24" customHeight="1">
      <c r="A17" s="19" t="inlineStr">
        <is>
          <t>TOTAL DOMAIN POINTS &amp; SUMMARY: RAW MATERIAL MANAGEMENT &amp; PAPER REEL LOGISTICS</t>
        </is>
      </c>
      <c r="B17" s="19" t="n"/>
      <c r="C17" s="19" t="n"/>
      <c r="D17" s="19" t="n"/>
      <c r="E17" s="19" t="n"/>
      <c r="F17" s="19" t="n"/>
      <c r="G17" s="19" t="n"/>
      <c r="H17" s="19" t="n"/>
      <c r="I17" s="19" t="n"/>
      <c r="J17" s="19" t="n"/>
      <c r="K17" s="20">
        <f>SUM(K12:K16)</f>
        <v/>
      </c>
      <c r="L17" s="20">
        <f>SUM(L12:L16)</f>
        <v/>
      </c>
      <c r="M17" s="20">
        <f>SUM(M12:M16)</f>
        <v/>
      </c>
      <c r="N17" s="22">
        <f>IF(M17&gt;0, TEXT(L17/M17, "0.0%") &amp; " - " &amp; IF(COUNTIF(N12:N16, "Critical")&gt;0, "Critical Failure", IF(L17/M17&gt;=0.85, "Substantial", IF(L17/M17&gt;=0.70, "Satisfactory", "Unsatisfactory"))), "N/A")</f>
        <v/>
      </c>
      <c r="O17" s="22" t="n"/>
      <c r="P17" s="22" t="n"/>
      <c r="Q17" s="22" t="n"/>
    </row>
  </sheetData>
  <mergeCells count="8">
    <mergeCell ref="J7:L7"/>
    <mergeCell ref="B5:J5"/>
    <mergeCell ref="A7:B7"/>
    <mergeCell ref="A3:Q3"/>
    <mergeCell ref="A17:J17"/>
    <mergeCell ref="N17:Q17"/>
    <mergeCell ref="A2:Q2"/>
    <mergeCell ref="M5:Q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Q17"/>
  <sheetViews>
    <sheetView showGridLines="1" workbookViewId="0">
      <selection activeCell="A1" sqref="A1"/>
    </sheetView>
  </sheetViews>
  <sheetFormatPr baseColWidth="8" defaultRowHeight="15"/>
  <cols>
    <col width="10" customWidth="1" min="1" max="1"/>
    <col width="38" customWidth="1" min="2" max="2"/>
    <col width="13" customWidth="1" min="3" max="3"/>
    <col width="24" customWidth="1" min="4" max="4"/>
    <col width="42" customWidth="1" min="5" max="5"/>
    <col width="32" customWidth="1" min="6" max="6"/>
    <col width="22" customWidth="1" min="7" max="7"/>
    <col width="12" customWidth="1" min="8" max="8"/>
    <col width="42" customWidth="1" min="9" max="9"/>
    <col width="20" customWidth="1" min="10" max="10"/>
    <col width="12" customWidth="1" min="11" max="11"/>
    <col width="12" customWidth="1" min="12" max="12"/>
    <col width="12" customWidth="1" min="13" max="13"/>
    <col width="15" customWidth="1" min="14" max="14"/>
    <col width="40" customWidth="1" min="15" max="15"/>
    <col width="13" customWidth="1" min="16" max="16"/>
    <col width="24" customWidth="1" min="17" max="17"/>
  </cols>
  <sheetData>
    <row r="2" ht="28" customHeight="1">
      <c r="A2" s="1" t="inlineStr">
        <is>
          <t>PLANT AUDIT PROGRAM: CORRUGATOR WET END &amp; DRY END OPERATIONS</t>
        </is>
      </c>
    </row>
    <row r="3" ht="18" customHeight="1">
      <c r="A3" s="2" t="inlineStr">
        <is>
          <t>Facility: Al-Quoz Industrial Packaging Plant #4 (DIC) | Sector: Secondary Corrugated Packaging | Domain Code: COR | Working Paper: WP-COR-00</t>
        </is>
      </c>
    </row>
    <row r="5">
      <c r="A5" s="3" t="inlineStr">
        <is>
          <t>Domain Scope:</t>
        </is>
      </c>
      <c r="B5" s="4" t="inlineStr">
        <is>
          <t>Wet-end roll stands, automatic splicers, corrugating roll flute profiling, starch adhesive gelatinization and consumption rates, bridge synchronization, slitter-scorer accuracy, warp control, and cut-off knife accuracy.</t>
        </is>
      </c>
      <c r="L5" s="3" t="inlineStr">
        <is>
          <t>Lead Specialty:</t>
        </is>
      </c>
      <c r="M5" s="4" t="inlineStr">
        <is>
          <t>Heavy Process &amp; Thermal Energy Corrugation Specialist</t>
        </is>
      </c>
    </row>
    <row r="7">
      <c r="A7" s="31" t="inlineStr">
        <is>
          <t>DOMAIN PERFORMANCE ROLLUP</t>
        </is>
      </c>
      <c r="C7" s="32">
        <f>SUM(M12:M16)</f>
        <v/>
      </c>
      <c r="D7" s="32">
        <f>SUM(L12:L16)</f>
        <v/>
      </c>
      <c r="E7" s="33">
        <f>IF(C7&gt;0, D7/C7, 0)</f>
        <v/>
      </c>
      <c r="F7" s="34">
        <f>COUNTIF(N12:N16, "Critical")</f>
        <v/>
      </c>
      <c r="G7" s="34">
        <f>COUNTIF(N12:N16, "High")</f>
        <v/>
      </c>
      <c r="H7" s="34">
        <f>COUNTIF(N12:N16, "Medium")</f>
        <v/>
      </c>
      <c r="I7" s="34">
        <f>COUNTIF(N12:N16, "Low")</f>
        <v/>
      </c>
      <c r="J7" s="35">
        <f>IF(F7&gt;0, "Critical Failure", IF(E7&gt;=0.85, "Substantial", IF(E7&gt;=0.70, "Satisfactory", IF(E7&gt;=0.55, "Limited", "Unsatisfactory"))))</f>
        <v/>
      </c>
    </row>
    <row r="11" ht="26" customHeight="1">
      <c r="A11" s="36" t="inlineStr">
        <is>
          <t>Ref ID</t>
        </is>
      </c>
      <c r="B11" s="36" t="inlineStr">
        <is>
          <t>Risk Title &amp; Trench Reality (Parallax View)</t>
        </is>
      </c>
      <c r="C11" s="36" t="inlineStr">
        <is>
          <t>Inherent Risk</t>
        </is>
      </c>
      <c r="D11" s="36" t="inlineStr">
        <is>
          <t>Assigned Assurance Pillar</t>
        </is>
      </c>
      <c r="E11" s="36" t="inlineStr">
        <is>
          <t>Specific Audit Test Procedure</t>
        </is>
      </c>
      <c r="F11" s="36" t="inlineStr">
        <is>
          <t>Telemetry &amp; Evidence Sources</t>
        </is>
      </c>
      <c r="G11" s="36" t="inlineStr">
        <is>
          <t>Sample Population &amp; Scope</t>
        </is>
      </c>
      <c r="H11" s="36" t="inlineStr">
        <is>
          <t>WP Ref</t>
        </is>
      </c>
      <c r="I11" s="36" t="inlineStr">
        <is>
          <t>Auditor Field Observations &amp; Testing Notes</t>
        </is>
      </c>
      <c r="J11" s="36" t="inlineStr">
        <is>
          <t>Control Status</t>
        </is>
      </c>
      <c r="K11" s="36" t="inlineStr">
        <is>
          <t>Risk Weight</t>
        </is>
      </c>
      <c r="L11" s="36" t="inlineStr">
        <is>
          <t>Earned Pts</t>
        </is>
      </c>
      <c r="M11" s="36" t="inlineStr">
        <is>
          <t>Max Pts</t>
        </is>
      </c>
      <c r="N11" s="36" t="inlineStr">
        <is>
          <t>Finding Severity</t>
        </is>
      </c>
      <c r="O11" s="36" t="inlineStr">
        <is>
          <t>Management Action Plan &amp; Remediation</t>
        </is>
      </c>
      <c r="P11" s="36" t="inlineStr">
        <is>
          <t>Target Date</t>
        </is>
      </c>
      <c r="Q11" s="36" t="inlineStr">
        <is>
          <t>Action Owner</t>
        </is>
      </c>
    </row>
    <row r="12" ht="135" customHeight="1">
      <c r="A12" s="23" t="inlineStr">
        <is>
          <t>COR-01</t>
        </is>
      </c>
      <c r="B12" s="26" t="inlineStr">
        <is>
          <t>BUTT-ROLL INVENTORY PHANTOM WRITE-OFFS &amp; SPLICER WASTE SKIMMING
• HQ Assumption: HQ assumes paper reels returned from the corrugator unwind stands (butt rolls) with residual paper are accurately weighed, barcoded with remaining weight, and returned to ERP inventory.
• Floor Reality: Splicer operators do not bother weighing butt rolls when changing reels. They enter estimated remaining meters into the terminal or mark them as zero, writing off 150-300 meters of prime paper (50-100 kg) per reel change as 'splicer scrap'. These butt rolls are either dumped into the scrap baler to inflate waste figures or rolled out the back door to unauthorized small converting workshops for cash.</t>
        </is>
      </c>
      <c r="C12" s="28" t="inlineStr">
        <is>
          <t>High</t>
        </is>
      </c>
      <c r="D12" s="26" t="inlineStr">
        <is>
          <t>3. Mass Balance &amp; Anti-Theft</t>
        </is>
      </c>
      <c r="E12" s="26" t="inlineStr">
        <is>
          <t>1. Extract corrugator PLC splicer event logs for 1,000 consecutive reel splices: compare splice diameter sensor reading against reported butt-roll weight returned to ERP.
2. Audit the butt-roll return staging area: physically weigh 30 returned butt rolls on calibrated scale and compare against the printed reprint barcode tag.
3. Calculate the delta between PLC calculated residual paper length: $L = \pi \times (D_{butt}^2 - D_{core}^2) / (4 \times \text{caliper})$ and ERP recorded weight.
4. Trace ERP inventory movement type 551 (scrap write-offs) generated at the corrugator wet end over trailing 6 months.
5. Reconcile corrugator waste conveyor cameras against scrap baling records during shift changes.</t>
        </is>
      </c>
      <c r="F12" s="37" t="inlineStr">
        <is>
          <t>Corrugator Splicer PLC laser diameter telemetry, Unwind stand core brake tachometer data, ERP Goods Movement tables (MSEG/AFRU), Butt-roll scale digital memory, Splicer CCTV overhead cameras.</t>
        </is>
      </c>
      <c r="G12" s="26" t="inlineStr">
        <is>
          <t>100% automated reconciliation of 1,000 splicer event logs vs ERP transactions; Physical scale verification of 30 active butt rolls in staging area.</t>
        </is>
      </c>
      <c r="H12" s="23" t="inlineStr">
        <is>
          <t>WP-COR-01</t>
        </is>
      </c>
      <c r="I12" s="26" t="inlineStr">
        <is>
          <t>Butt-roll core remnant paper manually logged by operators instead of automated laser diameter encoder backflush. Spot check of 15 demounted rolls showed an average of 45 kg prime paper left on cores booked as standard splicer waste.</t>
        </is>
      </c>
      <c r="J12" s="39" t="inlineStr">
        <is>
          <t>Partially Effective</t>
        </is>
      </c>
      <c r="K12" s="38">
        <f>IF(C12="Critical", 10, IF(C12="High", 5, IF(C12="Medium", 3, 1)))</f>
        <v/>
      </c>
      <c r="L12" s="38">
        <f>IF(J12="Effective", K12*4, IF(J12="Partially Effective", K12*2, IF(J12="Ineffective", K12*1, 0)))</f>
        <v/>
      </c>
      <c r="M12" s="38">
        <f>IF(J12="N/A", 0, K12*4)</f>
        <v/>
      </c>
      <c r="N12" s="23">
        <f>IF(J12="Effective", "None", IF(J12="N/A", "None", IF(AND(C12="Critical", J12="Ineffective"), "Critical", IF(OR(AND(C12="Critical", J12="Partially Effective"), AND(C12="High", J12="Ineffective")), "High", IF(OR(AND(C12="High", J12="Partially Effective"), AND(C12="Medium", J12="Ineffective")), "Medium", "Low")))))</f>
        <v/>
      </c>
      <c r="O12" s="26" t="inlineStr">
        <is>
          <t>Commission automated ultrasonic roll diameter sensors on all splicer arms linked to corrugator PLC to automate butt-roll inventory credit before demounting.</t>
        </is>
      </c>
      <c r="P12" s="27" t="inlineStr">
        <is>
          <t>2027-01-31</t>
        </is>
      </c>
      <c r="Q12" s="26" t="inlineStr">
        <is>
          <t>Corrugator Production Superintendent</t>
        </is>
      </c>
    </row>
    <row r="13" ht="135" customHeight="1">
      <c r="A13" s="23" t="inlineStr">
        <is>
          <t>COR-02</t>
        </is>
      </c>
      <c r="B13" s="26" t="inlineStr">
        <is>
          <t>CORRUGATING FLUTE CALIPER EROSION &amp; WORN ROLL RUNNING
• HQ Assumption: HQ assumes corrugating rolls maintain correct flute profile height (e.g., Flute B = 2.5mm, Flute C = 3.6mm) and are replaced at manufacturer-specified running linear meter thresholds.
• Floor Reality: Due to CapEx constraints and pressure to meet output targets, maintenance runs tungsten carbide corrugating rolls millions of linear meters past their wear limits. Middle sections of rolls erode from abrasive recycled paper, creating a 'crowned' wear pattern where the center flute height is 15-25% lower than edges. To prevent liner blistering in the center, operators crank up nip pressure and steam heat, crushing paper fibers and manufacturing sub-caliper board that fails customer ECT specs.</t>
        </is>
      </c>
      <c r="C13" s="25" t="inlineStr">
        <is>
          <t>Critical</t>
        </is>
      </c>
      <c r="D13" s="26" t="inlineStr">
        <is>
          <t>2. Asset Longevity</t>
        </is>
      </c>
      <c r="E13" s="26" t="inlineStr">
        <is>
          <t>1. Inspect corrugating roll maintenance master logs: extract total accumulated linear meters and running hours for all active single-facer roll cassettes (A, B, C, E flutes).
2. Audit optical/laser corrugating roll profile wear measurement reports performed during roll maintenance shutdowns.
3. Review hydraulic/pneumatic corrugating roll nip loading pressure logs across single-facers over the trailing 90 days.
4. Take 30 caliper micrometer readings (ISO 3034 / TAPPI T411) across the full width of corrugated sheets (drive side, center, operator side) during active production runs.
5. Conduct Edge Crush Resistance testing (ECT per ISO 3037 / TAPPI T811) on samples cut from the center vs edges of the corrugated web.
6. Inspect single-facer labyrinth steam seals and bearing vibration analysis spectra for 1X/2X rotational frequency anomalies indicative of roll eccentricity.</t>
        </is>
      </c>
      <c r="F13" s="37" t="inlineStr">
        <is>
          <t>Corrugator SCADA run-meter telemetry, Single-facer nip cylinder pressure transducer logs, Roll profile laser measurement reports, Quality Lab Digital Micrometer logs, Single-facer drive motor vibration spectra (FFT analysis), Board ECT test database.</t>
        </is>
      </c>
      <c r="G13" s="26" t="inlineStr">
        <is>
          <t>100% operational history audit of all active single-facer cassettes; 30 physical cross-web caliper profile micrometer audits during live runs.</t>
        </is>
      </c>
      <c r="H13" s="23" t="inlineStr">
        <is>
          <t>WP-COR-02</t>
        </is>
      </c>
      <c r="I13" s="26" t="inlineStr">
        <is>
          <t>B-Flute and C-Flute corrugating rolls running at 14.2M and 18.1M linear meters against 45M OEM life. Optical profilometer inspection verified flute height at 2.65mm (nominal 2.70mm) and uniform tungsten carbide coating.</t>
        </is>
      </c>
      <c r="J13" s="40" t="inlineStr">
        <is>
          <t>Effective</t>
        </is>
      </c>
      <c r="K13" s="38">
        <f>IF(C13="Critical", 10, IF(C13="High", 5, IF(C13="Medium", 3, 1)))</f>
        <v/>
      </c>
      <c r="L13" s="38">
        <f>IF(J13="Effective", K13*4, IF(J13="Partially Effective", K13*2, IF(J13="Ineffective", K13*1, 0)))</f>
        <v/>
      </c>
      <c r="M13" s="38">
        <f>IF(J13="N/A", 0, K13*4)</f>
        <v/>
      </c>
      <c r="N13" s="23">
        <f>IF(J13="Effective", "None", IF(J13="N/A", "None", IF(AND(C13="Critical", J13="Ineffective"), "Critical", IF(OR(AND(C13="Critical", J13="Partially Effective"), AND(C13="High", J13="Ineffective")), "High", IF(OR(AND(C13="High", J13="Partially Effective"), AND(C13="Medium", J13="Ineffective")), "Medium", "Low")))))</f>
        <v/>
      </c>
      <c r="O13" s="26" t="inlineStr">
        <is>
          <t>Maintain 5-million-meter profilometer wear audits and quarterly ultrasonic thickness testing.</t>
        </is>
      </c>
      <c r="P13" s="27" t="inlineStr">
        <is>
          <t>Ongoing</t>
        </is>
      </c>
      <c r="Q13" s="26" t="inlineStr">
        <is>
          <t>Plant Reliability Engineer</t>
        </is>
      </c>
    </row>
    <row r="14" ht="135" customHeight="1">
      <c r="A14" s="23" t="inlineStr">
        <is>
          <t>COR-03</t>
        </is>
      </c>
      <c r="B14" s="26" t="inlineStr">
        <is>
          <t>STARCH ADHESIVE SOLID SOLIDS DILUTION &amp; EXCESSIVE APPLICATION GRAMMAGE
• HQ Assumption: HQ assumes the automated starch kitchen prepares adhesive at strictly controlled Stein-Hall viscosity (35-45 seconds) and solids content (22-25%), applying a standard 3.5 to 5.0 g/m² dry starch film to sheet flutes.
• Floor Reality: Starch kitchen operators add excess fresh water or dilute batches with flexo wash-water to stretch raw starch inventory and compensate for uncalibrated batch scales. At the corrugator glue applicator, operators widen doctor roll gaps to soak poorly-heated paper, running starch application rates at 8.0-12.0 g/m². The excess water causes massive sheet warping, damp board, and soft corrugated boxes, while silently inflating starch chemical consumption costs by 40-70% above standard BOM.</t>
        </is>
      </c>
      <c r="C14" s="28" t="inlineStr">
        <is>
          <t>High</t>
        </is>
      </c>
      <c r="D14" s="26" t="inlineStr">
        <is>
          <t>1. Margin Truthfulness</t>
        </is>
      </c>
      <c r="E14" s="26" t="inlineStr">
        <is>
          <t>1. Extract starch kitchen automated batching PLC logs for the past 60 days: analyze ratio of native corn/wheat starch, caustic soda, borax, and water.
2. Audit daily QA starch viscosity logs (Love Cup / Zahn Cup test) and temperature telemetry; perform an unannounced live viscosity and gelatinization temperature test on active circulation tanks.
3. Pull doctor roll gap PLC position telemetry from Single-Facers and Double-Backer glue units; compare actual gap settings (mm) against standard operating procedure (SOP) recipes by paper grade.
4. Calculate starch dry solids consumption mass balance: compare total raw starch bags/silo consumption (ERP) against total produced corrugated square meters ($g/m^2$ dry starch).
5. Perform iodine staining test on board cross-sections from 20 production orders to visually assess starch glue line width, penetration depth, and applicator squeeze-out.
6. Inspect double-backer hot plate steam telemetry: verify steam temperature profile ($170-185^\circ\text{C}$) to confirm complete starch gelatinization.</t>
        </is>
      </c>
      <c r="F14" s="37" t="inlineStr">
        <is>
          <t>Starch Kitchen PLC batch formulation logs, Glue unit doctor roll servo-motor gap encoder telemetry, Corrugator line speed vs glue unit speed sync ratios, Lab Viscosity Cup test logs, ERP raw starch inventory consumption vs corrugator square-meter output.</t>
        </is>
      </c>
      <c r="G14" s="26" t="inlineStr">
        <is>
          <t>100% starch batch PLC recipe analysis for 60 days; Physical starch mass balance reconciliation for 6 months; 20 physical board iodine stain inspections.</t>
        </is>
      </c>
      <c r="H14" s="23" t="inlineStr">
        <is>
          <t>WP-COR-03</t>
        </is>
      </c>
      <c r="I14" s="26" t="inlineStr">
        <is>
          <t>Starch kitchen viscosity and gel temperature within spec (32s / 67°C). However, dry-film starch application rate was running at 5.8 g/m² vs standard BOM of 4.2 g/m² due to manually adjusted doctor roll gaps on Single Facer #2.</t>
        </is>
      </c>
      <c r="J14" s="39" t="inlineStr">
        <is>
          <t>Partially Effective</t>
        </is>
      </c>
      <c r="K14" s="38">
        <f>IF(C14="Critical", 10, IF(C14="High", 5, IF(C14="Medium", 3, 1)))</f>
        <v/>
      </c>
      <c r="L14" s="38">
        <f>IF(J14="Effective", K14*4, IF(J14="Partially Effective", K14*2, IF(J14="Ineffective", K14*1, 0)))</f>
        <v/>
      </c>
      <c r="M14" s="38">
        <f>IF(J14="N/A", 0, K14*4)</f>
        <v/>
      </c>
      <c r="N14" s="23">
        <f>IF(J14="Effective", "None", IF(J14="N/A", "None", IF(AND(C14="Critical", J14="Ineffective"), "Critical", IF(OR(AND(C14="Critical", J14="Partially Effective"), AND(C14="High", J14="Ineffective")), "High", IF(OR(AND(C14="High", J14="Partially Effective"), AND(C14="Medium", J14="Ineffective")), "Medium", "Low")))))</f>
        <v/>
      </c>
      <c r="O14" s="26" t="inlineStr">
        <is>
          <t>Lock doctor roll gap servo-controllers to automated line-speed synchronization curves; remove manual gap override keys from operator control consoles.</t>
        </is>
      </c>
      <c r="P14" s="27" t="inlineStr">
        <is>
          <t>2026-12-31</t>
        </is>
      </c>
      <c r="Q14" s="26" t="inlineStr">
        <is>
          <t>Process Engineering Lead</t>
        </is>
      </c>
    </row>
    <row r="15" ht="135" customHeight="1">
      <c r="A15" s="23" t="inlineStr">
        <is>
          <t>COR-04</t>
        </is>
      </c>
      <c r="B15" s="26" t="inlineStr">
        <is>
          <t>SEVERE CORRUGATOR WARP &amp; IN-LINE WATER SHOWER SUPPRESSION ABUSE
• HQ Assumption: HQ assumes corrugator temperature, wrap-arm angles, and web tension are harmonized to produce flat corrugated sheets complying with FEFCO warp standards (&lt;1.5% deflection).
• Floor Reality: Because preheaters have dirty internal condensate siphon pipes and operators fail to balance paper liner moisture, sheets suffer extreme up-warp or down-warp that jams converting feeder hoppers. Instead of diagnosing tension or temperature balance, operators turn on manual water spray bars on the corrugator bridge, flooding the top liner with water. This temporarily flattens the board for stacking, but causes severe washboarding, liner delamination, mold growth in transit, and erratic carton foldability.</t>
        </is>
      </c>
      <c r="C15" s="28" t="inlineStr">
        <is>
          <t>High</t>
        </is>
      </c>
      <c r="D15" s="26" t="inlineStr">
        <is>
          <t>5. Customer Bailee &amp; Spec Integrity</t>
        </is>
      </c>
      <c r="E15" s="26" t="inlineStr">
        <is>
          <t>1. Inspect preheater drum wrap-arm drive motors and angle position feedback sensors (SCADA) across single-facers and double-facer triple-preheaters.
2. Audit bridge moisture shower / steam shower operation logs and manual override valves; verify whether bridge water showers are running continuously during standard operations.
3. Conduct physical warp measurements on 30 freshly stacked pallets at the corrugator downstacker using standard FEFCO deflection gauges.
4. Audit sheet stack moisture using non-contact infrared moisture scanners across the sheet width at the take-off conveyor.
5. Reconcile converting department downtime logs: extract feeder jam events caused by warped board and trace back to specific corrugator shift production runs.
6. Inspect steam siphon differential pressure gauges on preheater drums to verify continuous condensate evacuation.</t>
        </is>
      </c>
      <c r="F15" s="37" t="inlineStr">
        <is>
          <t>Corrugator SCADA wrap-arm angle logs, Bridge water spray solenoid valve telemetry, Downstacker exit Infrared Moisture Camera logs, Converting machine jam fault logs, Preheater condensate return temperature sensors.</t>
        </is>
      </c>
      <c r="G15" s="26" t="inlineStr">
        <is>
          <t>Physical warp measurement of 30 freshly palletized loads across 3 shifts; 100% correlation analysis of converting jam downtime vs corrugator bridge spray valve activations over 30 days.</t>
        </is>
      </c>
      <c r="H15" s="23" t="inlineStr">
        <is>
          <t>WP-COR-04</t>
        </is>
      </c>
      <c r="I15" s="26" t="inlineStr">
        <is>
          <t>Thermal wrap-arm controls operating under automated infrared moisture feedback. Downstacker infrared moisture telemetry showed consistent 7.2% to 7.8% cross-web profile. Bridge water showers remained isolated during all 5 observed shifts.</t>
        </is>
      </c>
      <c r="J15" s="40" t="inlineStr">
        <is>
          <t>Effective</t>
        </is>
      </c>
      <c r="K15" s="38">
        <f>IF(C15="Critical", 10, IF(C15="High", 5, IF(C15="Medium", 3, 1)))</f>
        <v/>
      </c>
      <c r="L15" s="38">
        <f>IF(J15="Effective", K15*4, IF(J15="Partially Effective", K15*2, IF(J15="Ineffective", K15*1, 0)))</f>
        <v/>
      </c>
      <c r="M15" s="38">
        <f>IF(J15="N/A", 0, K15*4)</f>
        <v/>
      </c>
      <c r="N15" s="23">
        <f>IF(J15="Effective", "None", IF(J15="N/A", "None", IF(AND(C15="Critical", J15="Ineffective"), "Critical", IF(OR(AND(C15="Critical", J15="Partially Effective"), AND(C15="High", J15="Ineffective")), "High", IF(OR(AND(C15="High", J15="Partially Effective"), AND(C15="Medium", J15="Ineffective")), "Medium", "Low")))))</f>
        <v/>
      </c>
      <c r="O15" s="26" t="inlineStr">
        <is>
          <t>Maintain automated wrap-arm PID loop calibration and continue weekly IR camera cross-check.</t>
        </is>
      </c>
      <c r="P15" s="27" t="inlineStr">
        <is>
          <t>2027-03-31</t>
        </is>
      </c>
      <c r="Q15" s="26" t="inlineStr">
        <is>
          <t>Quality Assurance Lead</t>
        </is>
      </c>
    </row>
    <row r="16" ht="135" customHeight="1">
      <c r="A16" s="23" t="inlineStr">
        <is>
          <t>COR-05</t>
        </is>
      </c>
      <c r="B16" s="26" t="inlineStr">
        <is>
          <t>CORRUGATOR STEAM SYSTEM SIPHON BLOWBY &amp; ROTARY JOINT THERMAL STRESS
• HQ Assumption: HQ assumes corrugating steam chests, rolls, and preheater drums operate at optimal thermal efficiency (160-185°C) with functional rotary joints and internal siphon clearance (1-2mm from drum shell) maintaining dry steam contact.
• Floor Reality: Broken or bent internal siphon pipes allow condensate to pool inside spinning corrugating rolls ('condensate flooding'). This creates severe temperature drops of 30-50°C across the roll face, inducing heavy thermal distortion and mechanical stress on roll journals. Maintenance operators bypass faulty steam traps, dumping live 12-bar steam directly into condensate return lines to clear waterlogging, driving boiler fuel consumption up by 25% while operating rolls in dangerous thermal imbalance.</t>
        </is>
      </c>
      <c r="C16" s="25" t="inlineStr">
        <is>
          <t>Critical</t>
        </is>
      </c>
      <c r="D16" s="26" t="inlineStr">
        <is>
          <t>4. Catastrophic Continuity</t>
        </is>
      </c>
      <c r="E16" s="26" t="inlineStr">
        <is>
          <t>1. Perform live thermographic (FLIR infrared) scanning across all spinning corrugating rolls, pressure rolls, and preheater drums during active production; log surface temperature delta between drive side, center, and operator side.
2. Audit acoustic ultrasonic test logs on all corrugator steam traps to detect live steam blow-through or mechanical blockage.
3. Inspect internal siphon pipe gap inspection records from previous roll changeover maintenance logs.
4. Review steam pressure and temperature telemetry at the corrugator main steam header and condensate return manifold.
5. Inspect flexible metal steam hoses and rotary joints on roll journals for signs of angular misalignment, steam weeping, or missing safety retention cables.
6. Reconcile corrugator natural gas / heavy fuel oil (HFO) consumption per ton of paper processed against industry benchmark (0.8 - 1.2 GJ/ton).</t>
        </is>
      </c>
      <c r="F16" s="37" t="inlineStr">
        <is>
          <t>Calibrated FLIR Infrared Thermal Images, Ultrasonic Steam Trap Tester logfiles, SCADA Steam Pressure (bar) and Temperature (°C) continuous historians, Boiler Fuel Consumption vs Paper Tonnage telemetry, Rotary joint maintenance records.</t>
        </is>
      </c>
      <c r="G16" s="26" t="inlineStr">
        <is>
          <t>100% thermographic scan of all active single-facer and preheater rotating cylinders; 100% ultrasonic testing of all corrugator steam traps (approx. 25-40 traps).</t>
        </is>
      </c>
      <c r="H16" s="23" t="inlineStr">
        <is>
          <t>WP-COR-05</t>
        </is>
      </c>
      <c r="I16" s="26" t="inlineStr">
        <is>
          <t>FLIR thermal imaging of 36 steam-heated cylinders (preheaters and corrugating rolls) showed uniform surface temperatures (174-178°C). Ultrasonic steam trap testing showed 2 blowing traps out of 42 (4.7% failure rate, well within 5% industry threshold).</t>
        </is>
      </c>
      <c r="J16" s="40" t="inlineStr">
        <is>
          <t>Effective</t>
        </is>
      </c>
      <c r="K16" s="38">
        <f>IF(C16="Critical", 10, IF(C16="High", 5, IF(C16="Medium", 3, 1)))</f>
        <v/>
      </c>
      <c r="L16" s="38">
        <f>IF(J16="Effective", K16*4, IF(J16="Partially Effective", K16*2, IF(J16="Ineffective", K16*1, 0)))</f>
        <v/>
      </c>
      <c r="M16" s="38">
        <f>IF(J16="N/A", 0, K16*4)</f>
        <v/>
      </c>
      <c r="N16" s="23">
        <f>IF(J16="Effective", "None", IF(J16="N/A", "None", IF(AND(C16="Critical", J16="Ineffective"), "Critical", IF(OR(AND(C16="Critical", J16="Partially Effective"), AND(C16="High", J16="Ineffective")), "High", IF(OR(AND(C16="High", J16="Partially Effective"), AND(C16="Medium", J16="Ineffective")), "Medium", "Low")))))</f>
        <v/>
      </c>
      <c r="O16" s="26" t="inlineStr">
        <is>
          <t>Replace the 2 defective thermodynamic steam traps during next scheduled weekend maintenance window.</t>
        </is>
      </c>
      <c r="P16" s="27" t="inlineStr">
        <is>
          <t>2026-11-20</t>
        </is>
      </c>
      <c r="Q16" s="26" t="inlineStr">
        <is>
          <t>Boiler &amp; Utilities Supervisor</t>
        </is>
      </c>
    </row>
    <row r="17" ht="24" customHeight="1">
      <c r="A17" s="19" t="inlineStr">
        <is>
          <t>TOTAL DOMAIN POINTS &amp; SUMMARY: CORRUGATOR WET END &amp; DRY END OPERATIONS</t>
        </is>
      </c>
      <c r="B17" s="19" t="n"/>
      <c r="C17" s="19" t="n"/>
      <c r="D17" s="19" t="n"/>
      <c r="E17" s="19" t="n"/>
      <c r="F17" s="19" t="n"/>
      <c r="G17" s="19" t="n"/>
      <c r="H17" s="19" t="n"/>
      <c r="I17" s="19" t="n"/>
      <c r="J17" s="19" t="n"/>
      <c r="K17" s="20">
        <f>SUM(K12:K16)</f>
        <v/>
      </c>
      <c r="L17" s="20">
        <f>SUM(L12:L16)</f>
        <v/>
      </c>
      <c r="M17" s="20">
        <f>SUM(M12:M16)</f>
        <v/>
      </c>
      <c r="N17" s="22">
        <f>IF(M17&gt;0, TEXT(L17/M17, "0.0%") &amp; " - " &amp; IF(COUNTIF(N12:N16, "Critical")&gt;0, "Critical Failure", IF(L17/M17&gt;=0.85, "Substantial", IF(L17/M17&gt;=0.70, "Satisfactory", "Unsatisfactory"))), "N/A")</f>
        <v/>
      </c>
      <c r="O17" s="22" t="n"/>
      <c r="P17" s="22" t="n"/>
      <c r="Q17" s="22" t="n"/>
    </row>
  </sheetData>
  <mergeCells count="8">
    <mergeCell ref="J7:L7"/>
    <mergeCell ref="B5:J5"/>
    <mergeCell ref="A7:B7"/>
    <mergeCell ref="A3:Q3"/>
    <mergeCell ref="A17:J17"/>
    <mergeCell ref="N17:Q17"/>
    <mergeCell ref="A2:Q2"/>
    <mergeCell ref="M5:Q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Q17"/>
  <sheetViews>
    <sheetView showGridLines="1" workbookViewId="0">
      <selection activeCell="A1" sqref="A1"/>
    </sheetView>
  </sheetViews>
  <sheetFormatPr baseColWidth="8" defaultRowHeight="15"/>
  <cols>
    <col width="10" customWidth="1" min="1" max="1"/>
    <col width="38" customWidth="1" min="2" max="2"/>
    <col width="13" customWidth="1" min="3" max="3"/>
    <col width="24" customWidth="1" min="4" max="4"/>
    <col width="42" customWidth="1" min="5" max="5"/>
    <col width="32" customWidth="1" min="6" max="6"/>
    <col width="22" customWidth="1" min="7" max="7"/>
    <col width="12" customWidth="1" min="8" max="8"/>
    <col width="42" customWidth="1" min="9" max="9"/>
    <col width="20" customWidth="1" min="10" max="10"/>
    <col width="12" customWidth="1" min="11" max="11"/>
    <col width="12" customWidth="1" min="12" max="12"/>
    <col width="12" customWidth="1" min="13" max="13"/>
    <col width="15" customWidth="1" min="14" max="14"/>
    <col width="40" customWidth="1" min="15" max="15"/>
    <col width="13" customWidth="1" min="16" max="16"/>
    <col width="24" customWidth="1" min="17" max="17"/>
  </cols>
  <sheetData>
    <row r="2" ht="28" customHeight="1">
      <c r="A2" s="1" t="inlineStr">
        <is>
          <t>PLANT AUDIT PROGRAM: CONVERTING, PRINTING &amp; FINISHING OPERATIONS</t>
        </is>
      </c>
    </row>
    <row r="3" ht="18" customHeight="1">
      <c r="A3" s="2" t="inlineStr">
        <is>
          <t>Facility: Al-Quoz Industrial Packaging Plant #4 (DIC) | Sector: Secondary Corrugated Packaging | Domain Code: CON | Working Paper: WP-CON-00</t>
        </is>
      </c>
    </row>
    <row r="5">
      <c r="A5" s="3" t="inlineStr">
        <is>
          <t>Domain Scope:</t>
        </is>
      </c>
      <c r="B5" s="4" t="inlineStr">
        <is>
          <t>Flexo Folder Gluers (FFG), Rotary Die Cutters (RDC), anilox roll cell volume (BCM), cold-set PVA/hotmelt glue bond integrity, score cracking, printing plate (stereo) registration, and bundling/strapping.</t>
        </is>
      </c>
      <c r="L5" s="3" t="inlineStr">
        <is>
          <t>Lead Specialty:</t>
        </is>
      </c>
      <c r="M5" s="4" t="inlineStr">
        <is>
          <t>Converting Machinery &amp; Packaging Quality Assurance Auditor</t>
        </is>
      </c>
    </row>
    <row r="7">
      <c r="A7" s="31" t="inlineStr">
        <is>
          <t>DOMAIN PERFORMANCE ROLLUP</t>
        </is>
      </c>
      <c r="C7" s="32">
        <f>SUM(M12:M16)</f>
        <v/>
      </c>
      <c r="D7" s="32">
        <f>SUM(L12:L16)</f>
        <v/>
      </c>
      <c r="E7" s="33">
        <f>IF(C7&gt;0, D7/C7, 0)</f>
        <v/>
      </c>
      <c r="F7" s="34">
        <f>COUNTIF(N12:N16, "Critical")</f>
        <v/>
      </c>
      <c r="G7" s="34">
        <f>COUNTIF(N12:N16, "High")</f>
        <v/>
      </c>
      <c r="H7" s="34">
        <f>COUNTIF(N12:N16, "Medium")</f>
        <v/>
      </c>
      <c r="I7" s="34">
        <f>COUNTIF(N12:N16, "Low")</f>
        <v/>
      </c>
      <c r="J7" s="35">
        <f>IF(F7&gt;0, "Critical Failure", IF(E7&gt;=0.85, "Substantial", IF(E7&gt;=0.70, "Satisfactory", IF(E7&gt;=0.55, "Limited", "Unsatisfactory"))))</f>
        <v/>
      </c>
    </row>
    <row r="11" ht="26" customHeight="1">
      <c r="A11" s="36" t="inlineStr">
        <is>
          <t>Ref ID</t>
        </is>
      </c>
      <c r="B11" s="36" t="inlineStr">
        <is>
          <t>Risk Title &amp; Trench Reality (Parallax View)</t>
        </is>
      </c>
      <c r="C11" s="36" t="inlineStr">
        <is>
          <t>Inherent Risk</t>
        </is>
      </c>
      <c r="D11" s="36" t="inlineStr">
        <is>
          <t>Assigned Assurance Pillar</t>
        </is>
      </c>
      <c r="E11" s="36" t="inlineStr">
        <is>
          <t>Specific Audit Test Procedure</t>
        </is>
      </c>
      <c r="F11" s="36" t="inlineStr">
        <is>
          <t>Telemetry &amp; Evidence Sources</t>
        </is>
      </c>
      <c r="G11" s="36" t="inlineStr">
        <is>
          <t>Sample Population &amp; Scope</t>
        </is>
      </c>
      <c r="H11" s="36" t="inlineStr">
        <is>
          <t>WP Ref</t>
        </is>
      </c>
      <c r="I11" s="36" t="inlineStr">
        <is>
          <t>Auditor Field Observations &amp; Testing Notes</t>
        </is>
      </c>
      <c r="J11" s="36" t="inlineStr">
        <is>
          <t>Control Status</t>
        </is>
      </c>
      <c r="K11" s="36" t="inlineStr">
        <is>
          <t>Risk Weight</t>
        </is>
      </c>
      <c r="L11" s="36" t="inlineStr">
        <is>
          <t>Earned Pts</t>
        </is>
      </c>
      <c r="M11" s="36" t="inlineStr">
        <is>
          <t>Max Pts</t>
        </is>
      </c>
      <c r="N11" s="36" t="inlineStr">
        <is>
          <t>Finding Severity</t>
        </is>
      </c>
      <c r="O11" s="36" t="inlineStr">
        <is>
          <t>Management Action Plan &amp; Remediation</t>
        </is>
      </c>
      <c r="P11" s="36" t="inlineStr">
        <is>
          <t>Target Date</t>
        </is>
      </c>
      <c r="Q11" s="36" t="inlineStr">
        <is>
          <t>Action Owner</t>
        </is>
      </c>
    </row>
    <row r="12" ht="135" customHeight="1">
      <c r="A12" s="23" t="inlineStr">
        <is>
          <t>CON-01</t>
        </is>
      </c>
      <c r="B12" s="26" t="inlineStr">
        <is>
          <t>FLEXO ANILOX ROLL CELL VOLUME DEGRADATION &amp; INK OVER-CONSUMPTION
• HQ Assumption: HQ assumes Flexo Folder Gluers (FFGs) and Rotary Die Cutters (RDCs) operate with clean, calibrated ceramic anilox rolls delivering precise ink film thickness matching approved color lab formulas (Delta E &lt; 2.0).
• Floor Reality: Anilox roll cells become clogged with dried polymer ink or eroded from abrasive ceramic doctor blades, dropping cell volume (BCM) from 8.0 to 4.0. To achieve required print density on dark kraft liners, press operators add excessive ammonia and raw pigment, or dump dark ink directly into light ink sumps. Operators run ink viscosity high (30+ seconds vs 18-22 sec spec), flooding the board, causing ink smear, rub-off during transit, and burning 35% more ink than standard job costing.</t>
        </is>
      </c>
      <c r="C12" s="39" t="inlineStr">
        <is>
          <t>Medium</t>
        </is>
      </c>
      <c r="D12" s="26" t="inlineStr">
        <is>
          <t>1. Margin Truthfulness</t>
        </is>
      </c>
      <c r="E12" s="26" t="inlineStr">
        <is>
          <t>1. Audit the anilox roll asset register: extract historical microscopic cell volume (BCM/cm³) audit logs for all printing decks across converting lines.
2. Perform optical interferometer or liquid cell volume test (Capatch / Volu-Test) on 10 active anilox rolls to verify actual vs rated cell volume.
3. Inspect daily ink viscosity and pH measurement sheets at printing stations; compare against ink technician formulation standards (Shell/Zahn Cup seconds and pH 8.5-9.5).
4. Review automatic ink wash-up cycle telemetry: verify if ink recovery cycles pump residual ink back to drums or dump it into the wastewater drain.
5. Reconcile total flexo ink purchased vs standard ink costed on converted square meters across top 30 printing jobs.
6. Conduct Sutherland Rub Test (ASTM D5264) on 20 printed production samples to evaluate dry and wet scuff resistance.</t>
        </is>
      </c>
      <c r="F12" s="37" t="inlineStr">
        <is>
          <t>Anilox Roll Interferometer / BCM inspection certificates, Press Viscometer automated sensor logs, Ink Lab Formulation database (X-Rite Spectrophotometer Delta E logs), ERP Ink Goods Movement records (movement 261), Wash-up recovery meter telemetry.</t>
        </is>
      </c>
      <c r="G12" s="26" t="inlineStr">
        <is>
          <t>Physical BCM inspection of 10 anilox rolls across 4 converting machines; 100% ink consumption variance analysis for top 30 high-volume print jobs over 6 months; 20 physical rub tests.</t>
        </is>
      </c>
      <c r="H12" s="23" t="inlineStr">
        <is>
          <t>WP-CON-01</t>
        </is>
      </c>
      <c r="I12" s="26" t="inlineStr">
        <is>
          <t>Capatch volume testing on 12 flexo anilox rolls verified ink carrying capacity within 5% of nominal BCM (6.2 BCM). Automated ink dispensing system reconciled within 1.8% of theoretical ink consumption across tested job runs.</t>
        </is>
      </c>
      <c r="J12" s="40" t="inlineStr">
        <is>
          <t>Effective</t>
        </is>
      </c>
      <c r="K12" s="38">
        <f>IF(C12="Critical", 10, IF(C12="High", 5, IF(C12="Medium", 3, 1)))</f>
        <v/>
      </c>
      <c r="L12" s="38">
        <f>IF(J12="Effective", K12*4, IF(J12="Partially Effective", K12*2, IF(J12="Ineffective", K12*1, 0)))</f>
        <v/>
      </c>
      <c r="M12" s="38">
        <f>IF(J12="N/A", 0, K12*4)</f>
        <v/>
      </c>
      <c r="N12" s="23">
        <f>IF(J12="Effective", "None", IF(J12="N/A", "None", IF(AND(C12="Critical", J12="Ineffective"), "Critical", IF(OR(AND(C12="Critical", J12="Partially Effective"), AND(C12="High", J12="Ineffective")), "High", IF(OR(AND(C12="High", J12="Partially Effective"), AND(C12="Medium", J12="Ineffective")), "Medium", "Low")))))</f>
        <v/>
      </c>
      <c r="O12" s="26" t="inlineStr">
        <is>
          <t>Continue monthly ultrasonic anilox cleaning rotation and quarterly BCM verification.</t>
        </is>
      </c>
      <c r="P12" s="27" t="inlineStr">
        <is>
          <t>2027-02-15</t>
        </is>
      </c>
      <c r="Q12" s="26" t="inlineStr">
        <is>
          <t>Converting Shift Supervisor</t>
        </is>
      </c>
    </row>
    <row r="13" ht="135" customHeight="1">
      <c r="A13" s="23" t="inlineStr">
        <is>
          <t>CON-02</t>
        </is>
      </c>
      <c r="B13" s="26" t="inlineStr">
        <is>
          <t>FOLDER-GLUING COLD-SET ADHESIVE FAILURE &amp; SCORE LINER CRACKING
• HQ Assumption: HQ assumes folder-gluer extrusion systems apply continuous, bonded adhesive glue lines achieving 100% fiber tear, while creasing tooling preserves liner integrity without tensile rupture.
• Floor Reality: To avoid nozzle clogging during micro-stops, operators disable automated electronic glue pattern detectors or move glue guns away from the tab, leading to unglued 'open-joint' boxes. To prevent board jamming, operators crush creasing profiles or run with excessively dry board, fracturing the outer liner along score lines. Boxes fail catastrophically on high-speed customer automated packing lines, triggering major commercial rejections.</t>
        </is>
      </c>
      <c r="C13" s="25" t="inlineStr">
        <is>
          <t>Critical</t>
        </is>
      </c>
      <c r="D13" s="26" t="inlineStr">
        <is>
          <t>5. Customer Bailee &amp; Spec Integrity</t>
        </is>
      </c>
      <c r="E13" s="26" t="inlineStr">
        <is>
          <t>1. Inspect folder-gluer optical glue detection sensors (e.g., Baumer hhs, Valco Melton) on all active FFG lines to verify sensors are enabled, calibrated, and interlocked to eject defective boxes.
2. Review electronic defect ejection event logs: cross-check detected glue gaps against physical scrap bin counts at machine tail.
3. Perform manual Fiber Tear Bond Tests on 50 sample glued cartons across 5 converting lines: inspect joint after 24-hour cure (pass criteria: &gt;85% substrate fiber separation along glue flap).
4. Examine score lines for 180-degree fold cracking on both outer Kraftliner and inner medium; measure score depth using digital depth gauges.
5. Pull customer quality complaint log for trailing 12 months: isolate all occurrences of 'open glue joints' or 'cracked scores' and trace back to machine, operator, and shift.
6. Inspect glue storage totes and pumps for skinning, contamination, or water dilution.</t>
        </is>
      </c>
      <c r="F13" s="37" t="inlineStr">
        <is>
          <t>Folder-gluer automated glue verification camera/sensor logs, Defective carton ejector pneumatic actuation counters, Converting machine speed and downtime logs, QA Fiber Tear Destructive Test logsheets, Customer RMA/Credit Memo register.</t>
        </is>
      </c>
      <c r="G13" s="26" t="inlineStr">
        <is>
          <t>Physical inspection of 100% glue sensor interlocks across all folder-gluers; 50 physical fiber tear tests; 100% analysis of customer glue failure complaints over trailing 12 months.</t>
        </is>
      </c>
      <c r="H13" s="23" t="inlineStr">
        <is>
          <t>WP-CON-02</t>
        </is>
      </c>
      <c r="I13" s="26" t="inlineStr">
        <is>
          <t>Folder-Gluer optical UV glue detectors functioning on Lines 1 and 2, but disabled on Line 3 due to frequent false rejections caused by dust accumulation. Destructive tear tests identified 3 unglued bundles in quarantine.</t>
        </is>
      </c>
      <c r="J13" s="39" t="inlineStr">
        <is>
          <t>Partially Effective</t>
        </is>
      </c>
      <c r="K13" s="38">
        <f>IF(C13="Critical", 10, IF(C13="High", 5, IF(C13="Medium", 3, 1)))</f>
        <v/>
      </c>
      <c r="L13" s="38">
        <f>IF(J13="Effective", K13*4, IF(J13="Partially Effective", K13*2, IF(J13="Ineffective", K13*1, 0)))</f>
        <v/>
      </c>
      <c r="M13" s="38">
        <f>IF(J13="N/A", 0, K13*4)</f>
        <v/>
      </c>
      <c r="N13" s="23">
        <f>IF(J13="Effective", "None", IF(J13="N/A", "None", IF(AND(C13="Critical", J13="Ineffective"), "Critical", IF(OR(AND(C13="Critical", J13="Partially Effective"), AND(C13="High", J13="Ineffective")), "High", IF(OR(AND(C13="High", J13="Partially Effective"), AND(C13="Medium", J13="Ineffective")), "Medium", "Low")))))</f>
        <v/>
      </c>
      <c r="O13" s="26" t="inlineStr">
        <is>
          <t>Clean and realign optical glue sensors on Line 3. Implement hard PLC interlock preventing machine run if glue detection sensors are bypassed or muted.</t>
        </is>
      </c>
      <c r="P13" s="27" t="inlineStr">
        <is>
          <t>2026-12-10</t>
        </is>
      </c>
      <c r="Q13" s="26" t="inlineStr">
        <is>
          <t>Converting Maintenance Lead</t>
        </is>
      </c>
    </row>
    <row r="14" ht="135" customHeight="1">
      <c r="A14" s="23" t="inlineStr">
        <is>
          <t>CON-03</t>
        </is>
      </c>
      <c r="B14" s="26" t="inlineStr">
        <is>
          <t>ROTARY DIE-CUTTER POLYURETHANE ANVIL BLANKET WEAR &amp; SCALLOPED CUT WASTE
• HQ Assumption: HQ assumes rotary die-cutters operate with automated anvil blanket oscillation, regular anvil trimming/grinding, and timely blanket rotation to maintain clean cutting and stripping.
• Floor Reality: Anvil oscillation drives break down and are left un-repaired. Die blades strike the exact same spot on polyurethane blankets, carving deep trenches. Die-cut blanks emerge with hanging shreds, scalloped edges, and un-stripped waste matrix. Instead of replacing worn blankets, machine operators increase die cylinder cutting pressure, dulling expensive serrated rule steel dies and crushing sheet flutes around cutouts, destroying box structural rigidity.</t>
        </is>
      </c>
      <c r="C14" s="28" t="inlineStr">
        <is>
          <t>High</t>
        </is>
      </c>
      <c r="D14" s="26" t="inlineStr">
        <is>
          <t>2. Asset Longevity</t>
        </is>
      </c>
      <c r="E14" s="26" t="inlineStr">
        <is>
          <t>1. Inspect anvil blanket cylinder oscillation mechanisms and motorized micro-grinding trimming attachments across all Rotary Die Cutters.
2. Measure polyurethane anvil blanket thickness and surface groove depth using a depth micrometer across 5 positions per cylinder.
3. Review CMMS work orders for anvil rotation, grinding cycles, and blanket segment replacements over trailing 12 months.
4. Inspect cutting dies currently mounted on machines: examine cutting rules for flattening, rolled edges, or chipped teeth caused by excessive impression pressure.
5. Examine cut quality on 30 sample die-cut blanks: check for hanging chads, jagged edge scallops, and board crushing along perimeter cuts.
6. Audit scrap baler matrix waste for excessive finished product blanks chewed up and pulled into waste conveyors due to dull die rules.</t>
        </is>
      </c>
      <c r="F14" s="37" t="inlineStr">
        <is>
          <t>Rotary Die Cutter anvil drive motor run-hours, Anvil blanket micrometer surface depth logs, CMMS Die Cutting Rule maintenance records, Cutting cylinder hydraulic impression pressure gauges, Scrap baler matrix inspection logs.</t>
        </is>
      </c>
      <c r="G14" s="26" t="inlineStr">
        <is>
          <t>Physical inspection of 100% active rotary die cutters (all anvil cylinders and oscillation drives); Microscopic edge check of 10 cutting dies; 30 physical die-cut blank inspections.</t>
        </is>
      </c>
      <c r="H14" s="23" t="inlineStr">
        <is>
          <t>WP-CON-03</t>
        </is>
      </c>
      <c r="I14" s="26" t="inlineStr">
        <is>
          <t>Rotary die-cutter polyurethane anvil blankets rotated per manufacturer schedule (every 500k impressions). Anvil oscillation drive operational with uniform wear pattern; carton cut edges showed clean shearing with zero scalloping.</t>
        </is>
      </c>
      <c r="J14" s="40" t="inlineStr">
        <is>
          <t>Effective</t>
        </is>
      </c>
      <c r="K14" s="38">
        <f>IF(C14="Critical", 10, IF(C14="High", 5, IF(C14="Medium", 3, 1)))</f>
        <v/>
      </c>
      <c r="L14" s="38">
        <f>IF(J14="Effective", K14*4, IF(J14="Partially Effective", K14*2, IF(J14="Ineffective", K14*1, 0)))</f>
        <v/>
      </c>
      <c r="M14" s="38">
        <f>IF(J14="N/A", 0, K14*4)</f>
        <v/>
      </c>
      <c r="N14" s="23">
        <f>IF(J14="Effective", "None", IF(J14="N/A", "None", IF(AND(C14="Critical", J14="Ineffective"), "Critical", IF(OR(AND(C14="Critical", J14="Partially Effective"), AND(C14="High", J14="Ineffective")), "High", IF(OR(AND(C14="High", J14="Partially Effective"), AND(C14="Medium", J14="Ineffective")), "Medium", "Low")))))</f>
        <v/>
      </c>
      <c r="O14" s="26" t="inlineStr">
        <is>
          <t>Maintain anvil rotation logbook and bi-weekly micrometer depth checks.</t>
        </is>
      </c>
      <c r="P14" s="27" t="inlineStr">
        <is>
          <t>Ongoing</t>
        </is>
      </c>
      <c r="Q14" s="26" t="inlineStr">
        <is>
          <t>Tooling &amp; Die Specialist</t>
        </is>
      </c>
    </row>
    <row r="15" ht="135" customHeight="1">
      <c r="A15" s="23" t="inlineStr">
        <is>
          <t>CON-04</t>
        </is>
      </c>
      <c r="B15" s="26" t="inlineStr">
        <is>
          <t>CONVERTING OVER-PRODUCTION SKIMMING &amp; GHOST BUNDLE CONVERSION
• HQ Assumption: HQ assumes converting machines produce strictly to authorized ERP production order quantities (within standard +/- 5% trade allowance), with all over-runs booked to inventory or crushed as reported scrap.
• Floor Reality: Converting crews run extra corrugated sheets from unrecorded buffer stock to produce 500-2,000 extra finished cartons per job. These extra bundles are stacked on unmarked pallets, bypassed past the automated strapping counter, and loaded onto outbound customer delivery trucks without ERP delivery notes to fulfill unrecorded cash orders or compensate for previous off-the-books customer shortages.</t>
        </is>
      </c>
      <c r="C15" s="28" t="inlineStr">
        <is>
          <t>High</t>
        </is>
      </c>
      <c r="D15" s="26" t="inlineStr">
        <is>
          <t>3. Mass Balance &amp; Anti-Theft</t>
        </is>
      </c>
      <c r="E15" s="26" t="inlineStr">
        <is>
          <t>1. Extract machine PLC sheet counter telemetry from converting line feed hoppers and compare against palletizer automated stacker exit counts for 50 production orders.
2. Reconcile total sheets fed into converting machines vs total good finished cartons declared in ERP production confirmation (movement type 101) plus declared converting scrap.
3. Audit automated bundle strapper cycle counters and cross-reference against pallet packing slips for the sample runs.
4. Review CCTV footage of converting outfeed conveyors and palletizing staging areas during end-of-shift periods.
5. Reconcile customer Proof of Delivery (POD) physical receipt carton counts against ERP invoiced quantities for recurring high-volume accounts.
6. Inspect plant temporary holding zones, rework corners, and maintenance mezzanines for hidden stacks of un-palletized finished cartons.</t>
        </is>
      </c>
      <c r="F15" s="37" t="inlineStr">
        <is>
          <t>Converting machine PLC Infeed Optical Sensor counts, Automated Palletizer / Strapper digital cycle counters, ERP Confirmation tables (AFRU), Warehouse CCTV footage of finishing lines, Customer signed POD records.</t>
        </is>
      </c>
      <c r="G15" s="26" t="inlineStr">
        <is>
          <t>100% automated telemetry reconciliation of PLC infeed vs ERP confirmation for 50 high-volume converting runs; Physical search of plant floor holding areas.</t>
        </is>
      </c>
      <c r="H15" s="23" t="inlineStr">
        <is>
          <t>WP-CON-04</t>
        </is>
      </c>
      <c r="I15" s="26" t="inlineStr">
        <is>
          <t>Job counter reconciliation: Infeed optical counters on FFG lines reconciled within 0.4% against automated bundle strapper and palletizer counts. Scrap sheets shredded and vacuumed into baler ducting.</t>
        </is>
      </c>
      <c r="J15" s="40" t="inlineStr">
        <is>
          <t>Effective</t>
        </is>
      </c>
      <c r="K15" s="38">
        <f>IF(C15="Critical", 10, IF(C15="High", 5, IF(C15="Medium", 3, 1)))</f>
        <v/>
      </c>
      <c r="L15" s="38">
        <f>IF(J15="Effective", K15*4, IF(J15="Partially Effective", K15*2, IF(J15="Ineffective", K15*1, 0)))</f>
        <v/>
      </c>
      <c r="M15" s="38">
        <f>IF(J15="N/A", 0, K15*4)</f>
        <v/>
      </c>
      <c r="N15" s="23">
        <f>IF(J15="Effective", "None", IF(J15="N/A", "None", IF(AND(C15="Critical", J15="Ineffective"), "Critical", IF(OR(AND(C15="Critical", J15="Partially Effective"), AND(C15="High", J15="Ineffective")), "High", IF(OR(AND(C15="High", J15="Partially Effective"), AND(C15="Medium", J15="Ineffective")), "Medium", "Low")))))</f>
        <v/>
      </c>
      <c r="O15" s="26" t="inlineStr">
        <is>
          <t>Continue daily job-card reconciliation between machine PLC counters and ERP booked production.</t>
        </is>
      </c>
      <c r="P15" s="27" t="inlineStr">
        <is>
          <t>Ongoing</t>
        </is>
      </c>
      <c r="Q15" s="26" t="inlineStr">
        <is>
          <t>Production Planning Lead</t>
        </is>
      </c>
    </row>
    <row r="16" ht="135" customHeight="1">
      <c r="A16" s="23" t="inlineStr">
        <is>
          <t>CON-05</t>
        </is>
      </c>
      <c r="B16" s="26" t="inlineStr">
        <is>
          <t>FLEXO WASH-WATER DISCHARGE &amp; CLOSED-LOOP FLOCCULATION FAILURE
• HQ Assumption: HQ assumes all flexographic ink wash-water is routed to the on-site Effluent Treatment Plant (ETP), treated with coagulants/flocculants to extract heavy metals and polymers, and clear effluent tested before municipal discharge.
• Floor Reality: When the ETP filter press cloth blinds or flocculant chemical tanks run dry, maintenance or printing operators open the emergency bypass drain valve, discharging raw, ink-laden, high-COD wastewater directly into municipal storm drains or soaking it into unpaved yard soil under cover of night, exposing the plant to severe criminal sanctions and immediate environmental shutdown.</t>
        </is>
      </c>
      <c r="C16" s="25" t="inlineStr">
        <is>
          <t>Critical</t>
        </is>
      </c>
      <c r="D16" s="26" t="inlineStr">
        <is>
          <t>4. Catastrophic Continuity</t>
        </is>
      </c>
      <c r="E16" s="26" t="inlineStr">
        <is>
          <t>1. Inspect physical plumbing layout of ink wash-water trenches and sumps at all flexo printing presses; trace piping to ETP collection pits.
2. Audit all manual bypass valves, overflow pipes, and drain diversion connections between industrial wash-water lines and storm water / municipal sewer outfalls.
3. Review ETP operational logs: chemical consumption (poly-aluminum chloride, polymer, sulfuric acid) vs volume of treated wastewater.
4. Inspect hazardous waste filter press sludge cakes: reconcile sludge generation weight against ink consumption and verify authorized hazardous waste disposal manifests.
5. Sample final treated effluent discharge point and analyze for Chemical Oxygen Demand (COD), Biological Oxygen Demand (BOD), Total Suspended Solids (TSS), and heavy metal traces (copper/barium from flexo pigments).
6. Audit environmental regulatory discharge permits and verify continuous pH/turbidity monitoring telemetry at the final legal outfall.</t>
        </is>
      </c>
      <c r="F16" s="37" t="inlineStr">
        <is>
          <t>ETP SCADA flow meter telemetry, Continuous pH and Turbidity digital sensor logs at final discharge pit, Hazardous Waste disposal manifests and consignment notes, Third-party certified lab environmental testing reports, Municipal sewer inspection reports.</t>
        </is>
      </c>
      <c r="G16" s="26" t="inlineStr">
        <is>
          <t>100% physical piping trace of all flexo wash-water discharge lines; 12-month reconciliation of ETP chemical purchases vs sludge manifests; Independent lab water sample testing of outfall.</t>
        </is>
      </c>
      <c r="H16" s="23" t="inlineStr">
        <is>
          <t>WP-CON-05</t>
        </is>
      </c>
      <c r="I16" s="26" t="inlineStr">
        <is>
          <t>Flexo wash-water treatment plant operating in full closed loop. Flocculation and filter press operational; effluent testing confirmed zero discharge to municipal drainage. Sludge cake manifests verified with licensed industrial waste contractor.</t>
        </is>
      </c>
      <c r="J16" s="40" t="inlineStr">
        <is>
          <t>Effective</t>
        </is>
      </c>
      <c r="K16" s="38">
        <f>IF(C16="Critical", 10, IF(C16="High", 5, IF(C16="Medium", 3, 1)))</f>
        <v/>
      </c>
      <c r="L16" s="38">
        <f>IF(J16="Effective", K16*4, IF(J16="Partially Effective", K16*2, IF(J16="Ineffective", K16*1, 0)))</f>
        <v/>
      </c>
      <c r="M16" s="38">
        <f>IF(J16="N/A", 0, K16*4)</f>
        <v/>
      </c>
      <c r="N16" s="23">
        <f>IF(J16="Effective", "None", IF(J16="N/A", "None", IF(AND(C16="Critical", J16="Ineffective"), "Critical", IF(OR(AND(C16="Critical", J16="Partially Effective"), AND(C16="High", J16="Ineffective")), "High", IF(OR(AND(C16="High", J16="Partially Effective"), AND(C16="Medium", J16="Ineffective")), "Medium", "Low")))))</f>
        <v/>
      </c>
      <c r="O16" s="26" t="inlineStr">
        <is>
          <t>Maintain weekly environmental manifest log and semi-annual third-party effluent laboratory test.</t>
        </is>
      </c>
      <c r="P16" s="27" t="inlineStr">
        <is>
          <t>Ongoing</t>
        </is>
      </c>
      <c r="Q16" s="26" t="inlineStr">
        <is>
          <t>HSE &amp; Environmental Lead</t>
        </is>
      </c>
    </row>
    <row r="17" ht="24" customHeight="1">
      <c r="A17" s="19" t="inlineStr">
        <is>
          <t>TOTAL DOMAIN POINTS &amp; SUMMARY: CONVERTING, PRINTING &amp; FINISHING OPERATIONS</t>
        </is>
      </c>
      <c r="B17" s="19" t="n"/>
      <c r="C17" s="19" t="n"/>
      <c r="D17" s="19" t="n"/>
      <c r="E17" s="19" t="n"/>
      <c r="F17" s="19" t="n"/>
      <c r="G17" s="19" t="n"/>
      <c r="H17" s="19" t="n"/>
      <c r="I17" s="19" t="n"/>
      <c r="J17" s="19" t="n"/>
      <c r="K17" s="20">
        <f>SUM(K12:K16)</f>
        <v/>
      </c>
      <c r="L17" s="20">
        <f>SUM(L12:L16)</f>
        <v/>
      </c>
      <c r="M17" s="20">
        <f>SUM(M12:M16)</f>
        <v/>
      </c>
      <c r="N17" s="22">
        <f>IF(M17&gt;0, TEXT(L17/M17, "0.0%") &amp; " - " &amp; IF(COUNTIF(N12:N16, "Critical")&gt;0, "Critical Failure", IF(L17/M17&gt;=0.85, "Substantial", IF(L17/M17&gt;=0.70, "Satisfactory", "Unsatisfactory"))), "N/A")</f>
        <v/>
      </c>
      <c r="O17" s="22" t="n"/>
      <c r="P17" s="22" t="n"/>
      <c r="Q17" s="22" t="n"/>
    </row>
  </sheetData>
  <mergeCells count="8">
    <mergeCell ref="J7:L7"/>
    <mergeCell ref="B5:J5"/>
    <mergeCell ref="A7:B7"/>
    <mergeCell ref="A3:Q3"/>
    <mergeCell ref="A17:J17"/>
    <mergeCell ref="N17:Q17"/>
    <mergeCell ref="A2:Q2"/>
    <mergeCell ref="M5:Q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Q17"/>
  <sheetViews>
    <sheetView showGridLines="1" workbookViewId="0">
      <selection activeCell="A1" sqref="A1"/>
    </sheetView>
  </sheetViews>
  <sheetFormatPr baseColWidth="8" defaultRowHeight="15"/>
  <cols>
    <col width="10" customWidth="1" min="1" max="1"/>
    <col width="38" customWidth="1" min="2" max="2"/>
    <col width="13" customWidth="1" min="3" max="3"/>
    <col width="24" customWidth="1" min="4" max="4"/>
    <col width="42" customWidth="1" min="5" max="5"/>
    <col width="32" customWidth="1" min="6" max="6"/>
    <col width="22" customWidth="1" min="7" max="7"/>
    <col width="12" customWidth="1" min="8" max="8"/>
    <col width="42" customWidth="1" min="9" max="9"/>
    <col width="20" customWidth="1" min="10" max="10"/>
    <col width="12" customWidth="1" min="11" max="11"/>
    <col width="12" customWidth="1" min="12" max="12"/>
    <col width="12" customWidth="1" min="13" max="13"/>
    <col width="15" customWidth="1" min="14" max="14"/>
    <col width="40" customWidth="1" min="15" max="15"/>
    <col width="13" customWidth="1" min="16" max="16"/>
    <col width="24" customWidth="1" min="17" max="17"/>
  </cols>
  <sheetData>
    <row r="2" ht="28" customHeight="1">
      <c r="A2" s="1" t="inlineStr">
        <is>
          <t>PLANT AUDIT PROGRAM: SCRAP, BALING &amp; MASS BALANCE</t>
        </is>
      </c>
    </row>
    <row r="3" ht="18" customHeight="1">
      <c r="A3" s="2" t="inlineStr">
        <is>
          <t>Facility: Al-Quoz Industrial Packaging Plant #4 (DIC) | Sector: Secondary Corrugated Packaging | Domain Code: SCP | Working Paper: WP-SCP-00</t>
        </is>
      </c>
    </row>
    <row r="5">
      <c r="A5" s="3" t="inlineStr">
        <is>
          <t>Domain Scope:</t>
        </is>
      </c>
      <c r="B5" s="4" t="inlineStr">
        <is>
          <t>Corrugator edge trim cyclone extraction, die-cutter matrix waste, baler automated weigh scales, baled waste moisture tampering, off-book scrap sales, and end-to-end plant fiber mass balance reconciliation.</t>
        </is>
      </c>
      <c r="L5" s="3" t="inlineStr">
        <is>
          <t>Lead Specialty:</t>
        </is>
      </c>
      <c r="M5" s="4" t="inlineStr">
        <is>
          <t>Forensic Mass Balance &amp; Yield Control Auditor</t>
        </is>
      </c>
    </row>
    <row r="7">
      <c r="A7" s="31" t="inlineStr">
        <is>
          <t>DOMAIN PERFORMANCE ROLLUP</t>
        </is>
      </c>
      <c r="C7" s="32">
        <f>SUM(M12:M16)</f>
        <v/>
      </c>
      <c r="D7" s="32">
        <f>SUM(L12:L16)</f>
        <v/>
      </c>
      <c r="E7" s="33">
        <f>IF(C7&gt;0, D7/C7, 0)</f>
        <v/>
      </c>
      <c r="F7" s="34">
        <f>COUNTIF(N12:N16, "Critical")</f>
        <v/>
      </c>
      <c r="G7" s="34">
        <f>COUNTIF(N12:N16, "High")</f>
        <v/>
      </c>
      <c r="H7" s="34">
        <f>COUNTIF(N12:N16, "Medium")</f>
        <v/>
      </c>
      <c r="I7" s="34">
        <f>COUNTIF(N12:N16, "Low")</f>
        <v/>
      </c>
      <c r="J7" s="35">
        <f>IF(F7&gt;0, "Critical Failure", IF(E7&gt;=0.85, "Substantial", IF(E7&gt;=0.70, "Satisfactory", IF(E7&gt;=0.55, "Limited", "Unsatisfactory"))))</f>
        <v/>
      </c>
    </row>
    <row r="11" ht="26" customHeight="1">
      <c r="A11" s="36" t="inlineStr">
        <is>
          <t>Ref ID</t>
        </is>
      </c>
      <c r="B11" s="36" t="inlineStr">
        <is>
          <t>Risk Title &amp; Trench Reality (Parallax View)</t>
        </is>
      </c>
      <c r="C11" s="36" t="inlineStr">
        <is>
          <t>Inherent Risk</t>
        </is>
      </c>
      <c r="D11" s="36" t="inlineStr">
        <is>
          <t>Assigned Assurance Pillar</t>
        </is>
      </c>
      <c r="E11" s="36" t="inlineStr">
        <is>
          <t>Specific Audit Test Procedure</t>
        </is>
      </c>
      <c r="F11" s="36" t="inlineStr">
        <is>
          <t>Telemetry &amp; Evidence Sources</t>
        </is>
      </c>
      <c r="G11" s="36" t="inlineStr">
        <is>
          <t>Sample Population &amp; Scope</t>
        </is>
      </c>
      <c r="H11" s="36" t="inlineStr">
        <is>
          <t>WP Ref</t>
        </is>
      </c>
      <c r="I11" s="36" t="inlineStr">
        <is>
          <t>Auditor Field Observations &amp; Testing Notes</t>
        </is>
      </c>
      <c r="J11" s="36" t="inlineStr">
        <is>
          <t>Control Status</t>
        </is>
      </c>
      <c r="K11" s="36" t="inlineStr">
        <is>
          <t>Risk Weight</t>
        </is>
      </c>
      <c r="L11" s="36" t="inlineStr">
        <is>
          <t>Earned Pts</t>
        </is>
      </c>
      <c r="M11" s="36" t="inlineStr">
        <is>
          <t>Max Pts</t>
        </is>
      </c>
      <c r="N11" s="36" t="inlineStr">
        <is>
          <t>Finding Severity</t>
        </is>
      </c>
      <c r="O11" s="36" t="inlineStr">
        <is>
          <t>Management Action Plan &amp; Remediation</t>
        </is>
      </c>
      <c r="P11" s="36" t="inlineStr">
        <is>
          <t>Target Date</t>
        </is>
      </c>
      <c r="Q11" s="36" t="inlineStr">
        <is>
          <t>Action Owner</t>
        </is>
      </c>
    </row>
    <row r="12" ht="135" customHeight="1">
      <c r="A12" s="23" t="inlineStr">
        <is>
          <t>SCP-01</t>
        </is>
      </c>
      <c r="B12" s="26" t="inlineStr">
        <is>
          <t>PLANT-WIDE FIBER MASS BALANCE DEFICIT &amp; UNACCOUNTED PAPER LEAKAGE
• HQ Assumption: HQ assumes total plant fiber mass balance reconciles within standard 1.0% tolerance: Inbound Paper Reel Weight = Finished Product Net Weight + Recorded Baled Scrap Weight + Starch Added - Natural Moisture Loss.
• Floor Reality: Management tracks department scrap in isolation (corrugator trim %, converting waste %) using self-reported operator figures. Nobody performs an end-to-end wet-to-dry mass balance. Inbound moisture evaporation, unrecorded corrugator wet-end butt waste, un-weighed converting over-runs, and stolen OCC bales create a massive 3.0-6.0% fiber deficit ($500k - $1.5M annual EBITDA leakage) that is buried at year-end into general inventory adjustment write-downs.</t>
        </is>
      </c>
      <c r="C12" s="25" t="inlineStr">
        <is>
          <t>Critical</t>
        </is>
      </c>
      <c r="D12" s="26" t="inlineStr">
        <is>
          <t>3. Mass Balance &amp; Anti-Theft</t>
        </is>
      </c>
      <c r="E12" s="26" t="inlineStr">
        <is>
          <t>1. Construct the plant-wide Monthly Fiber Mass Balance Model for the trailing 12 months using the equation: $\Delta \text{Fiber} = \text{Inbound Net Paper} + \text{Dry Starch Solids} - [\text{FG Invoiced Weight} + \text{Baled Scrap Shipped} + \Delta \text{Physical WIP/FG Inventory} + \text{Calculated Moisture Differential}]$.
2. Extract weighbridge inbound paper receipts, weighbridge outbound scrap shipments, and ERP finished goods billing weights.
3. Calculate the unexplained fiber variance percentage on a monthly and rolling 12-month basis.
4. Reconcile year-end paper inventory stocktake adjustments (movement type 701/702) against the cumulative mass balance deficit.
5. Interview plant controller, operations director, and supply chain manager regarding variance investigation thresholds and root-cause attribution.
6. Identify shifts or operational periods exhibiting anomalous mass balance deficits.</t>
        </is>
      </c>
      <c r="F12" s="37" t="inlineStr">
        <is>
          <t>ERP Material Ledger (ML) inventory balances, Inbound/Outbound Weighbridge database, ERP Finished Goods Billing and Delivery records (VBRK/VBRP), Baler production weight logs, Annual physical stocktake audit sheets.</t>
        </is>
      </c>
      <c r="G12" s="26" t="inlineStr">
        <is>
          <t>100% mathematical mass balance reconstruction across entire plant operations for 12 continuous calendar months; Zero sampling—complete mass balance universe.</t>
        </is>
      </c>
      <c r="H12" s="23" t="inlineStr">
        <is>
          <t>WP-SCP-01</t>
        </is>
      </c>
      <c r="I12" s="26" t="inlineStr">
        <is>
          <t>End-to-end mass balance reconciliation showed actual paper waste at 6.1% against ERP standard BOM allowance of 4.8%. While waste is physically captured, the 1.3% unexplained variance represents $185k annual margin erosion due to unbudgeted trim.</t>
        </is>
      </c>
      <c r="J12" s="39" t="inlineStr">
        <is>
          <t>Partially Effective</t>
        </is>
      </c>
      <c r="K12" s="38">
        <f>IF(C12="Critical", 10, IF(C12="High", 5, IF(C12="Medium", 3, 1)))</f>
        <v/>
      </c>
      <c r="L12" s="38">
        <f>IF(J12="Effective", K12*4, IF(J12="Partially Effective", K12*2, IF(J12="Ineffective", K12*1, 0)))</f>
        <v/>
      </c>
      <c r="M12" s="38">
        <f>IF(J12="N/A", 0, K12*4)</f>
        <v/>
      </c>
      <c r="N12" s="23">
        <f>IF(J12="Effective", "None", IF(J12="N/A", "None", IF(AND(C12="Critical", J12="Ineffective"), "Critical", IF(OR(AND(C12="Critical", J12="Partially Effective"), AND(C12="High", J12="Ineffective")), "High", IF(OR(AND(C12="High", J12="Partially Effective"), AND(C12="Medium", J12="Ineffective")), "Medium", "Low")))))</f>
        <v/>
      </c>
      <c r="O12" s="26" t="inlineStr">
        <is>
          <t>Recalculate ERP standard waste factors by box style and deckle combination. Conduct technical deckle optimization audit with corrugator scheduling team to reduce side trim from 3.8% to &lt;2.2%.</t>
        </is>
      </c>
      <c r="P12" s="27" t="inlineStr">
        <is>
          <t>2027-01-31</t>
        </is>
      </c>
      <c r="Q12" s="26" t="inlineStr">
        <is>
          <t>Supply Chain &amp; Planning Director</t>
        </is>
      </c>
    </row>
    <row r="13" ht="135" customHeight="1">
      <c r="A13" s="23" t="inlineStr">
        <is>
          <t>SCP-02</t>
        </is>
      </c>
      <c r="B13" s="26" t="inlineStr">
        <is>
          <t>SCRAP BALE MOISTURE ARTICULATION &amp; WATER HOSE TAMPERING IN BALING PIT
• HQ Assumption: HQ assumes baled scrap paper sold to recyclers or sister paper mills contains standard ambient moisture (8-10%) and is billed based on true fiber weight.
• Floor Reality: Scrap yard crews connect high-pressure water hoses to spray water directly into baler pits, shredder feeds, or onto compacted OCC bales. Wetting the bales inflates bale weights by 15-25%. While this appears to increase scrap revenue on paper, local recycling mills hit the plant with aggressive moisture penalty deductions (up to 30%), or rogue baler crews collude with external scrap buyers to bill wet weights while splitting off-the-books cash kickbacks for delivering soaked fiber.</t>
        </is>
      </c>
      <c r="C13" s="28" t="inlineStr">
        <is>
          <t>High</t>
        </is>
      </c>
      <c r="D13" s="26" t="inlineStr">
        <is>
          <t>1. Margin Truthfulness</t>
        </is>
      </c>
      <c r="E13" s="26" t="inlineStr">
        <is>
          <t>1. Inspect baling room and pit areas for unauthorized water hoses, concealed misting nozzles, or abnormal water pooling around baler feed conveyors.
2. Audit CCTV footage covering baler infeed hoppers, baler compression chambers, and finished bale storage areas across 10 random night and weekend shifts.
3. Review moisture inspection debit notes and weight adjustment penalties issued by scrap paper buyers or sister paper mills over trailing 12 months.
4. Perform physical probe moisture testing (using calibrated Delmhorst bale moisture meters per TAPPI standard) on 30 stored export scrap bales across top, core, and bottom.
5. Compare average bale weight by baler machine: flag sudden unexplained increases in average bale weight for identical scrap grades.
6. Inspect utility water meter logs for the baling department to detect anomalous water consumption.</t>
        </is>
      </c>
      <c r="F13" s="37" t="inlineStr">
        <is>
          <t>Baler room CCTV video recordings, Calibrated Electronic Bale Moisture Probe data, Scrap Buyer Settlement Sheets and Penalty Debit Memos, Baler load-cell scale production records, Departmental Water Utility Sub-Meter readings.</t>
        </is>
      </c>
      <c r="G13" s="26" t="inlineStr">
        <is>
          <t>Physical moisture probe testing of 30 stored scrap bales; 100% audit of scrap buyer settlement penalty statements for 12 months; Unannounced physical audit of baler room plumbing.</t>
        </is>
      </c>
      <c r="H13" s="23" t="inlineStr">
        <is>
          <t>WP-SCP-02</t>
        </is>
      </c>
      <c r="I13" s="26" t="inlineStr">
        <is>
          <t>Baler pit moisture monitoring verified. Delmhorst moisture probe tests across 20 export bales showed uniform 8.1% to 8.9% moisture. Zero water hoses observed in baler pits; scrap buyer settlement sheets showed no weight deductions over prior 6 months.</t>
        </is>
      </c>
      <c r="J13" s="40" t="inlineStr">
        <is>
          <t>Effective</t>
        </is>
      </c>
      <c r="K13" s="38">
        <f>IF(C13="Critical", 10, IF(C13="High", 5, IF(C13="Medium", 3, 1)))</f>
        <v/>
      </c>
      <c r="L13" s="38">
        <f>IF(J13="Effective", K13*4, IF(J13="Partially Effective", K13*2, IF(J13="Ineffective", K13*1, 0)))</f>
        <v/>
      </c>
      <c r="M13" s="38">
        <f>IF(J13="N/A", 0, K13*4)</f>
        <v/>
      </c>
      <c r="N13" s="23">
        <f>IF(J13="Effective", "None", IF(J13="N/A", "None", IF(AND(C13="Critical", J13="Ineffective"), "Critical", IF(OR(AND(C13="Critical", J13="Partially Effective"), AND(C13="High", J13="Ineffective")), "High", IF(OR(AND(C13="High", J13="Partially Effective"), AND(C13="Medium", J13="Ineffective")), "Medium", "Low")))))</f>
        <v/>
      </c>
      <c r="O13" s="26" t="inlineStr">
        <is>
          <t>Maintain CCTV coverage of baler pit and monthly moisture spot checks on outgoing scrap trucks.</t>
        </is>
      </c>
      <c r="P13" s="27" t="inlineStr">
        <is>
          <t>Ongoing</t>
        </is>
      </c>
      <c r="Q13" s="26" t="inlineStr">
        <is>
          <t>Security &amp; Loss Prevention Lead</t>
        </is>
      </c>
    </row>
    <row r="14" ht="135" customHeight="1">
      <c r="A14" s="23" t="inlineStr">
        <is>
          <t>SCP-03</t>
        </is>
      </c>
      <c r="B14" s="26" t="inlineStr">
        <is>
          <t>CORRUGATOR CONTINUOUS TRIM EXTRACTION CYCLONE CHOKE &amp; WASTE SEGREGATION
• HQ Assumption: HQ assumes corrugator slitter-scorer continuous edge trim and converting matrix waste are aerodynamically conveyed via cyclone separators to balers, with clean separation between high-grade kraft and low-grade mixed OCC.
• Floor Reality: Cyclone duct diverter dampers jam due to fiber buildup. Operators fail to clear blockages, causing air duct blowouts and corrugator shutdowns. To save effort, operators mix high-value pure unprinted virgin kraft edge trim (which commands premium recycling prices) with low-grade wax-coated board, plastic strapping, and sweepings into a single baler, destroying scrap sales margin by downgrading all scrap to lowest-tier mixed waste.</t>
        </is>
      </c>
      <c r="C14" s="39" t="inlineStr">
        <is>
          <t>Medium</t>
        </is>
      </c>
      <c r="D14" s="26" t="inlineStr">
        <is>
          <t>2. Asset Longevity</t>
        </is>
      </c>
      <c r="E14" s="26" t="inlineStr">
        <is>
          <t>1. Inspect mechanical condition of air ducting, chopper fans, diverter gates, and cyclone separators above the baling room.
2. Review differential pressure sensor logs across cyclone air filters and extraction fans; check maintenance records for fan impeller balancing.
3. Audit scrap pricing contracts: compare price per ton achieved for segregated white top / virgin kraft vs mixed OCC scrap.
4. Physically inspect 20 finished scrap bales ready for shipment: verify grade purity (check for plastic strapping, wooden pallet chunks, or wax board contamination).
5. Trace corrugator downtime logs for incidents categorized as 'Trim System Choke' or 'Cyclone Jam' over trailing 12 months.
6. Inspect cyclone acoustic/vibration sensors for evidence of severe trim duct plugging.</t>
        </is>
      </c>
      <c r="F14" s="37" t="inlineStr">
        <is>
          <t>Pneumatic extraction fan motor current telemetry (SCADA amps), Cyclone differential pressure transmitter logs, Scrap sales contracts and price realization matrices, Scrap bale grade categorization tags, Corrugator trim downtime incident logs.</t>
        </is>
      </c>
      <c r="G14" s="26" t="inlineStr">
        <is>
          <t>Physical inspection of 100% waste pneumatic conveyance ducting and cyclones; Physical audit of 20 export scrap bales across all grades; 12-month scrap revenue price realization audit.</t>
        </is>
      </c>
      <c r="H14" s="23" t="inlineStr">
        <is>
          <t>WP-SCP-03</t>
        </is>
      </c>
      <c r="I14" s="26" t="inlineStr">
        <is>
          <t>Continuous trim pneumatic extraction cyclones operating under automated differential pressure control. Scrap grades segregated: virgin kraft trim directed to Silo A, printed/waxed board diverted to Silo B. Scrap resale price realization at 98% of Fastmarkets RISI index.</t>
        </is>
      </c>
      <c r="J14" s="40" t="inlineStr">
        <is>
          <t>Effective</t>
        </is>
      </c>
      <c r="K14" s="38">
        <f>IF(C14="Critical", 10, IF(C14="High", 5, IF(C14="Medium", 3, 1)))</f>
        <v/>
      </c>
      <c r="L14" s="38">
        <f>IF(J14="Effective", K14*4, IF(J14="Partially Effective", K14*2, IF(J14="Ineffective", K14*1, 0)))</f>
        <v/>
      </c>
      <c r="M14" s="38">
        <f>IF(J14="N/A", 0, K14*4)</f>
        <v/>
      </c>
      <c r="N14" s="23">
        <f>IF(J14="Effective", "None", IF(J14="N/A", "None", IF(AND(C14="Critical", J14="Ineffective"), "Critical", IF(OR(AND(C14="Critical", J14="Partially Effective"), AND(C14="High", J14="Ineffective")), "High", IF(OR(AND(C14="High", J14="Partially Effective"), AND(C14="Medium", J14="Ineffective")), "Medium", "Low")))))</f>
        <v/>
      </c>
      <c r="O14" s="26" t="inlineStr">
        <is>
          <t>Maintain quarterly cyclone duct inspection and continue index-linked scrap contract reviews.</t>
        </is>
      </c>
      <c r="P14" s="27" t="inlineStr">
        <is>
          <t>Ongoing</t>
        </is>
      </c>
      <c r="Q14" s="26" t="inlineStr">
        <is>
          <t>Commercial &amp; Procurement Manager</t>
        </is>
      </c>
    </row>
    <row r="15" ht="135" customHeight="1">
      <c r="A15" s="23" t="inlineStr">
        <is>
          <t>SCP-04</t>
        </is>
      </c>
      <c r="B15" s="26" t="inlineStr">
        <is>
          <t>OFF-BOOK SCRAP EVACUATION &amp; WEIGHBRIDGE GROSS BYPASS THEFT RING
• HQ Assumption: HQ assumes all baled paper scrap, rejected rolls, and shredded carton waste leave the facility across the automated weighbridge under numbered gate-passes tied to advance customer sales orders.
• Floor Reality: Scrap cartels operate in collusion between local buyers, security guards, and baler supervisors. Scrap flatbed trucks enter after-hours, load un-tagged OCC bales and high-value spent reel cores, and exit through un-monitored secondary gates without crossing the weighbridge. Alternatively, trucks cross the weighbridge with two wheels resting on concrete curbing off the scale platform to under-report gross weight by 3-5 tons per load, skimming scrap proceeds in off-book cash.</t>
        </is>
      </c>
      <c r="C15" s="25" t="inlineStr">
        <is>
          <t>Critical</t>
        </is>
      </c>
      <c r="D15" s="26" t="inlineStr">
        <is>
          <t>3. Mass Balance &amp; Anti-Theft</t>
        </is>
      </c>
      <c r="E15" s="26" t="inlineStr">
        <is>
          <t>1. Reconcile 100% numbered scrap sales gate-passes against weighbridge weight tickets and bank payment receipts (advance deposits) for the audit period.
2. Audit weighbridge optical wheel position sensors and perimeter CCTV cameras for 100% scrap truck dispatches over a 90-day window to detect scale off-centering or curbing.
3. Conduct after-hours surveillance and review time-lapse security footage of all plant secondary perimeter gates, waste compactors, and loading docks.
4. Reconcile serialized baler tag production numbers against outbound shipped bale tickets: investigate gaps in sequential bale numbers.
5. Conduct an unannounced physical count of all baled scrap in the yard and compare against ERP physical inventory records.
6. Review security guard rotation logs and cross-match employee family relationships with registered scrap contractor ownership.</t>
        </is>
      </c>
      <c r="F15" s="37" t="inlineStr">
        <is>
          <t>Weighbridge optical vehicle positioning sensor logs, Automated Weighbridge CCTV video recordings, ERP Scrap Sales Orders and Billing documents, Baler automated serial number tag logs, Security gate electronic access and turnstile logs.</t>
        </is>
      </c>
      <c r="G15" s="26" t="inlineStr">
        <is>
          <t>100% reconciliation of scrap gate-passes vs bank collections for 12 months; Video audit of 50 scrap truck weighments; Physical inventory count of 100% yard scrap bales.</t>
        </is>
      </c>
      <c r="H15" s="23" t="inlineStr">
        <is>
          <t>WP-SCP-04</t>
        </is>
      </c>
      <c r="I15" s="26" t="inlineStr">
        <is>
          <t>Forensic weighbridge reconciliation revealed 14 scrap collection trucks over 4 months with manual weight overrides and missing security gate-pass serial numbers. Automated wheel positioning sensors had been disabled with duct tape, allowing trucks to sit partially off the scale platform ($78k estimated unrecorded scrap leakage).</t>
        </is>
      </c>
      <c r="J15" s="25" t="inlineStr">
        <is>
          <t>Ineffective</t>
        </is>
      </c>
      <c r="K15" s="38">
        <f>IF(C15="Critical", 10, IF(C15="High", 5, IF(C15="Medium", 3, 1)))</f>
        <v/>
      </c>
      <c r="L15" s="38">
        <f>IF(J15="Effective", K15*4, IF(J15="Partially Effective", K15*2, IF(J15="Ineffective", K15*1, 0)))</f>
        <v/>
      </c>
      <c r="M15" s="38">
        <f>IF(J15="N/A", 0, K15*4)</f>
        <v/>
      </c>
      <c r="N15" s="23">
        <f>IF(J15="Effective", "None", IF(J15="N/A", "None", IF(AND(C15="Critical", J15="Ineffective"), "Critical", IF(OR(AND(C15="Critical", J15="Partially Effective"), AND(C15="High", J15="Ineffective")), "High", IF(OR(AND(C15="High", J15="Partially Effective"), AND(C15="Medium", J15="Ineffective")), "Medium", "Low")))))</f>
        <v/>
      </c>
      <c r="O15" s="26" t="inlineStr">
        <is>
          <t>Immediately replace analog security gate passes with serialized QR-coded dispatch passes linked to automated weighbridge interlocks. Install tamper-proof optical vehicle positioning barriers with automated CCTV freeze-frame capture on every weighment.</t>
        </is>
      </c>
      <c r="P15" s="27" t="inlineStr">
        <is>
          <t>2026-11-30</t>
        </is>
      </c>
      <c r="Q15" s="26" t="inlineStr">
        <is>
          <t>Head of Internal Audit &amp; Loss Prevention</t>
        </is>
      </c>
    </row>
    <row r="16" ht="135" customHeight="1">
      <c r="A16" s="23" t="inlineStr">
        <is>
          <t>SCP-05</t>
        </is>
      </c>
      <c r="B16" s="26" t="inlineStr">
        <is>
          <t>COMBUSTIBLE PAPER DUST ACCUMULATION IN BALING ROOM &amp; EXTRACTION DUCTS
• HQ Assumption: HQ assumes baling rooms, shredders, and air separators are equipped with NFPA 652/654 compliant deflagration venting, spark detection/extinguishment systems, and strict housekeeping preventing combustible dust buildup.
• Floor Reality: Paper dust accumulates several inches thick across building roof trusses, cable trays, and baler electrical enclosures. Spark detection sensors inside cyclone ducting are blinded with dust or disconnected to avoid false alarms that trip water deluge nozzles. A static spark or shredder tramp metal strike can ignite a suspended dust cloud, initiating an explosive primary deflagration followed by a catastrophic secondary explosion leveled through the ductwork.</t>
        </is>
      </c>
      <c r="C16" s="25" t="inlineStr">
        <is>
          <t>Critical</t>
        </is>
      </c>
      <c r="D16" s="26" t="inlineStr">
        <is>
          <t>4. Catastrophic Continuity</t>
        </is>
      </c>
      <c r="E16" s="26" t="inlineStr">
        <is>
          <t>1. Measure physical thickness of accumulated paper dust on overhead beams, ledges, light fixtures, and cable trays in baler room and cyclone penthouse (NFPA threshold: &gt;0.8mm or 1/32 inch over &gt;5% of area).
2. Inspect spark detection and rapid-acting infrared water mist extinguishment systems (e.g., GreCon, Firefly) inside pneumatic waste extraction ducts.
3. Review weekly/monthly test records for spark sensor optics and deluge nozzle water spray response time (&lt;100 milliseconds).
4. Verify explosion relief vent panels (ATEX / NFPA 68) on baghouses and cyclones: inspect rupture discs for corrosion, mechanical damage, or exterior obstructions.
5. Audit baler and shredder electrical motor enclosures for IP6X / ATEX dust-tight certification and thermal hot-spotting.
6. Inspect baler room ventilation and dust extraction efficiency; test grounding continuity on all ducting sections to eliminate electrostatic charge accumulation.</t>
        </is>
      </c>
      <c r="F16" s="37" t="inlineStr">
        <is>
          <t>Spark Detection System electronic event and test logs, Combustible Dust Hazard Analysis (DHA) study report, ATEX Rupture Disc explosion panel inspection logs, FLIR thermal imaging of baler motors and bearings, Grounding and bonding resistance test certificates.</t>
        </is>
      </c>
      <c r="G16" s="26" t="inlineStr">
        <is>
          <t>100% physical survey of baler room and cyclone penthouse dust loading; Physical functional challenge test of 100% spark detection sensors.</t>
        </is>
      </c>
      <c r="H16" s="23" t="inlineStr">
        <is>
          <t>WP-SCP-05</t>
        </is>
      </c>
      <c r="I16" s="26" t="inlineStr">
        <is>
          <t>Baling room and extraction ducting equipped with ATEX certified explosion panels and operational GreCon infrared spark detection/water deluge system. Housekeeping verified: cable trays and overhead beams cleaned weekly with explosion-proof vacuum.</t>
        </is>
      </c>
      <c r="J16" s="40" t="inlineStr">
        <is>
          <t>Effective</t>
        </is>
      </c>
      <c r="K16" s="38">
        <f>IF(C16="Critical", 10, IF(C16="High", 5, IF(C16="Medium", 3, 1)))</f>
        <v/>
      </c>
      <c r="L16" s="38">
        <f>IF(J16="Effective", K16*4, IF(J16="Partially Effective", K16*2, IF(J16="Ineffective", K16*1, 0)))</f>
        <v/>
      </c>
      <c r="M16" s="38">
        <f>IF(J16="N/A", 0, K16*4)</f>
        <v/>
      </c>
      <c r="N16" s="23">
        <f>IF(J16="Effective", "None", IF(J16="N/A", "None", IF(AND(C16="Critical", J16="Ineffective"), "Critical", IF(OR(AND(C16="Critical", J16="Partially Effective"), AND(C16="High", J16="Ineffective")), "High", IF(OR(AND(C16="High", J16="Partially Effective"), AND(C16="Medium", J16="Ineffective")), "Medium", "Low")))))</f>
        <v/>
      </c>
      <c r="O16" s="26" t="inlineStr">
        <is>
          <t>Perform quarterly spark detection trigger tests and maintain dust vacuuming log.</t>
        </is>
      </c>
      <c r="P16" s="27" t="inlineStr">
        <is>
          <t>Ongoing</t>
        </is>
      </c>
      <c r="Q16" s="26" t="inlineStr">
        <is>
          <t>Plant HSE Manager</t>
        </is>
      </c>
    </row>
    <row r="17" ht="24" customHeight="1">
      <c r="A17" s="19" t="inlineStr">
        <is>
          <t>TOTAL DOMAIN POINTS &amp; SUMMARY: SCRAP, BALING &amp; MASS BALANCE</t>
        </is>
      </c>
      <c r="B17" s="19" t="n"/>
      <c r="C17" s="19" t="n"/>
      <c r="D17" s="19" t="n"/>
      <c r="E17" s="19" t="n"/>
      <c r="F17" s="19" t="n"/>
      <c r="G17" s="19" t="n"/>
      <c r="H17" s="19" t="n"/>
      <c r="I17" s="19" t="n"/>
      <c r="J17" s="19" t="n"/>
      <c r="K17" s="20">
        <f>SUM(K12:K16)</f>
        <v/>
      </c>
      <c r="L17" s="20">
        <f>SUM(L12:L16)</f>
        <v/>
      </c>
      <c r="M17" s="20">
        <f>SUM(M12:M16)</f>
        <v/>
      </c>
      <c r="N17" s="22">
        <f>IF(M17&gt;0, TEXT(L17/M17, "0.0%") &amp; " - " &amp; IF(COUNTIF(N12:N16, "Critical")&gt;0, "Critical Failure", IF(L17/M17&gt;=0.85, "Substantial", IF(L17/M17&gt;=0.70, "Satisfactory", "Unsatisfactory"))), "N/A")</f>
        <v/>
      </c>
      <c r="O17" s="22" t="n"/>
      <c r="P17" s="22" t="n"/>
      <c r="Q17" s="22" t="n"/>
    </row>
  </sheetData>
  <mergeCells count="8">
    <mergeCell ref="J7:L7"/>
    <mergeCell ref="B5:J5"/>
    <mergeCell ref="A7:B7"/>
    <mergeCell ref="A3:Q3"/>
    <mergeCell ref="A17:J17"/>
    <mergeCell ref="N17:Q17"/>
    <mergeCell ref="A2:Q2"/>
    <mergeCell ref="M5:Q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Q17"/>
  <sheetViews>
    <sheetView showGridLines="1" workbookViewId="0">
      <selection activeCell="A1" sqref="A1"/>
    </sheetView>
  </sheetViews>
  <sheetFormatPr baseColWidth="8" defaultRowHeight="15"/>
  <cols>
    <col width="10" customWidth="1" min="1" max="1"/>
    <col width="38" customWidth="1" min="2" max="2"/>
    <col width="13" customWidth="1" min="3" max="3"/>
    <col width="24" customWidth="1" min="4" max="4"/>
    <col width="42" customWidth="1" min="5" max="5"/>
    <col width="32" customWidth="1" min="6" max="6"/>
    <col width="22" customWidth="1" min="7" max="7"/>
    <col width="12" customWidth="1" min="8" max="8"/>
    <col width="42" customWidth="1" min="9" max="9"/>
    <col width="20" customWidth="1" min="10" max="10"/>
    <col width="12" customWidth="1" min="11" max="11"/>
    <col width="12" customWidth="1" min="12" max="12"/>
    <col width="12" customWidth="1" min="13" max="13"/>
    <col width="15" customWidth="1" min="14" max="14"/>
    <col width="40" customWidth="1" min="15" max="15"/>
    <col width="13" customWidth="1" min="16" max="16"/>
    <col width="24" customWidth="1" min="17" max="17"/>
  </cols>
  <sheetData>
    <row r="2" ht="28" customHeight="1">
      <c r="A2" s="1" t="inlineStr">
        <is>
          <t>PLANT AUDIT PROGRAM: TOOLING, MAINTENANCE &amp; ASSET LONGEVITY</t>
        </is>
      </c>
    </row>
    <row r="3" ht="18" customHeight="1">
      <c r="A3" s="2" t="inlineStr">
        <is>
          <t>Facility: Al-Quoz Industrial Packaging Plant #4 (DIC) | Sector: Secondary Corrugated Packaging | Domain Code: MRO | Working Paper: WP-MRO-00</t>
        </is>
      </c>
    </row>
    <row r="5">
      <c r="A5" s="3" t="inlineStr">
        <is>
          <t>Domain Scope:</t>
        </is>
      </c>
      <c r="B5" s="4" t="inlineStr">
        <is>
          <t>Corrugating roll regrinding/coatings (tungsten carbide), anilox ultrasonic cleaning, cutting die knife/rubber maintenance, steam trap telemetry, lubrication oil degradation, vibration analysis, and spare parts management.</t>
        </is>
      </c>
      <c r="L5" s="3" t="inlineStr">
        <is>
          <t>Lead Specialty:</t>
        </is>
      </c>
      <c r="M5" s="4" t="inlineStr">
        <is>
          <t>Reliability Engineering &amp; Plant Asset Care Auditor</t>
        </is>
      </c>
    </row>
    <row r="7">
      <c r="A7" s="31" t="inlineStr">
        <is>
          <t>DOMAIN PERFORMANCE ROLLUP</t>
        </is>
      </c>
      <c r="C7" s="32">
        <f>SUM(M12:M16)</f>
        <v/>
      </c>
      <c r="D7" s="32">
        <f>SUM(L12:L16)</f>
        <v/>
      </c>
      <c r="E7" s="33">
        <f>IF(C7&gt;0, D7/C7, 0)</f>
        <v/>
      </c>
      <c r="F7" s="34">
        <f>COUNTIF(N12:N16, "Critical")</f>
        <v/>
      </c>
      <c r="G7" s="34">
        <f>COUNTIF(N12:N16, "High")</f>
        <v/>
      </c>
      <c r="H7" s="34">
        <f>COUNTIF(N12:N16, "Medium")</f>
        <v/>
      </c>
      <c r="I7" s="34">
        <f>COUNTIF(N12:N16, "Low")</f>
        <v/>
      </c>
      <c r="J7" s="35">
        <f>IF(F7&gt;0, "Critical Failure", IF(E7&gt;=0.85, "Substantial", IF(E7&gt;=0.70, "Satisfactory", IF(E7&gt;=0.55, "Limited", "Unsatisfactory"))))</f>
        <v/>
      </c>
    </row>
    <row r="11" ht="26" customHeight="1">
      <c r="A11" s="36" t="inlineStr">
        <is>
          <t>Ref ID</t>
        </is>
      </c>
      <c r="B11" s="36" t="inlineStr">
        <is>
          <t>Risk Title &amp; Trench Reality (Parallax View)</t>
        </is>
      </c>
      <c r="C11" s="36" t="inlineStr">
        <is>
          <t>Inherent Risk</t>
        </is>
      </c>
      <c r="D11" s="36" t="inlineStr">
        <is>
          <t>Assigned Assurance Pillar</t>
        </is>
      </c>
      <c r="E11" s="36" t="inlineStr">
        <is>
          <t>Specific Audit Test Procedure</t>
        </is>
      </c>
      <c r="F11" s="36" t="inlineStr">
        <is>
          <t>Telemetry &amp; Evidence Sources</t>
        </is>
      </c>
      <c r="G11" s="36" t="inlineStr">
        <is>
          <t>Sample Population &amp; Scope</t>
        </is>
      </c>
      <c r="H11" s="36" t="inlineStr">
        <is>
          <t>WP Ref</t>
        </is>
      </c>
      <c r="I11" s="36" t="inlineStr">
        <is>
          <t>Auditor Field Observations &amp; Testing Notes</t>
        </is>
      </c>
      <c r="J11" s="36" t="inlineStr">
        <is>
          <t>Control Status</t>
        </is>
      </c>
      <c r="K11" s="36" t="inlineStr">
        <is>
          <t>Risk Weight</t>
        </is>
      </c>
      <c r="L11" s="36" t="inlineStr">
        <is>
          <t>Earned Pts</t>
        </is>
      </c>
      <c r="M11" s="36" t="inlineStr">
        <is>
          <t>Max Pts</t>
        </is>
      </c>
      <c r="N11" s="36" t="inlineStr">
        <is>
          <t>Finding Severity</t>
        </is>
      </c>
      <c r="O11" s="36" t="inlineStr">
        <is>
          <t>Management Action Plan &amp; Remediation</t>
        </is>
      </c>
      <c r="P11" s="36" t="inlineStr">
        <is>
          <t>Target Date</t>
        </is>
      </c>
      <c r="Q11" s="36" t="inlineStr">
        <is>
          <t>Action Owner</t>
        </is>
      </c>
    </row>
    <row r="12" ht="135" customHeight="1">
      <c r="A12" s="23" t="inlineStr">
        <is>
          <t>MRO-01</t>
        </is>
      </c>
      <c r="B12" s="26" t="inlineStr">
        <is>
          <t>CORRUGATING ROLL REGRINDING INTERVAL &amp; NIP PRESSURE PROFILE MISALIGNMENT
• HQ Assumption: HQ assumes corrugating roll refurbishment, grinding profiles, and tungsten carbide re-coating strictly follow OEM mechanical tolerances, and roll parallel alignment is verified using carbon impression paper.
• Floor Reality: To save maintenance budget, rolls are sent to cheap uncertified machine shops that grind irregular flute geometries. When reinstalled, technicians do not perform carbon nip impression checks across the roll face. The drive side experiences 30% higher nip pressure than the operator side, accelerating bearing failure, inducing roll deflection, and producing corrugated board with lopsided flute profiles that crack during box folding.</t>
        </is>
      </c>
      <c r="C12" s="25" t="inlineStr">
        <is>
          <t>Critical</t>
        </is>
      </c>
      <c r="D12" s="26" t="inlineStr">
        <is>
          <t>2. Asset Longevity</t>
        </is>
      </c>
      <c r="E12" s="26" t="inlineStr">
        <is>
          <t>1. Audit the QA certification and dimensional grinding inspection sheets from external roll refurbishing vendors for the last 5 roll sets.
2. Review maintenance records for single-facer roll installation: inspect carbon paper / pressure-sensitive film (Fuji Prescale) nip impression test records.
3. Conduct live ultrasonic / vibration analysis on single-facer main roll bearings (spherical roller bearings) to detect inner/outer raceway spalling or cage fatigue.
4. Inspect roll parallel alignment adjustment mechanisms (eccentric bushings, hydraulic cylinders) for mechanical backlash or loose locking pins.
5. Review single-facer oil lubrication circulation system: verify oil filtration micron rating, flow switch telemetry, and monthly oil laboratory condition reports (viscosity, water ppm, wear metals Fe/Cu).
6. Reconcile corrugator downtime caused by single-facer roll mechanical issues over trailing 12 months.</t>
        </is>
      </c>
      <c r="F12" s="37" t="inlineStr">
        <is>
          <t>Single-facer bearing continuous vibration telemetry (RMS velocity, peak acceleration, demodulated spectrum), Fuji Prescale nip impression test sheets, Oil Laboratory Analysis reports (Spectroil/ICP data), CMMS Roll Changeover Work Orders, Vendor CMM dimensional inspection certificates.</t>
        </is>
      </c>
      <c r="G12" s="26" t="inlineStr">
        <is>
          <t>100% audit of roll refurbishment documentation for past 3 years; Physical inspection of 100% active single-facer bearing vibration spectra and lubrication units.</t>
        </is>
      </c>
      <c r="H12" s="23" t="inlineStr">
        <is>
          <t>WP-MRO-01</t>
        </is>
      </c>
      <c r="I12" s="26" t="inlineStr">
        <is>
          <t>Fuji Prescale nip impression films confirmed uniform pressure distribution across upper and lower corrugating rolls (+/-4% drive-to-operator side variance, well within +/-10% limit). Vibration spectra on main roll bearings normal (&lt;1.8 mm/s RMS).</t>
        </is>
      </c>
      <c r="J12" s="40" t="inlineStr">
        <is>
          <t>Effective</t>
        </is>
      </c>
      <c r="K12" s="38">
        <f>IF(C12="Critical", 10, IF(C12="High", 5, IF(C12="Medium", 3, 1)))</f>
        <v/>
      </c>
      <c r="L12" s="38">
        <f>IF(J12="Effective", K12*4, IF(J12="Partially Effective", K12*2, IF(J12="Ineffective", K12*1, 0)))</f>
        <v/>
      </c>
      <c r="M12" s="38">
        <f>IF(J12="N/A", 0, K12*4)</f>
        <v/>
      </c>
      <c r="N12" s="23">
        <f>IF(J12="Effective", "None", IF(J12="N/A", "None", IF(AND(C12="Critical", J12="Ineffective"), "Critical", IF(OR(AND(C12="Critical", J12="Partially Effective"), AND(C12="High", J12="Ineffective")), "High", IF(OR(AND(C12="High", J12="Partially Effective"), AND(C12="Medium", J12="Ineffective")), "Medium", "Low")))))</f>
        <v/>
      </c>
      <c r="O12" s="26" t="inlineStr">
        <is>
          <t>Maintain bi-monthly nip impression testing and monthly vibration data collection.</t>
        </is>
      </c>
      <c r="P12" s="27" t="inlineStr">
        <is>
          <t>Ongoing</t>
        </is>
      </c>
      <c r="Q12" s="26" t="inlineStr">
        <is>
          <t>Predictive Maintenance Specialist</t>
        </is>
      </c>
    </row>
    <row r="13" ht="135" customHeight="1">
      <c r="A13" s="23" t="inlineStr">
        <is>
          <t>MRO-02</t>
        </is>
      </c>
      <c r="B13" s="26" t="inlineStr">
        <is>
          <t>CRITICAL SPARE PARTS CANNIBALIZATION &amp; GHOST PREVENTIVE MAINTENANCE WORK ORDERS
• HQ Assumption: HQ assumes CMMS preventive maintenance (PM) work orders are executed meticulously as scheduled, with OEM spare parts drawn from inventory under strict store requisition controls.
• Floor Reality: Maintenance technicians 'pencil-whip' PM work orders in the CMMS, clicking 'completed' in bulk while sitting in the workshop without touching the machine. When machines break down, technicians cannibalize parts from idle machines rather than raising purchase requisitions. High-value spare parts (bearings, servo drives, solenoid valves) are drawn from stores against generic work orders and hoarded in private toolboxes or sold to external workshops.</t>
        </is>
      </c>
      <c r="C13" s="28" t="inlineStr">
        <is>
          <t>High</t>
        </is>
      </c>
      <c r="D13" s="26" t="inlineStr">
        <is>
          <t>1. Margin Truthfulness</t>
        </is>
      </c>
      <c r="E13" s="26" t="inlineStr">
        <is>
          <t>1. Extract 100% completed PM work orders for the trailing 6 months from CMMS; analyze timestamps to identify impossible completion clusters (e.g., 20 complex PMs closed in 15 minutes by a single technician).
2. Select 25 completed PM work orders requiring component replacements (e.g., filter changes, drive belt replacements, lubrication greasing); physically inspect the targeted machines to verify whether new parts were actually installed.
3. Audit physical spare parts inventory: conduct a blind cycle count of 50 high-value MRO items (SKF/FAG bearings, Siemens/Lenze servo motors, Omron sensors) and reconcile against ERP stock records.
4. Inspect machine bays and idle equipment for missing components or evidence of unrecorded cannibalization.
5. Reconcile MRO store purchase requisitions against actual work order cost allocations; identify purchases charged directly to overhead expense rather than machine equipment numbers.
6. Inspect maintenance personal lockers, private workbenches, and unauthorized plant storage areas for hoarded parts.</t>
        </is>
      </c>
      <c r="F13" s="37" t="inlineStr">
        <is>
          <t>CMMS Work Order creation/completion timestamp logs, ERP Inventory Movement tables for spare parts (movement 201/261), MRO Store automated badge access logs, Machine equipment breakdown logs, Physical Cycle Count sheets.</t>
        </is>
      </c>
      <c r="G13" s="26" t="inlineStr">
        <is>
          <t>100% mathematical timestamp audit of 6 months of CMMS PM completions; Physical field verification of 25 completed PMs; Blind physical count of 50 high-value spare parts.</t>
        </is>
      </c>
      <c r="H13" s="23" t="inlineStr">
        <is>
          <t>WP-MRO-02</t>
        </is>
      </c>
      <c r="I13" s="26" t="inlineStr">
        <is>
          <t>CMMS preventive maintenance completion rate reported at 94%, but spot check revealed 18 work orders closed electronically without physical technician signature or parts issue slips. Two high-value servo drives were unrecorded in unofficial plant floor lockers.</t>
        </is>
      </c>
      <c r="J13" s="39" t="inlineStr">
        <is>
          <t>Partially Effective</t>
        </is>
      </c>
      <c r="K13" s="38">
        <f>IF(C13="Critical", 10, IF(C13="High", 5, IF(C13="Medium", 3, 1)))</f>
        <v/>
      </c>
      <c r="L13" s="38">
        <f>IF(J13="Effective", K13*4, IF(J13="Partially Effective", K13*2, IF(J13="Ineffective", K13*1, 0)))</f>
        <v/>
      </c>
      <c r="M13" s="38">
        <f>IF(J13="N/A", 0, K13*4)</f>
        <v/>
      </c>
      <c r="N13" s="23">
        <f>IF(J13="Effective", "None", IF(J13="N/A", "None", IF(AND(C13="Critical", J13="Ineffective"), "Critical", IF(OR(AND(C13="Critical", J13="Partially Effective"), AND(C13="High", J13="Ineffective")), "High", IF(OR(AND(C13="High", J13="Partially Effective"), AND(C13="Medium", J13="Ineffective")), "Medium", "Low")))))</f>
        <v/>
      </c>
      <c r="O13" s="26" t="inlineStr">
        <is>
          <t>Enforce CMMS work order closure only upon parts ledger reconciliation and supervisor physical sign-off. Consolidate all unofficial floor spares into central secured MRO crib with barcode checkout.</t>
        </is>
      </c>
      <c r="P13" s="27" t="inlineStr">
        <is>
          <t>2026-12-31</t>
        </is>
      </c>
      <c r="Q13" s="26" t="inlineStr">
        <is>
          <t>Plant Maintenance Manager</t>
        </is>
      </c>
    </row>
    <row r="14" ht="135" customHeight="1">
      <c r="A14" s="23" t="inlineStr">
        <is>
          <t>MRO-03</t>
        </is>
      </c>
      <c r="B14" s="26" t="inlineStr">
        <is>
          <t>CUTTING DIE BOARD STORAGE WARPAGE &amp; RULE EJECTION RUBBER DEGRADATION
• HQ Assumption: HQ assumes flatbed and rotary cutting dies (die boards) are stored in climate-controlled racking, inspected before and after production runs, and rubber ejection profiles replaced when elasticity degrades.
• Floor Reality: Expensive laser-cut birch plywood die boards are stacked horizontally on concrete floors or exposed to ambient humidity, causing severe wood warping. Technicians use worn dies with missing, oil-soaked, or hardened ejection rubber. During high-speed converting runs, the dead rubber fails to eject carton blanks cleanly, causing matrix jams, ripped carton corners, and shattered cutting knives that ruin customer carton dimensions.</t>
        </is>
      </c>
      <c r="C14" s="39" t="inlineStr">
        <is>
          <t>Medium</t>
        </is>
      </c>
      <c r="D14" s="26" t="inlineStr">
        <is>
          <t>5. Customer Bailee &amp; Spec Integrity</t>
        </is>
      </c>
      <c r="E14" s="26" t="inlineStr">
        <is>
          <t>1. Inspect die board storage area: verify vertical hanging racking, temperature/humidity control, and indexing system integrity.
2. Physically examine 30 active cutting dies (15 rotary dies, 15 flatbed dies): check for board warp using precision straightedge, loose steel cutting rules, and chipped creasing matrix.
3. Test ejection rubber durometer hardness (Shore A scale) and rebound resilience across cutting rules; verify presence of micro-cellular rubber profiles (e.g., Cito, Marbach) vs degraded standard foam.
4. Review die maintenance history cards: cross-check die impression cycle counters against manufacturer recommended re-knifing intervals (typically 250,000 to 500,000 impressions).
5. Reconcile converting line downtime logs for die-related failures (e.g., 'Die Jam', 'Stripping Failure', 'Broken Rule') over trailing 6 months.
6. Trace customer complaints regarding carton dimensional inaccuracy or torn flaps back to specific die board serial numbers.</t>
        </is>
      </c>
      <c r="F14" s="37" t="inlineStr">
        <is>
          <t>Rotary/Flatbed Die Master Asset register, Converting press impression cycle counters, Shore A Durometer measurement logs, Die Storage Room Temperature and Humidity data loggers, Converting Die Jam downtime incident logs.</t>
        </is>
      </c>
      <c r="G14" s="26" t="inlineStr">
        <is>
          <t>Physical inspection of 30 active cutting dies across rotary and flatbed lines; Environmental audit of die storage facilities; 100% review of die-related converting downtime for 6 months.</t>
        </is>
      </c>
      <c r="H14" s="23" t="inlineStr">
        <is>
          <t>WP-MRO-03</t>
        </is>
      </c>
      <c r="I14" s="26" t="inlineStr">
        <is>
          <t>Cutting die storage facility climate-controlled (21°C, 50% RH). Customer-owned dies stored vertically on dedicated cantilever racks with serialized RFID tags. Shore A hardness of ejection rubber verified at 35-40 durometer.</t>
        </is>
      </c>
      <c r="J14" s="40" t="inlineStr">
        <is>
          <t>Effective</t>
        </is>
      </c>
      <c r="K14" s="38">
        <f>IF(C14="Critical", 10, IF(C14="High", 5, IF(C14="Medium", 3, 1)))</f>
        <v/>
      </c>
      <c r="L14" s="38">
        <f>IF(J14="Effective", K14*4, IF(J14="Partially Effective", K14*2, IF(J14="Ineffective", K14*1, 0)))</f>
        <v/>
      </c>
      <c r="M14" s="38">
        <f>IF(J14="N/A", 0, K14*4)</f>
        <v/>
      </c>
      <c r="N14" s="23">
        <f>IF(J14="Effective", "None", IF(J14="N/A", "None", IF(AND(C14="Critical", J14="Ineffective"), "Critical", IF(OR(AND(C14="Critical", J14="Partially Effective"), AND(C14="High", J14="Ineffective")), "High", IF(OR(AND(C14="High", J14="Partially Effective"), AND(C14="Medium", J14="Ineffective")), "Medium", "Low")))))</f>
        <v/>
      </c>
      <c r="O14" s="26" t="inlineStr">
        <is>
          <t>Maintain bi-annual physical inventory count of customer-owned dies and update insurance valuation schedule.</t>
        </is>
      </c>
      <c r="P14" s="27" t="inlineStr">
        <is>
          <t>2027-03-31</t>
        </is>
      </c>
      <c r="Q14" s="26" t="inlineStr">
        <is>
          <t>Tooling &amp; Warehouse Supervisor</t>
        </is>
      </c>
    </row>
    <row r="15" ht="135" customHeight="1">
      <c r="A15" s="23" t="inlineStr">
        <is>
          <t>MRO-04</t>
        </is>
      </c>
      <c r="B15" s="26" t="inlineStr">
        <is>
          <t>STEAM TRAP LIVE STEAM BLOW-THROUGH &amp; THERMAL CONDENSATE ENERGY LOSS
• HQ Assumption: HQ assumes industrial steam traps across the corrugator, starch kitchen, and heating loops are inspected quarterly using ultrasonic and thermal diagnostic equipment, with failed traps repaired within 48 hours.
• Floor Reality: Steam trap maintenance is completely ignored until the corrugator loses temperature. Up to 30% of mechanical inverted bucket and thermodynamic steam traps are stuck open ('blowing through'), dumping live high-pressure steam into the condensate return line. This pressurizes the condensate tank, causing massive atmospheric steam venting, severe energy waste ($100k-$250k in wasted fuel annually), and cavitation damage to boiler feedwater pumps.</t>
        </is>
      </c>
      <c r="C15" s="28" t="inlineStr">
        <is>
          <t>High</t>
        </is>
      </c>
      <c r="D15" s="26" t="inlineStr">
        <is>
          <t>4. Catastrophic Continuity</t>
        </is>
      </c>
      <c r="E15" s="26" t="inlineStr">
        <is>
          <t>1. Perform comprehensive acoustic ultrasonic testing (e.g., UE Systems Ultraprobe) and infrared thermal imaging on 100% of steam traps across the corrugator, boiler house, and starch kitchen.
2. Classify each trap status: Functional, Blowing Live Steam, Stuck Closed / Cold, or Leaking.
3. Measure temperature differential between inlet and outlet of each trap using calibrated dual-contact thermocouples / FLIR thermal cameras.
4. Calculate monetary energy loss from failed traps using standard Napier steam orifice discharge formulas: $\dot{m} = 0.548 \times A \times P_{abs}$ based on orifice size, steam pressure, and boiler fuel cost.
5. Inspect the atmospheric vent pipe of the central condensate return tank: observe whether continuous high-pressure live steam plume is escaping.
6. Audit CMMS steam trap inspection records and replacement spare part consumption for the preceding 24 months.</t>
        </is>
      </c>
      <c r="F15" s="37" t="inlineStr">
        <is>
          <t>Acoustic Ultrasonic Steam Trap Survey database (decibel and frequency recordings), Calibrated FLIR Infrared thermograms, Condensate receiver tank temperature and pressure SCADA sensors, Boiler fuel consumption billing records, CMMS Steam Trap Work Orders.</t>
        </is>
      </c>
      <c r="G15" s="26" t="inlineStr">
        <is>
          <t>100% census test of all operational steam traps in the facility (typically 40 to 80 traps); Napier formula thermal loss calculation across all failed traps.</t>
        </is>
      </c>
      <c r="H15" s="23" t="inlineStr">
        <is>
          <t>WP-MRO-04</t>
        </is>
      </c>
      <c r="I15" s="26" t="inlineStr">
        <is>
          <t>Condensate return rate to boiler feed tank running at 72% vs target of &gt;85%. Thermal survey identified uninsulated steam headers and bypass piping in the starch kitchen losing an estimated 1.8 tons/day of thermal energy.</t>
        </is>
      </c>
      <c r="J15" s="39" t="inlineStr">
        <is>
          <t>Partially Effective</t>
        </is>
      </c>
      <c r="K15" s="38">
        <f>IF(C15="Critical", 10, IF(C15="High", 5, IF(C15="Medium", 3, 1)))</f>
        <v/>
      </c>
      <c r="L15" s="38">
        <f>IF(J15="Effective", K15*4, IF(J15="Partially Effective", K15*2, IF(J15="Ineffective", K15*1, 0)))</f>
        <v/>
      </c>
      <c r="M15" s="38">
        <f>IF(J15="N/A", 0, K15*4)</f>
        <v/>
      </c>
      <c r="N15" s="23">
        <f>IF(J15="Effective", "None", IF(J15="N/A", "None", IF(AND(C15="Critical", J15="Ineffective"), "Critical", IF(OR(AND(C15="Critical", J15="Partially Effective"), AND(C15="High", J15="Ineffective")), "High", IF(OR(AND(C15="High", J15="Partially Effective"), AND(C15="Medium", J15="Ineffective")), "Medium", "Low")))))</f>
        <v/>
      </c>
      <c r="O15" s="26" t="inlineStr">
        <is>
          <t>Install thermal insulation jackets on all exposed steam and condensate lines. Repair condensate return pump check valves on Single Facer line.</t>
        </is>
      </c>
      <c r="P15" s="27" t="inlineStr">
        <is>
          <t>2027-01-15</t>
        </is>
      </c>
      <c r="Q15" s="26" t="inlineStr">
        <is>
          <t>Utilities &amp; Energy Engineer</t>
        </is>
      </c>
    </row>
    <row r="16" ht="135" customHeight="1">
      <c r="A16" s="23" t="inlineStr">
        <is>
          <t>MRO-05</t>
        </is>
      </c>
      <c r="B16" s="26" t="inlineStr">
        <is>
          <t>LUBRICATION OIL DEGRADATION &amp; CENTRAL GREASE HEADER BLOCKAGE ON HEAVY BEARINGS
• HQ Assumption: HQ assumes automated central lubrication systems and manual greasing schedules deliver fresh, clean, specified lubricants to all high-speed bearings on corrugator and converting lines.
• Floor Reality: Central automated grease headers suffer clogged metering distribution blocks. The pump display shows normal pressure, but the grease never reaches the single-facer corrugating roll bearings or main drive bearings. Grease lines are broken, cracked, or caked with paper dust. Maintenance technicians cross-contaminate synthetic and mineral greases, or pump high-pressure grease guns until bearing seals rupture, causing premature catastrophic bearing seizure and un-planned plant shutdowns.</t>
        </is>
      </c>
      <c r="C16" s="28" t="inlineStr">
        <is>
          <t>High</t>
        </is>
      </c>
      <c r="D16" s="26" t="inlineStr">
        <is>
          <t>2. Asset Longevity</t>
        </is>
      </c>
      <c r="E16" s="26" t="inlineStr">
        <is>
          <t>1. Inspect all progressive automated grease distributor blocks (e.g., Lincoln, Bijur Delimon) on the corrugator wet end, dry end, and converting lines; verify cycle indicator pin movement.
2. Physically examine flexible grease lines feeding high-temperature corrugator bearings: check for crushed lines, severed nylon tubing, or grease weeping onto machine frames.
3. Audit grease gun storage and dispensing stations: check for proper color-coding, grease type labeling, and clean grease gun nozzle storage to prevent paper dust contamination.
4. Review oil lab analysis reports for all gearboxes (corrugator drive, slitter-scorer, flexo printing units): check for kinematic viscosity breakdown, moisture content (&gt;200 ppm), and ISO 4406 particle cleanliness codes.
5. Conduct FLIR thermal imaging on 50 critical bearing housings during full-speed production to detect overheating caused by starvation or over-greasing (&gt;85°C threshold).
6. Reconcile grease and lubricating oil purchase volumes against theoretical equipment consumption standards.</t>
        </is>
      </c>
      <c r="F16" s="37" t="inlineStr">
        <is>
          <t>Automated Lubrication System PLC pressure and cycle frequency logs, Lubrication Oil Condition Lab Test reports (ISO 4406 / Karl Fischer water titration), FLIR Bearing Thermal Inspection images, CMMS Lubrication Route completion sheets, MRO Lubricant Requisition logs.</t>
        </is>
      </c>
      <c r="G16" s="26" t="inlineStr">
        <is>
          <t>Physical inspection of 100% automated lubrication distributor blocks; Thermal imaging of 50 critical rotating bearing housings; 10 lab oil sample analyses from main drive gearboxes.</t>
        </is>
      </c>
      <c r="H16" s="23" t="inlineStr">
        <is>
          <t>WP-MRO-05</t>
        </is>
      </c>
      <c r="I16" s="26" t="inlineStr">
        <is>
          <t>Automated progressive grease distribution system verified on corrugator main bearings. Pressure sensors operational; grease metering blocks inspected and clear. Oil sample analysis on corrugator main drive gearboxes verified ISO 4406 cleanliness at 17/14/11.</t>
        </is>
      </c>
      <c r="J16" s="40" t="inlineStr">
        <is>
          <t>Effective</t>
        </is>
      </c>
      <c r="K16" s="38">
        <f>IF(C16="Critical", 10, IF(C16="High", 5, IF(C16="Medium", 3, 1)))</f>
        <v/>
      </c>
      <c r="L16" s="38">
        <f>IF(J16="Effective", K16*4, IF(J16="Partially Effective", K16*2, IF(J16="Ineffective", K16*1, 0)))</f>
        <v/>
      </c>
      <c r="M16" s="38">
        <f>IF(J16="N/A", 0, K16*4)</f>
        <v/>
      </c>
      <c r="N16" s="23">
        <f>IF(J16="Effective", "None", IF(J16="N/A", "None", IF(AND(C16="Critical", J16="Ineffective"), "Critical", IF(OR(AND(C16="Critical", J16="Partially Effective"), AND(C16="High", J16="Ineffective")), "High", IF(OR(AND(C16="High", J16="Partially Effective"), AND(C16="Medium", J16="Ineffective")), "Medium", "Low")))))</f>
        <v/>
      </c>
      <c r="O16" s="26" t="inlineStr">
        <is>
          <t>Maintain bi-monthly oil analysis sampling schedule and inspect grease header cycle switches.</t>
        </is>
      </c>
      <c r="P16" s="27" t="inlineStr">
        <is>
          <t>Ongoing</t>
        </is>
      </c>
      <c r="Q16" s="26" t="inlineStr">
        <is>
          <t>Lubrication Technician</t>
        </is>
      </c>
    </row>
    <row r="17" ht="24" customHeight="1">
      <c r="A17" s="19" t="inlineStr">
        <is>
          <t>TOTAL DOMAIN POINTS &amp; SUMMARY: TOOLING, MAINTENANCE &amp; ASSET LONGEVITY</t>
        </is>
      </c>
      <c r="B17" s="19" t="n"/>
      <c r="C17" s="19" t="n"/>
      <c r="D17" s="19" t="n"/>
      <c r="E17" s="19" t="n"/>
      <c r="F17" s="19" t="n"/>
      <c r="G17" s="19" t="n"/>
      <c r="H17" s="19" t="n"/>
      <c r="I17" s="19" t="n"/>
      <c r="J17" s="19" t="n"/>
      <c r="K17" s="20">
        <f>SUM(K12:K16)</f>
        <v/>
      </c>
      <c r="L17" s="20">
        <f>SUM(L12:L16)</f>
        <v/>
      </c>
      <c r="M17" s="20">
        <f>SUM(M12:M16)</f>
        <v/>
      </c>
      <c r="N17" s="22">
        <f>IF(M17&gt;0, TEXT(L17/M17, "0.0%") &amp; " - " &amp; IF(COUNTIF(N12:N16, "Critical")&gt;0, "Critical Failure", IF(L17/M17&gt;=0.85, "Substantial", IF(L17/M17&gt;=0.70, "Satisfactory", "Unsatisfactory"))), "N/A")</f>
        <v/>
      </c>
      <c r="O17" s="22" t="n"/>
      <c r="P17" s="22" t="n"/>
      <c r="Q17" s="22" t="n"/>
    </row>
  </sheetData>
  <mergeCells count="8">
    <mergeCell ref="J7:L7"/>
    <mergeCell ref="B5:J5"/>
    <mergeCell ref="A7:B7"/>
    <mergeCell ref="A3:Q3"/>
    <mergeCell ref="A17:J17"/>
    <mergeCell ref="N17:Q17"/>
    <mergeCell ref="A2:Q2"/>
    <mergeCell ref="M5:Q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Q17"/>
  <sheetViews>
    <sheetView showGridLines="1" workbookViewId="0">
      <selection activeCell="A1" sqref="A1"/>
    </sheetView>
  </sheetViews>
  <sheetFormatPr baseColWidth="8" defaultRowHeight="15"/>
  <cols>
    <col width="10" customWidth="1" min="1" max="1"/>
    <col width="38" customWidth="1" min="2" max="2"/>
    <col width="13" customWidth="1" min="3" max="3"/>
    <col width="24" customWidth="1" min="4" max="4"/>
    <col width="42" customWidth="1" min="5" max="5"/>
    <col width="32" customWidth="1" min="6" max="6"/>
    <col width="22" customWidth="1" min="7" max="7"/>
    <col width="12" customWidth="1" min="8" max="8"/>
    <col width="42" customWidth="1" min="9" max="9"/>
    <col width="20" customWidth="1" min="10" max="10"/>
    <col width="12" customWidth="1" min="11" max="11"/>
    <col width="12" customWidth="1" min="12" max="12"/>
    <col width="12" customWidth="1" min="13" max="13"/>
    <col width="15" customWidth="1" min="14" max="14"/>
    <col width="40" customWidth="1" min="15" max="15"/>
    <col width="13" customWidth="1" min="16" max="16"/>
    <col width="24" customWidth="1" min="17" max="17"/>
  </cols>
  <sheetData>
    <row r="2" ht="28" customHeight="1">
      <c r="A2" s="1" t="inlineStr">
        <is>
          <t>PLANT AUDIT PROGRAM: WAREHOUSING, LOGISTICS &amp; DISPATCH INTEGRITY</t>
        </is>
      </c>
    </row>
    <row r="3" ht="18" customHeight="1">
      <c r="A3" s="2" t="inlineStr">
        <is>
          <t>Facility: Al-Quoz Industrial Packaging Plant #4 (DIC) | Sector: Secondary Corrugated Packaging | Domain Code: LOC | Working Paper: WP-LOC-00</t>
        </is>
      </c>
    </row>
    <row r="5">
      <c r="A5" s="3" t="inlineStr">
        <is>
          <t>Domain Scope:</t>
        </is>
      </c>
      <c r="B5" s="4" t="inlineStr">
        <is>
          <t>Finished goods staging dwell times, ambient humidity Box Compression Test (BCT) degradation, pallet overhang/palletizing integrity, weighbridge dispatch verification, gate-pass controls, and RMA return handling.</t>
        </is>
      </c>
      <c r="L5" s="3" t="inlineStr">
        <is>
          <t>Lead Specialty:</t>
        </is>
      </c>
      <c r="M5" s="4" t="inlineStr">
        <is>
          <t>Supply Chain Logistics &amp; Inventory Assurance Auditor</t>
        </is>
      </c>
    </row>
    <row r="7">
      <c r="A7" s="31" t="inlineStr">
        <is>
          <t>DOMAIN PERFORMANCE ROLLUP</t>
        </is>
      </c>
      <c r="C7" s="32">
        <f>SUM(M12:M16)</f>
        <v/>
      </c>
      <c r="D7" s="32">
        <f>SUM(L12:L16)</f>
        <v/>
      </c>
      <c r="E7" s="33">
        <f>IF(C7&gt;0, D7/C7, 0)</f>
        <v/>
      </c>
      <c r="F7" s="34">
        <f>COUNTIF(N12:N16, "Critical")</f>
        <v/>
      </c>
      <c r="G7" s="34">
        <f>COUNTIF(N12:N16, "High")</f>
        <v/>
      </c>
      <c r="H7" s="34">
        <f>COUNTIF(N12:N16, "Medium")</f>
        <v/>
      </c>
      <c r="I7" s="34">
        <f>COUNTIF(N12:N16, "Low")</f>
        <v/>
      </c>
      <c r="J7" s="35">
        <f>IF(F7&gt;0, "Critical Failure", IF(E7&gt;=0.85, "Substantial", IF(E7&gt;=0.70, "Satisfactory", IF(E7&gt;=0.55, "Limited", "Unsatisfactory"))))</f>
        <v/>
      </c>
    </row>
    <row r="11" ht="26" customHeight="1">
      <c r="A11" s="36" t="inlineStr">
        <is>
          <t>Ref ID</t>
        </is>
      </c>
      <c r="B11" s="36" t="inlineStr">
        <is>
          <t>Risk Title &amp; Trench Reality (Parallax View)</t>
        </is>
      </c>
      <c r="C11" s="36" t="inlineStr">
        <is>
          <t>Inherent Risk</t>
        </is>
      </c>
      <c r="D11" s="36" t="inlineStr">
        <is>
          <t>Assigned Assurance Pillar</t>
        </is>
      </c>
      <c r="E11" s="36" t="inlineStr">
        <is>
          <t>Specific Audit Test Procedure</t>
        </is>
      </c>
      <c r="F11" s="36" t="inlineStr">
        <is>
          <t>Telemetry &amp; Evidence Sources</t>
        </is>
      </c>
      <c r="G11" s="36" t="inlineStr">
        <is>
          <t>Sample Population &amp; Scope</t>
        </is>
      </c>
      <c r="H11" s="36" t="inlineStr">
        <is>
          <t>WP Ref</t>
        </is>
      </c>
      <c r="I11" s="36" t="inlineStr">
        <is>
          <t>Auditor Field Observations &amp; Testing Notes</t>
        </is>
      </c>
      <c r="J11" s="36" t="inlineStr">
        <is>
          <t>Control Status</t>
        </is>
      </c>
      <c r="K11" s="36" t="inlineStr">
        <is>
          <t>Risk Weight</t>
        </is>
      </c>
      <c r="L11" s="36" t="inlineStr">
        <is>
          <t>Earned Pts</t>
        </is>
      </c>
      <c r="M11" s="36" t="inlineStr">
        <is>
          <t>Max Pts</t>
        </is>
      </c>
      <c r="N11" s="36" t="inlineStr">
        <is>
          <t>Finding Severity</t>
        </is>
      </c>
      <c r="O11" s="36" t="inlineStr">
        <is>
          <t>Management Action Plan &amp; Remediation</t>
        </is>
      </c>
      <c r="P11" s="36" t="inlineStr">
        <is>
          <t>Target Date</t>
        </is>
      </c>
      <c r="Q11" s="36" t="inlineStr">
        <is>
          <t>Action Owner</t>
        </is>
      </c>
    </row>
    <row r="12" ht="135" customHeight="1">
      <c r="A12" s="23" t="inlineStr">
        <is>
          <t>LOC-01</t>
        </is>
      </c>
      <c r="B12" s="26" t="inlineStr">
        <is>
          <t>FINISHED GOODS STAGING DWELL TIME &amp; BOX COMPRESSION TEST (BCT) AMBIENT DEGRADATION
• HQ Assumption: HQ assumes finished corrugated packaging is stored in a clean, dry, ventilated warehouse and dispatched within standard FIFO dwell times (under 72 hours), maintaining 100% of design BCT strength.
• Floor Reality: Finished goods pallets dwell in open, unconditioned, high-humidity staging yards or drafty warehouses for weeks due to customer delivery delays. Corrugated paper fiber reaches hygroscopic equilibrium with humid ambient air (80-90% RH), absorbing moisture up to 14-16%. The board suffers severe creep and loss of structural stiffness, dropping actual BCT strength by 40-60%. Pallets collapse in the warehouse or crush inside customer cold-chain facilities upon arrival.</t>
        </is>
      </c>
      <c r="C12" s="28" t="inlineStr">
        <is>
          <t>High</t>
        </is>
      </c>
      <c r="D12" s="26" t="inlineStr">
        <is>
          <t>5. Customer Bailee &amp; Spec Integrity</t>
        </is>
      </c>
      <c r="E12" s="26" t="inlineStr">
        <is>
          <t>1. Extract ERP Finished Goods inventory aging reports: calculate aging distribution (0-3 days, 4-7 days, 8-14 days, &gt;14 days) across all open stock.
2. Audit warehouse environmental controls: review temperature and relative humidity continuous data logger records across finished goods storage bays.
3. Measure paper moisture content using a calibrated non-destructive dielectric moisture meter on 30 pallets aged &gt;7 days in warehouse storage.
4. Conduct destructive Box Compression Testing (BCT per ISO 12048 / TAPPI T804) on sample boxes freshly produced vs boxes aged &gt;10 days in warehouse conditions.
5. Reconcile customer credit memos and rejection reports specifically citing 'collapsed cartons' or 'stack failure in storage'.
6. Inspect physical pallet stacking: check for leaning stacks, bottom-box bulging, and floor contact with moisture pooling.</t>
        </is>
      </c>
      <c r="F12" s="37" t="inlineStr">
        <is>
          <t>Warehouse Environmental IoT Temperature/Humidity sensor streams, ERP Inventory Aging tables (MARD/MSKA), Handheld Digital Board Moisture Meter logs, Lab Box Compression Tester (BCT) load-displacement curves, Customer RMA claims database.</t>
        </is>
      </c>
      <c r="G12" s="26" t="inlineStr">
        <is>
          <t>100% analysis of ERP finished goods aging data; Physical moisture testing of 30 aged pallet stacks; 10 paired destructive BCT lab tests (fresh vs aged samples).</t>
        </is>
      </c>
      <c r="H12" s="23" t="inlineStr">
        <is>
          <t>WP-LOC-01</t>
        </is>
      </c>
      <c r="I12" s="26" t="inlineStr">
        <is>
          <t>Finished goods warehouse staging dwell time averaged 5.2 days, but 12 pallets of heavy agricultural cartons were held in open exterior loading bays for 18 days during humid conditions. Lab Box Compression Testing (BCT) revealed a 24% loss in stacking strength.</t>
        </is>
      </c>
      <c r="J12" s="39" t="inlineStr">
        <is>
          <t>Partially Effective</t>
        </is>
      </c>
      <c r="K12" s="38">
        <f>IF(C12="Critical", 10, IF(C12="High", 5, IF(C12="Medium", 3, 1)))</f>
        <v/>
      </c>
      <c r="L12" s="38">
        <f>IF(J12="Effective", K12*4, IF(J12="Partially Effective", K12*2, IF(J12="Ineffective", K12*1, 0)))</f>
        <v/>
      </c>
      <c r="M12" s="38">
        <f>IF(J12="N/A", 0, K12*4)</f>
        <v/>
      </c>
      <c r="N12" s="23">
        <f>IF(J12="Effective", "None", IF(J12="N/A", "None", IF(AND(C12="Critical", J12="Ineffective"), "Critical", IF(OR(AND(C12="Critical", J12="Partially Effective"), AND(C12="High", J12="Ineffective")), "High", IF(OR(AND(C12="High", J12="Partially Effective"), AND(C12="Medium", J12="Ineffective")), "Medium", "Low")))))</f>
        <v/>
      </c>
      <c r="O12" s="26" t="inlineStr">
        <is>
          <t>Establish strict 72-hour maximum staging rule in non-conditioned staging zones. Relocate all agricultural and moisture-sensitive inventory to covered interior bays with FIFO racking.</t>
        </is>
      </c>
      <c r="P12" s="27" t="inlineStr">
        <is>
          <t>2026-12-15</t>
        </is>
      </c>
      <c r="Q12" s="26" t="inlineStr">
        <is>
          <t>Finished Goods Logistics Manager</t>
        </is>
      </c>
    </row>
    <row r="13" ht="135" customHeight="1">
      <c r="A13" s="23" t="inlineStr">
        <is>
          <t>LOC-02</t>
        </is>
      </c>
      <c r="B13" s="26" t="inlineStr">
        <is>
          <t>PALLET OVERHANG, DOUBLE-STACK CRUSH &amp; DISPATCH STRAPPING DAMAGE
• HQ Assumption: HQ assumes finished cartons are palletized with zero pallet overhang, interlocked or columnar-stacked per pallet pattern design, edge-protected, and strapped at calibrated tension without damaging top cartons.
• Floor Reality: Warehouse loaders choose undersized pallets to save money, creating 50-100mm of pallet overhang on all sides. Overhanging corners lose 30% of their BCT compression strength immediately. Forklift drivers double-stack heavy pallets directly onto un-palletized top carton flaps without interlayer spreader boards. Strapping machines with un-calibrated tension cut 20mm deep into top corner boxes, destroying customer cartons before they even leave the loading dock.</t>
        </is>
      </c>
      <c r="C13" s="39" t="inlineStr">
        <is>
          <t>Medium</t>
        </is>
      </c>
      <c r="D13" s="26" t="inlineStr">
        <is>
          <t>2. Asset Longevity</t>
        </is>
      </c>
      <c r="E13" s="26" t="inlineStr">
        <is>
          <t>1. Inspect 50 palletized finished goods loads staged for dispatch across multiple loading dock bays.
2. Measure physical pallet overhang / underhang using a steel rule (pass criteria: 0mm overhang; maximum allowable underhang 25mm).
3. Audit palletizing patterns (columnar vs interlocking) against approved Cape Systems / TOPS pallet optimization layout sheets.
4. Inspect top-tier cartons on strapped pallets for cutting, crushing, or indentation caused by plastic/polyester strapping bands; verify presence of heavy corner protectors.
5. Inspect double-stacked pallets in warehouse racking or floor storage for lower-tier box buckling, pallet stringer deflection, or tilting.
6. Audit dispatch forklift operations: observe loading of 5 shipping containers / box trailers for rough handling, mast tilting impact, or squeezing with fork tines.</t>
        </is>
      </c>
      <c r="F13" s="37" t="inlineStr">
        <is>
          <t>Automated Stretch Wrapper / Strapping machine tension sensor calibration logs, Packaging Design CAD / Pallet Optimization specification sheets, Dispatch dock CCTV footage, Logistics transit damage insurance claims, Physical Pallet Inspection audit sheets.</t>
        </is>
      </c>
      <c r="G13" s="26" t="inlineStr">
        <is>
          <t>Physical inspection of 50 staging pallets at outbound shipping docks; Visual audit of 100% pallet rack storage rows for illegal double-stacking without racking support.</t>
        </is>
      </c>
      <c r="H13" s="23" t="inlineStr">
        <is>
          <t>WP-LOC-02</t>
        </is>
      </c>
      <c r="I13" s="26" t="inlineStr">
        <is>
          <t>Palletizing audit: Overhang zero across 40 inspected pallets. Automated stretch wrappers programmed with proper pre-stretch tension (200%) and bottom/top wrap counts; zero box corner crushing or loose loads observed.</t>
        </is>
      </c>
      <c r="J13" s="40" t="inlineStr">
        <is>
          <t>Effective</t>
        </is>
      </c>
      <c r="K13" s="38">
        <f>IF(C13="Critical", 10, IF(C13="High", 5, IF(C13="Medium", 3, 1)))</f>
        <v/>
      </c>
      <c r="L13" s="38">
        <f>IF(J13="Effective", K13*4, IF(J13="Partially Effective", K13*2, IF(J13="Ineffective", K13*1, 0)))</f>
        <v/>
      </c>
      <c r="M13" s="38">
        <f>IF(J13="N/A", 0, K13*4)</f>
        <v/>
      </c>
      <c r="N13" s="23">
        <f>IF(J13="Effective", "None", IF(J13="N/A", "None", IF(AND(C13="Critical", J13="Ineffective"), "Critical", IF(OR(AND(C13="Critical", J13="Partially Effective"), AND(C13="High", J13="Ineffective")), "High", IF(OR(AND(C13="High", J13="Partially Effective"), AND(C13="Medium", J13="Ineffective")), "Medium", "Low")))))</f>
        <v/>
      </c>
      <c r="O13" s="26" t="inlineStr">
        <is>
          <t>Maintain monthly stretch-wrapper tension calibration and continue TOPS pallet pattern audits.</t>
        </is>
      </c>
      <c r="P13" s="27" t="inlineStr">
        <is>
          <t>Ongoing</t>
        </is>
      </c>
      <c r="Q13" s="26" t="inlineStr">
        <is>
          <t>Warehouse Supervisor</t>
        </is>
      </c>
    </row>
    <row r="14" ht="135" customHeight="1">
      <c r="A14" s="23" t="inlineStr">
        <is>
          <t>LOC-03</t>
        </is>
      </c>
      <c r="B14" s="26" t="inlineStr">
        <is>
          <t>BILL OF LADING (BOL) PHANTOM DISPATCH &amp; SECURITY GATE WEIGHT DISCREPANCY
• HQ Assumption: HQ assumes every outbound truck crosses the weighbridge, where the gross weight minus tare weight matches the ERP Delivery Note / Bill of Lading (BOL) calculated theoretical weight within a tight tolerance (+/- 2%).
• Floor Reality: Security guards glance at paperwork and stamp gate-passes without checking weighbridge scales. Dispatch clerks create phantom delivery notes or under-declare pallet counts on delivery notes, allowing delivery trucks to haul extra pallets of high-value cartons out of the plant for off-the-books commercial sale. Weighbridge outbound telemetry is either unrecorded, overwritten, or ignored by accounting during invoice processing.</t>
        </is>
      </c>
      <c r="C14" s="25" t="inlineStr">
        <is>
          <t>Critical</t>
        </is>
      </c>
      <c r="D14" s="26" t="inlineStr">
        <is>
          <t>3. Mass Balance &amp; Anti-Theft</t>
        </is>
      </c>
      <c r="E14" s="26" t="inlineStr">
        <is>
          <t>1. Perform an automated three-way reconciliation for 100% of outbound delivery dispatches over trailing 6 months: Compare ERP Delivery Note Weight vs Weighbridge Net Weight vs Invoiced Weight.
2. Identify all outbound dispatches exhibiting weight variances exceeding +/- 2.5% and extract corresponding customer and transporter master data.
3. Cross-reference automated number plate recognition (ANPR) camera logs against ERP truck dispatch schedules to identify un-manifested trucks exiting the premises.
4. Audit security gate register: verify physical presence of authorized signatures, time-stamps, and driver license verification.
5. Perform unannounced surprise gate audits: stop 5 loaded delivery trucks post-gate clearance, re-weigh on weighbridge, and physically break pallet seals to count actual carton bundles against the delivery manifest.
6. Reconcile customer complaints regarding 'short deliveries' or 'missing bundles' against corresponding dispatch weighbridge records.</t>
        </is>
      </c>
      <c r="F14" s="37" t="inlineStr">
        <is>
          <t>Weighbridge Outbound Gross/Tare/Net database, ERP Delivery Note and Shipment tables (LIKP/LIPS), ANPR Security Gate Camera capture logs, Electronic RFID Boom Barrier access logs, Customer POD shortage claims.</t>
        </is>
      </c>
      <c r="G14" s="26" t="inlineStr">
        <is>
          <t>100% automated data reconciliation of all outbound shipments over 6 months; Unannounced physical count and re-weigh of 5 outbound transport trucks at gate exit.</t>
        </is>
      </c>
      <c r="H14" s="23" t="inlineStr">
        <is>
          <t>WP-LOC-03</t>
        </is>
      </c>
      <c r="I14" s="26" t="inlineStr">
        <is>
          <t>Automated three-way dispatch matching operational: ERP Sales Order -&gt; Pick List -&gt; Outbound Weighbridge Weight reconciled within 0.8% tare/net threshold. ANPR camera integrated with security barrier arm.</t>
        </is>
      </c>
      <c r="J14" s="40" t="inlineStr">
        <is>
          <t>Effective</t>
        </is>
      </c>
      <c r="K14" s="38">
        <f>IF(C14="Critical", 10, IF(C14="High", 5, IF(C14="Medium", 3, 1)))</f>
        <v/>
      </c>
      <c r="L14" s="38">
        <f>IF(J14="Effective", K14*4, IF(J14="Partially Effective", K14*2, IF(J14="Ineffective", K14*1, 0)))</f>
        <v/>
      </c>
      <c r="M14" s="38">
        <f>IF(J14="N/A", 0, K14*4)</f>
        <v/>
      </c>
      <c r="N14" s="23">
        <f>IF(J14="Effective", "None", IF(J14="N/A", "None", IF(AND(C14="Critical", J14="Ineffective"), "Critical", IF(OR(AND(C14="Critical", J14="Partially Effective"), AND(C14="High", J14="Ineffective")), "High", IF(OR(AND(C14="High", J14="Partially Effective"), AND(C14="Medium", J14="Ineffective")), "Medium", "Low")))))</f>
        <v/>
      </c>
      <c r="O14" s="26" t="inlineStr">
        <is>
          <t>Continue daily random audit of outbound delivery notes against weighbridge tickets.</t>
        </is>
      </c>
      <c r="P14" s="27" t="inlineStr">
        <is>
          <t>Ongoing</t>
        </is>
      </c>
      <c r="Q14" s="26" t="inlineStr">
        <is>
          <t>Security &amp; Dispatch Supervisor</t>
        </is>
      </c>
    </row>
    <row r="15" ht="135" customHeight="1">
      <c r="A15" s="23" t="inlineStr">
        <is>
          <t>LOC-04</t>
        </is>
      </c>
      <c r="B15" s="26" t="inlineStr">
        <is>
          <t>CUSTOMER RMA / REJECTED LOT SCRAP DIVERSION &amp; UNAUTHORIZED RESALE
• HQ Assumption: HQ assumes customer-rejected finished goods (Return Material Authorizations - RMA) are logged into ERP quarantine stock (movement 651), physically secured, evaluated by QA, and destroyed in the scrap baler under witnessed supervision.
• Floor Reality: Returned rejected pallets are parked in un-monitored warehouse corners without ERP receipt. Warehouse or sales staff quietly re-label and re-pack rejected printed boxes (often containing proprietary customer brand logos and barcodes) and sell them for cash to local un-regulated markets or discount traders. Alternatively, returns are written off as scrap in ERP but diverted intact out the back gate without ever touching the scrap baler.</t>
        </is>
      </c>
      <c r="C15" s="28" t="inlineStr">
        <is>
          <t>High</t>
        </is>
      </c>
      <c r="D15" s="26" t="inlineStr">
        <is>
          <t>1. Margin Truthfulness</t>
        </is>
      </c>
      <c r="E15" s="26" t="inlineStr">
        <is>
          <t>1. Extract 100% of Customer Credit Notes and Return Material Authorizations (RMAs) issued over trailing 12 months.
2. Reconcile RMA logged quantities against ERP Quarantine Inventory (Stock Type S / movement 651) and follow through to ultimate disposal movement (Scrap movement 551 or Rework 311).
3. Audit the physical RMA quarantine cage: verify physical lock security, access control list, and conduct physical count of all inventory currently present.
4. Select 15 RMA scrap disposal work orders: examine CCTV footage of the scrap baler to verify that proprietary printed branded cartons were physically shredded and baled.
5. Review signed Certificates of Destruction (CODs) for branded client packaging; verify witness signatures from QA and Security.
6. Search local discount markets and secondary packaging distributors for unauthorized circulation of client branded packaging.</t>
        </is>
      </c>
      <c r="F15" s="37" t="inlineStr">
        <is>
          <t>ERP RMA and Credit Memo tables, Physical Quarantine Cage electronic access logs, Scrap Baler infeed CCTV timestamped video recordings, Signed Certificates of Destruction with photographic proof, QA Non-Conformance Reports (NCR).</t>
        </is>
      </c>
      <c r="G15" s="26" t="inlineStr">
        <is>
          <t>100% reconciliation of RMA credit notes to disposal movements for 12 months; Physical inspection of 100% inventory in RMA quarantine cage; Video verification of 15 scrap destruction events.</t>
        </is>
      </c>
      <c r="H15" s="23" t="inlineStr">
        <is>
          <t>WP-LOC-04</t>
        </is>
      </c>
      <c r="I15" s="26" t="inlineStr">
        <is>
          <t>RMA return quarantine area secured by lock, but physical count identified 1,400 defective cartons logged for destruction that had been held for 45 days without final baling and certificate of destruction generation.</t>
        </is>
      </c>
      <c r="J15" s="39" t="inlineStr">
        <is>
          <t>Partially Effective</t>
        </is>
      </c>
      <c r="K15" s="38">
        <f>IF(C15="Critical", 10, IF(C15="High", 5, IF(C15="Medium", 3, 1)))</f>
        <v/>
      </c>
      <c r="L15" s="38">
        <f>IF(J15="Effective", K15*4, IF(J15="Partially Effective", K15*2, IF(J15="Ineffective", K15*1, 0)))</f>
        <v/>
      </c>
      <c r="M15" s="38">
        <f>IF(J15="N/A", 0, K15*4)</f>
        <v/>
      </c>
      <c r="N15" s="23">
        <f>IF(J15="Effective", "None", IF(J15="N/A", "None", IF(AND(C15="Critical", J15="Ineffective"), "Critical", IF(OR(AND(C15="Critical", J15="Partially Effective"), AND(C15="High", J15="Ineffective")), "High", IF(OR(AND(C15="High", J15="Partially Effective"), AND(C15="Medium", J15="Ineffective")), "Medium", "Low")))))</f>
        <v/>
      </c>
      <c r="O15" s="26" t="inlineStr">
        <is>
          <t>Mandate destruction of RMA quarantined lots within 14 days of quality credit approval, witnessed by Internal Audit or Security with CCTV destruction sign-off.</t>
        </is>
      </c>
      <c r="P15" s="27" t="inlineStr">
        <is>
          <t>2026-12-31</t>
        </is>
      </c>
      <c r="Q15" s="26" t="inlineStr">
        <is>
          <t>QA &amp; Loss Prevention Lead</t>
        </is>
      </c>
    </row>
    <row r="16" ht="135" customHeight="1">
      <c r="A16" s="23" t="inlineStr">
        <is>
          <t>LOC-05</t>
        </is>
      </c>
      <c r="B16" s="26" t="inlineStr">
        <is>
          <t>FORKLIFT BATTERY CHARGING BAY HYDROGEN THERMAL RUNAWAY &amp; FIRE CONTAINMENT
• HQ Assumption: HQ assumes electric forklift lead-acid/lithium battery charging areas are equipped with mechanical hydrogen exhaust ventilation, eye-wash stations, acid spill kits, and automated thermal cutoff chargers.
• Floor Reality: Charging bays are shoehorned into corners of the finished goods warehouse, surrounded by dry cardboard pallets. Hydrogen exhaust fans are turned off to save electricity, allowing explosive hydrogen gas clouds to pool under the ceiling. Heavy industrial battery chargers are run with frayed DC cables, bypassed thermal sensors, and cracked battery cases leaking sulfuric acid onto concrete floors, creating an immediate catastrophic explosion and fire risk.</t>
        </is>
      </c>
      <c r="C16" s="25" t="inlineStr">
        <is>
          <t>Critical</t>
        </is>
      </c>
      <c r="D16" s="26" t="inlineStr">
        <is>
          <t>4. Catastrophic Continuity</t>
        </is>
      </c>
      <c r="E16" s="26" t="inlineStr">
        <is>
          <t>1. Inspect mechanical exhaust ventilation system in forklift battery charging room: verify continuous airflow and interlock to charger power supply (chargers must de-energize if exhaust fan trips).
2. Test hydrogen ($H_2$) gas concentration detector sensors using certified calibration span gas; verify alarm threshold (20% Lower Explosive Limit - LEL) and horn actuation.
3. Inspect all battery charger cables, Anderson connectors, and DC plugs for thermal scorching, broken insulation, or arcing damage.
4. Perform FLIR thermal imaging on all batteries currently on high-rate charge to detect cell thermal runaway (&gt;50°C).
5. Verify separation distance: confirm minimum 5-meter (16-foot) physical buffer between battery charging stations and combustible corrugated storage (NFPA 505).
6. Inspect emergency eye-wash stations, acid neutralizing spill containment kits, and Class B/C fire extinguishers for operational readiness.</t>
        </is>
      </c>
      <c r="F16" s="37" t="inlineStr">
        <is>
          <t>Hydrogen Gas Detector calibration certificates and SCADA alarm historians, Charging Room Exhaust Airflow sensor telemetry, FLIR Thermal Inspection images of battery chargers and cells, Battery Charger maintenance logs, NFPA 505 compliance survey reports.</t>
        </is>
      </c>
      <c r="G16" s="26" t="inlineStr">
        <is>
          <t>100% physical survey of all battery charging stations and chargers across the facility; Calibration challenge test of all hydrogen sensors; Thermal scan of all active batteries on charge.</t>
        </is>
      </c>
      <c r="H16" s="23" t="inlineStr">
        <is>
          <t>WP-LOC-05</t>
        </is>
      </c>
      <c r="I16" s="26" t="inlineStr">
        <is>
          <t>Electric forklift battery charging bay equipped with continuous hydrogen gas detection (alarm set at 20% LEL), automated explosion-proof exhaust fans, acid spill kits, and deluge eyewash stations tested weekly.</t>
        </is>
      </c>
      <c r="J16" s="40" t="inlineStr">
        <is>
          <t>Effective</t>
        </is>
      </c>
      <c r="K16" s="38">
        <f>IF(C16="Critical", 10, IF(C16="High", 5, IF(C16="Medium", 3, 1)))</f>
        <v/>
      </c>
      <c r="L16" s="38">
        <f>IF(J16="Effective", K16*4, IF(J16="Partially Effective", K16*2, IF(J16="Ineffective", K16*1, 0)))</f>
        <v/>
      </c>
      <c r="M16" s="38">
        <f>IF(J16="N/A", 0, K16*4)</f>
        <v/>
      </c>
      <c r="N16" s="23">
        <f>IF(J16="Effective", "None", IF(J16="N/A", "None", IF(AND(C16="Critical", J16="Ineffective"), "Critical", IF(OR(AND(C16="Critical", J16="Partially Effective"), AND(C16="High", J16="Ineffective")), "High", IF(OR(AND(C16="High", J16="Partially Effective"), AND(C16="Medium", J16="Ineffective")), "Medium", "Low")))))</f>
        <v/>
      </c>
      <c r="O16" s="26" t="inlineStr">
        <is>
          <t>Maintain quarterly calibration of hydrogen gas sensors and inspect battery charger cables.</t>
        </is>
      </c>
      <c r="P16" s="27" t="inlineStr">
        <is>
          <t>Ongoing</t>
        </is>
      </c>
      <c r="Q16" s="26" t="inlineStr">
        <is>
          <t>HSE Specialist</t>
        </is>
      </c>
    </row>
    <row r="17" ht="24" customHeight="1">
      <c r="A17" s="19" t="inlineStr">
        <is>
          <t>TOTAL DOMAIN POINTS &amp; SUMMARY: WAREHOUSING, LOGISTICS &amp; DISPATCH INTEGRITY</t>
        </is>
      </c>
      <c r="B17" s="19" t="n"/>
      <c r="C17" s="19" t="n"/>
      <c r="D17" s="19" t="n"/>
      <c r="E17" s="19" t="n"/>
      <c r="F17" s="19" t="n"/>
      <c r="G17" s="19" t="n"/>
      <c r="H17" s="19" t="n"/>
      <c r="I17" s="19" t="n"/>
      <c r="J17" s="19" t="n"/>
      <c r="K17" s="20">
        <f>SUM(K12:K16)</f>
        <v/>
      </c>
      <c r="L17" s="20">
        <f>SUM(L12:L16)</f>
        <v/>
      </c>
      <c r="M17" s="20">
        <f>SUM(M12:M16)</f>
        <v/>
      </c>
      <c r="N17" s="22">
        <f>IF(M17&gt;0, TEXT(L17/M17, "0.0%") &amp; " - " &amp; IF(COUNTIF(N12:N16, "Critical")&gt;0, "Critical Failure", IF(L17/M17&gt;=0.85, "Substantial", IF(L17/M17&gt;=0.70, "Satisfactory", "Unsatisfactory"))), "N/A")</f>
        <v/>
      </c>
      <c r="O17" s="22" t="n"/>
      <c r="P17" s="22" t="n"/>
      <c r="Q17" s="22" t="n"/>
    </row>
  </sheetData>
  <mergeCells count="8">
    <mergeCell ref="J7:L7"/>
    <mergeCell ref="B5:J5"/>
    <mergeCell ref="A7:B7"/>
    <mergeCell ref="A3:Q3"/>
    <mergeCell ref="A17:J17"/>
    <mergeCell ref="N17:Q17"/>
    <mergeCell ref="A2:Q2"/>
    <mergeCell ref="M5:Q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Q17"/>
  <sheetViews>
    <sheetView showGridLines="1" workbookViewId="0">
      <selection activeCell="A1" sqref="A1"/>
    </sheetView>
  </sheetViews>
  <sheetFormatPr baseColWidth="8" defaultRowHeight="15"/>
  <cols>
    <col width="10" customWidth="1" min="1" max="1"/>
    <col width="38" customWidth="1" min="2" max="2"/>
    <col width="13" customWidth="1" min="3" max="3"/>
    <col width="24" customWidth="1" min="4" max="4"/>
    <col width="42" customWidth="1" min="5" max="5"/>
    <col width="32" customWidth="1" min="6" max="6"/>
    <col width="22" customWidth="1" min="7" max="7"/>
    <col width="12" customWidth="1" min="8" max="8"/>
    <col width="42" customWidth="1" min="9" max="9"/>
    <col width="20" customWidth="1" min="10" max="10"/>
    <col width="12" customWidth="1" min="11" max="11"/>
    <col width="12" customWidth="1" min="12" max="12"/>
    <col width="12" customWidth="1" min="13" max="13"/>
    <col width="15" customWidth="1" min="14" max="14"/>
    <col width="40" customWidth="1" min="15" max="15"/>
    <col width="13" customWidth="1" min="16" max="16"/>
    <col width="24" customWidth="1" min="17" max="17"/>
  </cols>
  <sheetData>
    <row r="2" ht="28" customHeight="1">
      <c r="A2" s="1" t="inlineStr">
        <is>
          <t>PLANT AUDIT PROGRAM: BOILER HOUSE, SAFETY &amp; CATASTROPHIC CONTINUITY</t>
        </is>
      </c>
    </row>
    <row r="3" ht="18" customHeight="1">
      <c r="A3" s="2" t="inlineStr">
        <is>
          <t>Facility: Al-Quoz Industrial Packaging Plant #4 (DIC) | Sector: Secondary Corrugated Packaging | Domain Code: EHS | Working Paper: WP-EHS-00</t>
        </is>
      </c>
    </row>
    <row r="5">
      <c r="A5" s="3" t="inlineStr">
        <is>
          <t>Domain Scope:</t>
        </is>
      </c>
      <c r="B5" s="4" t="inlineStr">
        <is>
          <t>Industrial steam boiler water chemistry (TDS/blowdown), safety valve relief certification, starch silo explosion venting (ATEX/NFPA), fire deluge pump ring mains, and flexo wash-water Effluent Treatment Plant (ETP).</t>
        </is>
      </c>
      <c r="L5" s="3" t="inlineStr">
        <is>
          <t>Lead Specialty:</t>
        </is>
      </c>
      <c r="M5" s="4" t="inlineStr">
        <is>
          <t>EHS &amp; Catastrophic Process Safety Lead Auditor</t>
        </is>
      </c>
    </row>
    <row r="7">
      <c r="A7" s="31" t="inlineStr">
        <is>
          <t>DOMAIN PERFORMANCE ROLLUP</t>
        </is>
      </c>
      <c r="C7" s="32">
        <f>SUM(M12:M16)</f>
        <v/>
      </c>
      <c r="D7" s="32">
        <f>SUM(L12:L16)</f>
        <v/>
      </c>
      <c r="E7" s="33">
        <f>IF(C7&gt;0, D7/C7, 0)</f>
        <v/>
      </c>
      <c r="F7" s="34">
        <f>COUNTIF(N12:N16, "Critical")</f>
        <v/>
      </c>
      <c r="G7" s="34">
        <f>COUNTIF(N12:N16, "High")</f>
        <v/>
      </c>
      <c r="H7" s="34">
        <f>COUNTIF(N12:N16, "Medium")</f>
        <v/>
      </c>
      <c r="I7" s="34">
        <f>COUNTIF(N12:N16, "Low")</f>
        <v/>
      </c>
      <c r="J7" s="35">
        <f>IF(F7&gt;0, "Critical Failure", IF(E7&gt;=0.85, "Substantial", IF(E7&gt;=0.70, "Satisfactory", IF(E7&gt;=0.55, "Limited", "Unsatisfactory"))))</f>
        <v/>
      </c>
    </row>
    <row r="11" ht="26" customHeight="1">
      <c r="A11" s="36" t="inlineStr">
        <is>
          <t>Ref ID</t>
        </is>
      </c>
      <c r="B11" s="36" t="inlineStr">
        <is>
          <t>Risk Title &amp; Trench Reality (Parallax View)</t>
        </is>
      </c>
      <c r="C11" s="36" t="inlineStr">
        <is>
          <t>Inherent Risk</t>
        </is>
      </c>
      <c r="D11" s="36" t="inlineStr">
        <is>
          <t>Assigned Assurance Pillar</t>
        </is>
      </c>
      <c r="E11" s="36" t="inlineStr">
        <is>
          <t>Specific Audit Test Procedure</t>
        </is>
      </c>
      <c r="F11" s="36" t="inlineStr">
        <is>
          <t>Telemetry &amp; Evidence Sources</t>
        </is>
      </c>
      <c r="G11" s="36" t="inlineStr">
        <is>
          <t>Sample Population &amp; Scope</t>
        </is>
      </c>
      <c r="H11" s="36" t="inlineStr">
        <is>
          <t>WP Ref</t>
        </is>
      </c>
      <c r="I11" s="36" t="inlineStr">
        <is>
          <t>Auditor Field Observations &amp; Testing Notes</t>
        </is>
      </c>
      <c r="J11" s="36" t="inlineStr">
        <is>
          <t>Control Status</t>
        </is>
      </c>
      <c r="K11" s="36" t="inlineStr">
        <is>
          <t>Risk Weight</t>
        </is>
      </c>
      <c r="L11" s="36" t="inlineStr">
        <is>
          <t>Earned Pts</t>
        </is>
      </c>
      <c r="M11" s="36" t="inlineStr">
        <is>
          <t>Max Pts</t>
        </is>
      </c>
      <c r="N11" s="36" t="inlineStr">
        <is>
          <t>Finding Severity</t>
        </is>
      </c>
      <c r="O11" s="36" t="inlineStr">
        <is>
          <t>Management Action Plan &amp; Remediation</t>
        </is>
      </c>
      <c r="P11" s="36" t="inlineStr">
        <is>
          <t>Target Date</t>
        </is>
      </c>
      <c r="Q11" s="36" t="inlineStr">
        <is>
          <t>Action Owner</t>
        </is>
      </c>
    </row>
    <row r="12" ht="135" customHeight="1">
      <c r="A12" s="23" t="inlineStr">
        <is>
          <t>EHS-01</t>
        </is>
      </c>
      <c r="B12" s="26" t="inlineStr">
        <is>
          <t>INDUSTRIAL STEAM BOILER WATER TREATMENT, TDS &amp; LOW-WATER CUTOFF FAILURE
• HQ Assumption: HQ assumes the industrial fire-tube steam boiler (10-16 bar operating pressure) is managed by licensed boiler operators, water softening and chemical dosing maintain total dissolved solids (TDS) within limits, and dual low-water safety cutoffs are tested daily.
• Floor Reality: Boiler operators disable blowdown controllers to save hot water, driving TDS above 5,000 ppm. High TDS causes severe boiler priming, sending wet steam and abrasive scale into the corrugator single-facers. Worse, low-water cutoff safety floats are encrusted with hard scale and fail to trip when water drops. Operators bridge electrical burner safety interlocks to prevent burner lockouts during low-water alarms, setting the stage for an catastrophic fire-tube boiler explosion leveling the plant.</t>
        </is>
      </c>
      <c r="C12" s="25" t="inlineStr">
        <is>
          <t>Critical</t>
        </is>
      </c>
      <c r="D12" s="26" t="inlineStr">
        <is>
          <t>4. Catastrophic Continuity</t>
        </is>
      </c>
      <c r="E12" s="26" t="inlineStr">
        <is>
          <t>1. Audit statutory boiler inspection certificates issued by government-approved authorized inspection agencies (ASME / National Board / local labor ministry).
2. Witness an operational 'Evaporative Slow-Drain Test' on the primary and secondary low-water fuel cutoffs (LWCO) to verify burner shut-down and alarm actuation.
3. Inspect boiler water chemical treatment testing logs: verify daily parameters for Total Dissolved Solids (TDS &lt;3,500 ppm), Total Hardness (0 ppm CaCO3), Sulfite/Oxygen Scavenger reserve (30-50 ppm), and pH (10.5-11.5).
4. Perform independent bench testing of boiler blowdown water and raw feedwater samples to verify accuracy of operator logbook entries.
5. Inspect boiler safety relief valves: verify annual test tag certificates and manually test lifting levers (where safe and permitted under pressure).
6. Audit gas train / heavy fuel oil safety interlocks: double block and bleed valve tightness testing logs, high/low gas pressure switches, and flame scanner safety cutoffs.</t>
        </is>
      </c>
      <c r="F12" s="37" t="inlineStr">
        <is>
          <t>Boiler SCADA continuous pressure, steam flow, and flue gas temperature historians, Automated Surface Blowdown TDS Controller telemetry, Statutory Boiler Pressure Vessel Inspection Certificates, Daily Boiler Chemical Treatment logs, Burner Management System (BMS) lock-out event logs.</t>
        </is>
      </c>
      <c r="G12" s="26" t="inlineStr">
        <is>
          <t>100% compliance audit of statutory boiler inspection records; Witness live functional trip test of dual low-water cutoffs; Independent chemical testing of 3 boiler water samples.</t>
        </is>
      </c>
      <c r="H12" s="23" t="inlineStr">
        <is>
          <t>WP-EHS-01</t>
        </is>
      </c>
      <c r="I12" s="26" t="inlineStr">
        <is>
          <t>Industrial fire-tube steam boiler (12 bar, 10 TPH) water treatment severely neglected: Boiler water TDS measured 6,200 ppm (OEM limit &lt;3,500 ppm) due to malfunctioning continuous blowdown valve. Evaporative slow-drain test on primary Low-Water Cutoff (LWCO) float switch revealed the float chamber was jammed with magnetite sludge and failed to trip the burner (imminent boiler dry-fire / catastrophic explosion hazard).</t>
        </is>
      </c>
      <c r="J12" s="25" t="inlineStr">
        <is>
          <t>Ineffective</t>
        </is>
      </c>
      <c r="K12" s="38">
        <f>IF(C12="Critical", 10, IF(C12="High", 5, IF(C12="Medium", 3, 1)))</f>
        <v/>
      </c>
      <c r="L12" s="38">
        <f>IF(J12="Effective", K12*4, IF(J12="Partially Effective", K12*2, IF(J12="Ineffective", K12*1, 0)))</f>
        <v/>
      </c>
      <c r="M12" s="38">
        <f>IF(J12="N/A", 0, K12*4)</f>
        <v/>
      </c>
      <c r="N12" s="23">
        <f>IF(J12="Effective", "None", IF(J12="N/A", "None", IF(AND(C12="Critical", J12="Ineffective"), "Critical", IF(OR(AND(C12="Critical", J12="Partially Effective"), AND(C12="High", J12="Ineffective")), "High", IF(OR(AND(C12="High", J12="Partially Effective"), AND(C12="Medium", J12="Ineffective")), "Medium", "Low")))))</f>
        <v/>
      </c>
      <c r="O12" s="26" t="inlineStr">
        <is>
          <t>Immediately shut down boiler for emergency chemical acid wash and mechanical overhaul of LWCO float chambers. Replace defective blowdown actuator and install secondary independent probe-type low water cutoff with weekly witnessed blowdown testing.</t>
        </is>
      </c>
      <c r="P12" s="27" t="inlineStr">
        <is>
          <t>2026-11-15</t>
        </is>
      </c>
      <c r="Q12" s="26" t="inlineStr">
        <is>
          <t>Plant Operations Director &amp; Chief Boiler Engineer</t>
        </is>
      </c>
    </row>
    <row r="13" ht="135" customHeight="1">
      <c r="A13" s="23" t="inlineStr">
        <is>
          <t>EHS-02</t>
        </is>
      </c>
      <c r="B13" s="26" t="inlineStr">
        <is>
          <t>STARCH KITCHEN DUST EXPLOSION ATEX VENTING &amp; PNEUMATIC SILO RELIEF
• HQ Assumption: HQ assumes bulk raw starch storage silos (corn/wheat starch) are engineered in full compliance with NFPA 61 / ATEX standards, with certified explosion relief venting, continuous silo grounding, and explosion-proof electrical equipment.
• Floor Reality: Bulk starch silos are filled pneumatically by bulk road tankers at excessive pressure, blowing off filter vent caps. Operators leave silo hatch doors unlatched. Inside the starch mixing kitchen, dry starch dust forms thick white clouds during bag tipping. Dust extraction filter sleeves are torn or clogged. Standard non-ATEX light fixtures, ungrounded hopper vibrators, and sparking conveyor motors operate directly in hazardous Zone 20/21 explosive dust atmospheres.</t>
        </is>
      </c>
      <c r="C13" s="25" t="inlineStr">
        <is>
          <t>Critical</t>
        </is>
      </c>
      <c r="D13" s="26" t="inlineStr">
        <is>
          <t>4. Catastrophic Continuity</t>
        </is>
      </c>
      <c r="E13" s="26" t="inlineStr">
        <is>
          <t>1. Inspect exterior explosion relief venting panels on starch silos and starch dust collectors: verify certified burst pressure rating, outdoor discharge direction, and lack of corrosion/obstruction.
2. Audit electrical equipment zoning inside starch preparation kitchen: verify ATEX / IECEx Zone 20/21/22 equipment ratings (Ex tb / Ex d) for all motors, switches, and lighting fixtures.
3. Test electrostatic grounding continuity and bonding resistance between bulk starch silo, pneumatic filling pipe, and road tanker grounding interlock clamp (&lt;10 Ohms resistance).
4. Inspect starch bag-dump hopper dust aspiration system: measure face air capture velocity using an anemometer (minimum 0.75 m/s required).
5. Review Starch Dust Explosion Hazard Assessment (DHA) and verify implementation status of engineering recommendations.
6. Inspect emergency explosion suppression cannisters (e.g., HRD chemical suppression bottles) for pressure readiness and inspection tag validity.</t>
        </is>
      </c>
      <c r="F13" s="37" t="inlineStr">
        <is>
          <t>ATEX / Hazardous Area Classification (HAC) layout drawings, Explosion Vent Panel burst test certification, Grounding Loop Resistance Megger test certificates, Starch Silo Load Cell continuous inventory telemetry, High-Rate Discharge (HRD) suppression system status logs.</t>
        </is>
      </c>
      <c r="G13" s="26" t="inlineStr">
        <is>
          <t>100% inspection of starch silos, explosion vents, and earthing bonds; Electrical audit of 100% light fixtures and motors in starch kitchen zone.</t>
        </is>
      </c>
      <c r="H13" s="23" t="inlineStr">
        <is>
          <t>WP-EHS-02</t>
        </is>
      </c>
      <c r="I13" s="26" t="inlineStr">
        <is>
          <t>Starch storage silo equipped with certified rupture disc explosion vents ducting safely to atmosphere. Pneumatic unloading pipeline fitted with active grounding clamp interlock (&lt;5 Ohms); mixer motors ATEX Zone 21 certified.</t>
        </is>
      </c>
      <c r="J13" s="40" t="inlineStr">
        <is>
          <t>Effective</t>
        </is>
      </c>
      <c r="K13" s="38">
        <f>IF(C13="Critical", 10, IF(C13="High", 5, IF(C13="Medium", 3, 1)))</f>
        <v/>
      </c>
      <c r="L13" s="38">
        <f>IF(J13="Effective", K13*4, IF(J13="Partially Effective", K13*2, IF(J13="Ineffective", K13*1, 0)))</f>
        <v/>
      </c>
      <c r="M13" s="38">
        <f>IF(J13="N/A", 0, K13*4)</f>
        <v/>
      </c>
      <c r="N13" s="23">
        <f>IF(J13="Effective", "None", IF(J13="N/A", "None", IF(AND(C13="Critical", J13="Ineffective"), "Critical", IF(OR(AND(C13="Critical", J13="Partially Effective"), AND(C13="High", J13="Ineffective")), "High", IF(OR(AND(C13="High", J13="Partially Effective"), AND(C13="Medium", J13="Ineffective")), "Medium", "Low")))))</f>
        <v/>
      </c>
      <c r="O13" s="26" t="inlineStr">
        <is>
          <t>Perform annual explosion vent inspection and continue grounding Megger tests.</t>
        </is>
      </c>
      <c r="P13" s="27" t="inlineStr">
        <is>
          <t>Ongoing</t>
        </is>
      </c>
      <c r="Q13" s="26" t="inlineStr">
        <is>
          <t>Plant HSE Manager</t>
        </is>
      </c>
    </row>
    <row r="14" ht="135" customHeight="1">
      <c r="A14" s="23" t="inlineStr">
        <is>
          <t>EHS-03</t>
        </is>
      </c>
      <c r="B14" s="26" t="inlineStr">
        <is>
          <t>FIRE WATER RING MAIN PRESSURE LOSS &amp; DIESEL PUMP AUTO-START INOPERABILITY
• HQ Assumption: HQ assumes the plant dedicated fire protection ring main maintains continuous 8-10 bar jockey pressure, and the primary electric and secondary diesel fire pumps auto-start instantly on pressure drops per NFPA 20 standards.
• Floor Reality: The fire ring main has multiple underground pipe leaks. Instead of repairing the buried piping, maintenance switches the diesel fire pump controller from 'AUTO' to 'MANUAL' or turns off the fuel valve because the pump kept starting in the middle of the night. The diesel starter batteries are dead or corroded. In a fire, the sprinkler deluge system will suffer immediate pressure collapse, leaving the plant completely defenseless.</t>
        </is>
      </c>
      <c r="C14" s="25" t="inlineStr">
        <is>
          <t>Critical</t>
        </is>
      </c>
      <c r="D14" s="26" t="inlineStr">
        <is>
          <t>4. Catastrophic Continuity</t>
        </is>
      </c>
      <c r="E14" s="26" t="inlineStr">
        <is>
          <t>1. Inspect fire pump house: verify controller mode selector switches on Jockey Pump, Electric Main Pump, and Diesel Backup Pump are locked in 'AUTOMATIC' mode.
2. Audit weekly automatic churn test logs: witness a live manual pressure-drop start of the diesel fire pump via the solenoid test loop.
3. Test diesel engine starter lead-acid battery voltage, specific gravity, and automatic float charger telemetry.
4. Inspect diesel fuel day tank level: verify dedicated fuel supply maintains minimum 8-hour full-load runtime (minimum 2/3 tank capacity required by NFPA 20).
5. Audit fire water dedicated storage tank capacity (minimum 4-hour full sprinkler demand reserve) and verify automated refill supply valve operation.
6. Conduct full-flow water test on plant ring main hydrants: measure static and residual pressure using pitot tube gauges to detect underground pipe occlusion or closed sectional isolation valves.</t>
        </is>
      </c>
      <c r="F14" s="37" t="inlineStr">
        <is>
          <t>Fire Pump Controller electronic event and run historians, Ring Main continuous pressure SCADA sensor logs (bar/psi), Diesel Engine Battery Voltage data, Fire Water Reservoir Level ultrasonic sensor telemetry, Annual Flow Test Performance Curves (NFPA 25).</t>
        </is>
      </c>
      <c r="G14" s="26" t="inlineStr">
        <is>
          <t>100% physical audit of fire pump house, controllers, and diesel engine; Live witnessed functional auto-start test; Flow measurement of 4 perimeter fire hydrants.</t>
        </is>
      </c>
      <c r="H14" s="23" t="inlineStr">
        <is>
          <t>WP-EHS-03</t>
        </is>
      </c>
      <c r="I14" s="26" t="inlineStr">
        <is>
          <t>Fire water ring main pressure held at 8.2 bar by electric jockey pump. However, the backup diesel fire pump controller was set to "MANUAL" mode during testing, and primary starting battery #1 showed terminal corrosion with 11.2V open circuit voltage.</t>
        </is>
      </c>
      <c r="J14" s="39" t="inlineStr">
        <is>
          <t>Partially Effective</t>
        </is>
      </c>
      <c r="K14" s="38">
        <f>IF(C14="Critical", 10, IF(C14="High", 5, IF(C14="Medium", 3, 1)))</f>
        <v/>
      </c>
      <c r="L14" s="38">
        <f>IF(J14="Effective", K14*4, IF(J14="Partially Effective", K14*2, IF(J14="Ineffective", K14*1, 0)))</f>
        <v/>
      </c>
      <c r="M14" s="38">
        <f>IF(J14="N/A", 0, K14*4)</f>
        <v/>
      </c>
      <c r="N14" s="23">
        <f>IF(J14="Effective", "None", IF(J14="N/A", "None", IF(AND(C14="Critical", J14="Ineffective"), "Critical", IF(OR(AND(C14="Critical", J14="Partially Effective"), AND(C14="High", J14="Ineffective")), "High", IF(OR(AND(C14="High", J14="Partially Effective"), AND(C14="Medium", J14="Ineffective")), "Medium", "Low")))))</f>
        <v/>
      </c>
      <c r="O14" s="26" t="inlineStr">
        <is>
          <t>Restore diesel pump controller to "AUTO" mode immediately. Replace corroded starting batteries with heavy-duty gel units and enforce weekly automatic churn testing with logged pressure drop logs.</t>
        </is>
      </c>
      <c r="P14" s="27" t="inlineStr">
        <is>
          <t>2026-11-10</t>
        </is>
      </c>
      <c r="Q14" s="26" t="inlineStr">
        <is>
          <t>HSE &amp; Facilities Manager</t>
        </is>
      </c>
    </row>
    <row r="15" ht="135" customHeight="1">
      <c r="A15" s="23" t="inlineStr">
        <is>
          <t>EHS-04</t>
        </is>
      </c>
      <c r="B15" s="26" t="inlineStr">
        <is>
          <t>CHEMICAL STORAGE SECONDARY CONTAINMENT BREACH &amp; HAZARDOUS CHEMICAL LEAKS
• HQ Assumption: HQ assumes bulk chemicals (liquid caustic soda for starch, biocide, water treatment acids, flexo ink additives) are stored in compliant bunded secondary containment (110% capacity) with emergency neutralization kits.
• Floor Reality: Chemical intermediate bulk containers (IBCs) are stored on cracked asphalt or un-bunded bare soil. Rainwater fills the concrete bunds, and operators leave the bund drainage valves permanently propped open to let rainwater drain, destroying containment integrity. Leaking 50% sodium hydroxide (caustic soda) IBCs burn through concrete floors and corrode adjacent structural building columns, presenting severe chemical burn hazards to operators.</t>
        </is>
      </c>
      <c r="C15" s="28" t="inlineStr">
        <is>
          <t>High</t>
        </is>
      </c>
      <c r="D15" s="26" t="inlineStr">
        <is>
          <t>5. Customer Bailee &amp; Spec Integrity</t>
        </is>
      </c>
      <c r="E15" s="26" t="inlineStr">
        <is>
          <t>1. Inspect 100% of chemical storage areas (starch kitchen chemicals, boiler water treatment chemicals, flexo ink additives, maintenance solvents).
2. Verify secondary containment capacity: calculate physical bund volume vs volume of largest stored container (minimum 110% of largest container or 25% of aggregate volume).
3. Inspect bund wall structural integrity: check for cracks, unsealed pipe penetrations, chemical corrosion, and status of drain valves (must be closed and padlocked).
4. Verify chemical segregation compatibility (e.g., strong acids stored physically separate from caustic soda and oxidizers per Safety Data Sheet - SDS guidelines).
5. Inspect emergency safety showers and eyewash stations located within 10 seconds of chemical handling points: test water flow and activation.
6. Audit chemical inventory register against current SDS library and local environmental hazardous substance permits.</t>
        </is>
      </c>
      <c r="F15" s="37" t="inlineStr">
        <is>
          <t>Chemical Secondary Containment Engineering Capacity calculations, Hazardous Chemical Inventory and SDS Register, Emergency Eyewash weekly activation test logs, Environmental Compliance Audit survey reports, Bund sump liquid level sensor alarms.</t>
        </is>
      </c>
      <c r="G15" s="26" t="inlineStr">
        <is>
          <t>100% physical survey of all liquid chemical storage locations and secondary containment bunds in the plant; Flow testing of 100% emergency showers.</t>
        </is>
      </c>
      <c r="H15" s="23" t="inlineStr">
        <is>
          <t>WP-EHS-04</t>
        </is>
      </c>
      <c r="I15" s="26" t="inlineStr">
        <is>
          <t>Chemical storage area for flexo wash chemicals and boiler water treatment biocides has 110% concrete secondary containment bunds. Rainwater sump valves padlocked shut in accordance with hazardous spill prevention protocols.</t>
        </is>
      </c>
      <c r="J15" s="40" t="inlineStr">
        <is>
          <t>Effective</t>
        </is>
      </c>
      <c r="K15" s="38">
        <f>IF(C15="Critical", 10, IF(C15="High", 5, IF(C15="Medium", 3, 1)))</f>
        <v/>
      </c>
      <c r="L15" s="38">
        <f>IF(J15="Effective", K15*4, IF(J15="Partially Effective", K15*2, IF(J15="Ineffective", K15*1, 0)))</f>
        <v/>
      </c>
      <c r="M15" s="38">
        <f>IF(J15="N/A", 0, K15*4)</f>
        <v/>
      </c>
      <c r="N15" s="23">
        <f>IF(J15="Effective", "None", IF(J15="N/A", "None", IF(AND(C15="Critical", J15="Ineffective"), "Critical", IF(OR(AND(C15="Critical", J15="Partially Effective"), AND(C15="High", J15="Ineffective")), "High", IF(OR(AND(C15="High", J15="Partially Effective"), AND(C15="Medium", J15="Ineffective")), "Medium", "Low")))))</f>
        <v/>
      </c>
      <c r="O15" s="26" t="inlineStr">
        <is>
          <t>Maintain monthly bund integrity inspections and maintain chemical compatibility segregation.</t>
        </is>
      </c>
      <c r="P15" s="27" t="inlineStr">
        <is>
          <t>Ongoing</t>
        </is>
      </c>
      <c r="Q15" s="26" t="inlineStr">
        <is>
          <t>Chemical Safety Officer</t>
        </is>
      </c>
    </row>
    <row r="16" ht="135" customHeight="1">
      <c r="A16" s="23" t="inlineStr">
        <is>
          <t>EHS-05</t>
        </is>
      </c>
      <c r="B16" s="26" t="inlineStr">
        <is>
          <t>ELECTRICAL SUBSTATION TRANSFORMER OIL BREAKDOWN &amp; ARC FLASH EXPLOSION HAZARD
• HQ Assumption: HQ assumes high-voltage electrical substations, step-down oil transformers (11kV/33kV to 415V), and main switchboards (PCC/MCC) undergo annual thermographic surveys, transformer oil dielectric testing, and breaker maintenance.
• Floor Reality: Substation doors are left unlocked or propped open for ventilation, allowing corrugated paper dust and moisture to coat high-voltage busbars. Transformer oil dielectric testing is deferred for years; moisture and dissolved combustible gases (acetylene, hydrogen) build up inside transformer tanks unnoticed. Main circuit breakers (ACBs) have seized trip linkages that will fail to clear a downstream short circuit, exposing the plant to a catastrophic substation arc flash explosion and total blackout.</t>
        </is>
      </c>
      <c r="C16" s="25" t="inlineStr">
        <is>
          <t>Critical</t>
        </is>
      </c>
      <c r="D16" s="26" t="inlineStr">
        <is>
          <t>2. Asset Longevity</t>
        </is>
      </c>
      <c r="E16" s="26" t="inlineStr">
        <is>
          <t>1. Audit annual Transformer Dissolved Gas Analysis (DGA) and dielectric breakdown voltage lab test reports (IEC 60156 / ASTM D877) for all distribution transformers.
2. Review annual Infrared Thermographic Survey reports for high-voltage and low-voltage electrical switchboards, bus ducts, and Power Control Centers (PCC).
3. Conduct physical inspection of electrical substations: verify HVAC environmental control, positive pressure filtration (preventing paper dust ingress), and rodent proofing.
4. Inspect transformer silica gel breather pots: verify silica gel is active (blue/orange) and not saturated/pink; check oil level in sight glass and check for tank weeping.
5. Audit secondary injection test calibration certificates for main Air Circuit Breaker (ACB) protective relays (overcurrent, short-circuit, earth fault).
6. Inspect substation personal protective equipment: Arc Flash rated PPE suits (40 cal/cm²), insulated rescue hooks, and rubber insulating floor mats (IEC 61111).</t>
        </is>
      </c>
      <c r="F16" s="37" t="inlineStr">
        <is>
          <t>Transformer Dissolved Gas Analysis (DGA) lab test certificates, Electrical Infrared Thermography survey database, Protective Relay Secondary Injection test sheets, Substation Temperature and Humidity continuous loggers, Arc Flash Hazard Analysis study.</t>
        </is>
      </c>
      <c r="G16" s="26" t="inlineStr">
        <is>
          <t>100% audit of all on-site step-down transformers and main incoming Power Control Centers; Physical inspection of 100% substation rooms.</t>
        </is>
      </c>
      <c r="H16" s="23" t="inlineStr">
        <is>
          <t>WP-EHS-05</t>
        </is>
      </c>
      <c r="I16" s="26" t="inlineStr">
        <is>
          <t>11kV/415V electrical substation transformer oil Dissolved Gas Analysis (DGA per ASTM D3612) verified within normal limits (zero acetylene, combustible gas &lt;100 ppm). Infrared thermography showed zero hot spots on busbars or breaker stabs.</t>
        </is>
      </c>
      <c r="J16" s="40" t="inlineStr">
        <is>
          <t>Effective</t>
        </is>
      </c>
      <c r="K16" s="38">
        <f>IF(C16="Critical", 10, IF(C16="High", 5, IF(C16="Medium", 3, 1)))</f>
        <v/>
      </c>
      <c r="L16" s="38">
        <f>IF(J16="Effective", K16*4, IF(J16="Partially Effective", K16*2, IF(J16="Ineffective", K16*1, 0)))</f>
        <v/>
      </c>
      <c r="M16" s="38">
        <f>IF(J16="N/A", 0, K16*4)</f>
        <v/>
      </c>
      <c r="N16" s="23">
        <f>IF(J16="Effective", "None", IF(J16="N/A", "None", IF(AND(C16="Critical", J16="Ineffective"), "Critical", IF(OR(AND(C16="Critical", J16="Partially Effective"), AND(C16="High", J16="Ineffective")), "High", IF(OR(AND(C16="High", J16="Partially Effective"), AND(C16="Medium", J16="Ineffective")), "Medium", "Low")))))</f>
        <v/>
      </c>
      <c r="O16" s="26" t="inlineStr">
        <is>
          <t>Maintain annual DGA oil sampling and semi-annual switchgear thermographic surveys.</t>
        </is>
      </c>
      <c r="P16" s="27" t="inlineStr">
        <is>
          <t>2027-04-30</t>
        </is>
      </c>
      <c r="Q16" s="26" t="inlineStr">
        <is>
          <t>Chief Electrical Engineer</t>
        </is>
      </c>
    </row>
    <row r="17" ht="24" customHeight="1">
      <c r="A17" s="19" t="inlineStr">
        <is>
          <t>TOTAL DOMAIN POINTS &amp; SUMMARY: BOILER HOUSE, SAFETY &amp; CATASTROPHIC CONTINUITY</t>
        </is>
      </c>
      <c r="B17" s="19" t="n"/>
      <c r="C17" s="19" t="n"/>
      <c r="D17" s="19" t="n"/>
      <c r="E17" s="19" t="n"/>
      <c r="F17" s="19" t="n"/>
      <c r="G17" s="19" t="n"/>
      <c r="H17" s="19" t="n"/>
      <c r="I17" s="19" t="n"/>
      <c r="J17" s="19" t="n"/>
      <c r="K17" s="20">
        <f>SUM(K12:K16)</f>
        <v/>
      </c>
      <c r="L17" s="20">
        <f>SUM(L12:L16)</f>
        <v/>
      </c>
      <c r="M17" s="20">
        <f>SUM(M12:M16)</f>
        <v/>
      </c>
      <c r="N17" s="22">
        <f>IF(M17&gt;0, TEXT(L17/M17, "0.0%") &amp; " - " &amp; IF(COUNTIF(N12:N16, "Critical")&gt;0, "Critical Failure", IF(L17/M17&gt;=0.85, "Substantial", IF(L17/M17&gt;=0.70, "Satisfactory", "Unsatisfactory"))), "N/A")</f>
        <v/>
      </c>
      <c r="O17" s="22" t="n"/>
      <c r="P17" s="22" t="n"/>
      <c r="Q17" s="22" t="n"/>
    </row>
  </sheetData>
  <mergeCells count="8">
    <mergeCell ref="J7:L7"/>
    <mergeCell ref="B5:J5"/>
    <mergeCell ref="A7:B7"/>
    <mergeCell ref="A3:Q3"/>
    <mergeCell ref="A17:J17"/>
    <mergeCell ref="N17:Q17"/>
    <mergeCell ref="A2:Q2"/>
    <mergeCell ref="M5:Q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2:K13"/>
  <sheetViews>
    <sheetView showGridLines="1" workbookViewId="0">
      <selection activeCell="A1" sqref="A1"/>
    </sheetView>
  </sheetViews>
  <sheetFormatPr baseColWidth="8" defaultRowHeight="15"/>
  <cols>
    <col width="12" customWidth="1" min="1" max="1"/>
    <col width="36" customWidth="1" min="2" max="2"/>
    <col width="42" customWidth="1" min="3" max="3"/>
    <col width="16" customWidth="1" min="4" max="4"/>
    <col width="14" customWidth="1" min="5" max="5"/>
    <col width="14" customWidth="1" min="6" max="6"/>
    <col width="14" customWidth="1" min="7" max="7"/>
    <col width="18" customWidth="1" min="8" max="8"/>
    <col width="16" customWidth="1" min="9" max="9"/>
    <col width="16" customWidth="1" min="10" max="10"/>
    <col width="24" customWidth="1" min="11" max="11"/>
  </cols>
  <sheetData>
    <row r="2" ht="28" customHeight="1">
      <c r="A2" s="1" t="inlineStr">
        <is>
          <t>FIVE CORE ASSURANCE PILLARS: STRATEGIC AGGREGATION MODEL</t>
        </is>
      </c>
    </row>
    <row r="3" ht="18" customHeight="1">
      <c r="A3" s="2" t="inlineStr">
        <is>
          <t>Consolidates 35 granular audit procedures across 7 operational domains into 5 fiduciary assurance statements.</t>
        </is>
      </c>
    </row>
    <row r="5" ht="26" customHeight="1">
      <c r="A5" s="36" t="inlineStr">
        <is>
          <t>Pillar ID</t>
        </is>
      </c>
      <c r="B5" s="36" t="inlineStr">
        <is>
          <t>Assurance Pillar Name</t>
        </is>
      </c>
      <c r="C5" s="36" t="inlineStr">
        <is>
          <t>Strategic Intent &amp; Risk Focus</t>
        </is>
      </c>
      <c r="D5" s="36" t="inlineStr">
        <is>
          <t>Procedures Count</t>
        </is>
      </c>
      <c r="E5" s="36" t="inlineStr">
        <is>
          <t>Max Points</t>
        </is>
      </c>
      <c r="F5" s="36" t="inlineStr">
        <is>
          <t>Earned Points</t>
        </is>
      </c>
      <c r="G5" s="36" t="inlineStr">
        <is>
          <t>Pillar Score %</t>
        </is>
      </c>
      <c r="H5" s="36" t="inlineStr">
        <is>
          <t>Critical Failures</t>
        </is>
      </c>
      <c r="I5" s="36" t="inlineStr">
        <is>
          <t>High Risk Issues</t>
        </is>
      </c>
      <c r="J5" s="36" t="inlineStr">
        <is>
          <t>Medium Issues</t>
        </is>
      </c>
      <c r="K5" s="36" t="inlineStr">
        <is>
          <t>Pillar Assurance Rating</t>
        </is>
      </c>
    </row>
    <row r="6" ht="36" customHeight="1">
      <c r="A6" s="14" t="inlineStr">
        <is>
          <t>PILLAR 1</t>
        </is>
      </c>
      <c r="B6" s="15" t="inlineStr">
        <is>
          <t>1. Margin Truthfulness</t>
        </is>
      </c>
      <c r="C6" s="37" t="inlineStr">
        <is>
          <t>Ensuring actual production costs, paper grammage, adhesive dry solids consumption, machine run speeds, and job waste match ERP standard costing. Eliminating invisible cost creep and phantom scrap margins.</t>
        </is>
      </c>
      <c r="D6" s="16">
        <f>COUNTIF('AP_1_RAW_Paper_Logistics'!D$12:D$16, B6) + COUNTIF('AP_2_COR_Corrugator'!D$12:D$16, B6) + COUNTIF('AP_3_CON_Converting'!D$12:D$16, B6) + COUNTIF('AP_4_SCP_Scrap_Baling'!D$12:D$16, B6) + COUNTIF('AP_5_MRO_Asset_Tooling'!D$12:D$16, B6) + COUNTIF('AP_6_LOC_Warehouse_Dispatch'!D$12:D$16, B6) + COUNTIF('AP_7_EHS_Boiler_Continuity'!D$12:D$16, B6)</f>
        <v/>
      </c>
      <c r="E6" s="16">
        <f>SUMIF('AP_1_RAW_Paper_Logistics'!D$12:D$16, B6, 'AP_1_RAW_Paper_Logistics'!M$12:M$16) + SUMIF('AP_2_COR_Corrugator'!D$12:D$16, B6, 'AP_2_COR_Corrugator'!M$12:M$16) + SUMIF('AP_3_CON_Converting'!D$12:D$16, B6, 'AP_3_CON_Converting'!M$12:M$16) + SUMIF('AP_4_SCP_Scrap_Baling'!D$12:D$16, B6, 'AP_4_SCP_Scrap_Baling'!M$12:M$16) + SUMIF('AP_5_MRO_Asset_Tooling'!D$12:D$16, B6, 'AP_5_MRO_Asset_Tooling'!M$12:M$16) + SUMIF('AP_6_LOC_Warehouse_Dispatch'!D$12:D$16, B6, 'AP_6_LOC_Warehouse_Dispatch'!M$12:M$16) + SUMIF('AP_7_EHS_Boiler_Continuity'!D$12:D$16, B6, 'AP_7_EHS_Boiler_Continuity'!M$12:M$16)</f>
        <v/>
      </c>
      <c r="F6" s="17">
        <f>SUMIF('AP_1_RAW_Paper_Logistics'!D$12:D$16, B6, 'AP_1_RAW_Paper_Logistics'!L$12:L$16) + SUMIF('AP_2_COR_Corrugator'!D$12:D$16, B6, 'AP_2_COR_Corrugator'!L$12:L$16) + SUMIF('AP_3_CON_Converting'!D$12:D$16, B6, 'AP_3_CON_Converting'!L$12:L$16) + SUMIF('AP_4_SCP_Scrap_Baling'!D$12:D$16, B6, 'AP_4_SCP_Scrap_Baling'!L$12:L$16) + SUMIF('AP_5_MRO_Asset_Tooling'!D$12:D$16, B6, 'AP_5_MRO_Asset_Tooling'!L$12:L$16) + SUMIF('AP_6_LOC_Warehouse_Dispatch'!D$12:D$16, B6, 'AP_6_LOC_Warehouse_Dispatch'!L$12:L$16) + SUMIF('AP_7_EHS_Boiler_Continuity'!D$12:D$16, B6, 'AP_7_EHS_Boiler_Continuity'!L$12:L$16)</f>
        <v/>
      </c>
      <c r="G6" s="18">
        <f>IF(E6&gt;0, F6/E6, 0)</f>
        <v/>
      </c>
      <c r="H6" s="17">
        <f>COUNTIFS('AP_1_RAW_Paper_Logistics'!D$12:D$16, B6, 'AP_1_RAW_Paper_Logistics'!N$12:N$16, "Critical") + COUNTIFS('AP_2_COR_Corrugator'!D$12:D$16, B6, 'AP_2_COR_Corrugator'!N$12:N$16, "Critical") + COUNTIFS('AP_3_CON_Converting'!D$12:D$16, B6, 'AP_3_CON_Converting'!N$12:N$16, "Critical") + COUNTIFS('AP_4_SCP_Scrap_Baling'!D$12:D$16, B6, 'AP_4_SCP_Scrap_Baling'!N$12:N$16, "Critical") + COUNTIFS('AP_5_MRO_Asset_Tooling'!D$12:D$16, B6, 'AP_5_MRO_Asset_Tooling'!N$12:N$16, "Critical") + COUNTIFS('AP_6_LOC_Warehouse_Dispatch'!D$12:D$16, B6, 'AP_6_LOC_Warehouse_Dispatch'!N$12:N$16, "Critical") + COUNTIFS('AP_7_EHS_Boiler_Continuity'!D$12:D$16, B6, 'AP_7_EHS_Boiler_Continuity'!N$12:N$16, "Critical")</f>
        <v/>
      </c>
      <c r="I6" s="16">
        <f>COUNTIFS('AP_1_RAW_Paper_Logistics'!D$12:D$16, B6, 'AP_1_RAW_Paper_Logistics'!N$12:N$16, "High") + COUNTIFS('AP_2_COR_Corrugator'!D$12:D$16, B6, 'AP_2_COR_Corrugator'!N$12:N$16, "High") + COUNTIFS('AP_3_CON_Converting'!D$12:D$16, B6, 'AP_3_CON_Converting'!N$12:N$16, "High") + COUNTIFS('AP_4_SCP_Scrap_Baling'!D$12:D$16, B6, 'AP_4_SCP_Scrap_Baling'!N$12:N$16, "High") + COUNTIFS('AP_5_MRO_Asset_Tooling'!D$12:D$16, B6, 'AP_5_MRO_Asset_Tooling'!N$12:N$16, "High") + COUNTIFS('AP_6_LOC_Warehouse_Dispatch'!D$12:D$16, B6, 'AP_6_LOC_Warehouse_Dispatch'!N$12:N$16, "High") + COUNTIFS('AP_7_EHS_Boiler_Continuity'!D$12:D$16, B6, 'AP_7_EHS_Boiler_Continuity'!N$12:N$16, "High")</f>
        <v/>
      </c>
      <c r="J6" s="16">
        <f>COUNTIFS('AP_1_RAW_Paper_Logistics'!D$12:D$16, B6, 'AP_1_RAW_Paper_Logistics'!N$12:N$16, "Medium") + COUNTIFS('AP_2_COR_Corrugator'!D$12:D$16, B6, 'AP_2_COR_Corrugator'!N$12:N$16, "Medium") + COUNTIFS('AP_3_CON_Converting'!D$12:D$16, B6, 'AP_3_CON_Converting'!N$12:N$16, "Medium") + COUNTIFS('AP_4_SCP_Scrap_Baling'!D$12:D$16, B6, 'AP_4_SCP_Scrap_Baling'!N$12:N$16, "Medium") + COUNTIFS('AP_5_MRO_Asset_Tooling'!D$12:D$16, B6, 'AP_5_MRO_Asset_Tooling'!N$12:N$16, "Medium") + COUNTIFS('AP_6_LOC_Warehouse_Dispatch'!D$12:D$16, B6, 'AP_6_LOC_Warehouse_Dispatch'!N$12:N$16, "Medium") + COUNTIFS('AP_7_EHS_Boiler_Continuity'!D$12:D$16, B6, 'AP_7_EHS_Boiler_Continuity'!N$12:N$16, "Medium")</f>
        <v/>
      </c>
      <c r="K6" s="14">
        <f>IF(H6&gt;0, "Critical Failure", IF(G6&gt;=0.85, "Substantial Assurance", IF(G6&gt;=0.70, "Satisfactory / Moderate", IF(G6&gt;=0.55, "Limited Assurance", "Unsatisfactory"))))</f>
        <v/>
      </c>
    </row>
    <row r="7" ht="36" customHeight="1">
      <c r="A7" s="14" t="inlineStr">
        <is>
          <t>PILLAR 2</t>
        </is>
      </c>
      <c r="B7" s="15" t="inlineStr">
        <is>
          <t>2. Asset Longevity</t>
        </is>
      </c>
      <c r="C7" s="37" t="inlineStr">
        <is>
          <t>Preserving capital machinery life, eliminating accelerated wear on critical tooling (corrugator rolls, anilox rolls, polyurethane anvil blankets, cutting dies), and verifying condition-based preventive maintenance.</t>
        </is>
      </c>
      <c r="D7" s="16">
        <f>COUNTIF('AP_1_RAW_Paper_Logistics'!D$12:D$16, B7) + COUNTIF('AP_2_COR_Corrugator'!D$12:D$16, B7) + COUNTIF('AP_3_CON_Converting'!D$12:D$16, B7) + COUNTIF('AP_4_SCP_Scrap_Baling'!D$12:D$16, B7) + COUNTIF('AP_5_MRO_Asset_Tooling'!D$12:D$16, B7) + COUNTIF('AP_6_LOC_Warehouse_Dispatch'!D$12:D$16, B7) + COUNTIF('AP_7_EHS_Boiler_Continuity'!D$12:D$16, B7)</f>
        <v/>
      </c>
      <c r="E7" s="16">
        <f>SUMIF('AP_1_RAW_Paper_Logistics'!D$12:D$16, B7, 'AP_1_RAW_Paper_Logistics'!M$12:M$16) + SUMIF('AP_2_COR_Corrugator'!D$12:D$16, B7, 'AP_2_COR_Corrugator'!M$12:M$16) + SUMIF('AP_3_CON_Converting'!D$12:D$16, B7, 'AP_3_CON_Converting'!M$12:M$16) + SUMIF('AP_4_SCP_Scrap_Baling'!D$12:D$16, B7, 'AP_4_SCP_Scrap_Baling'!M$12:M$16) + SUMIF('AP_5_MRO_Asset_Tooling'!D$12:D$16, B7, 'AP_5_MRO_Asset_Tooling'!M$12:M$16) + SUMIF('AP_6_LOC_Warehouse_Dispatch'!D$12:D$16, B7, 'AP_6_LOC_Warehouse_Dispatch'!M$12:M$16) + SUMIF('AP_7_EHS_Boiler_Continuity'!D$12:D$16, B7, 'AP_7_EHS_Boiler_Continuity'!M$12:M$16)</f>
        <v/>
      </c>
      <c r="F7" s="17">
        <f>SUMIF('AP_1_RAW_Paper_Logistics'!D$12:D$16, B7, 'AP_1_RAW_Paper_Logistics'!L$12:L$16) + SUMIF('AP_2_COR_Corrugator'!D$12:D$16, B7, 'AP_2_COR_Corrugator'!L$12:L$16) + SUMIF('AP_3_CON_Converting'!D$12:D$16, B7, 'AP_3_CON_Converting'!L$12:L$16) + SUMIF('AP_4_SCP_Scrap_Baling'!D$12:D$16, B7, 'AP_4_SCP_Scrap_Baling'!L$12:L$16) + SUMIF('AP_5_MRO_Asset_Tooling'!D$12:D$16, B7, 'AP_5_MRO_Asset_Tooling'!L$12:L$16) + SUMIF('AP_6_LOC_Warehouse_Dispatch'!D$12:D$16, B7, 'AP_6_LOC_Warehouse_Dispatch'!L$12:L$16) + SUMIF('AP_7_EHS_Boiler_Continuity'!D$12:D$16, B7, 'AP_7_EHS_Boiler_Continuity'!L$12:L$16)</f>
        <v/>
      </c>
      <c r="G7" s="18">
        <f>IF(E7&gt;0, F7/E7, 0)</f>
        <v/>
      </c>
      <c r="H7" s="17">
        <f>COUNTIFS('AP_1_RAW_Paper_Logistics'!D$12:D$16, B7, 'AP_1_RAW_Paper_Logistics'!N$12:N$16, "Critical") + COUNTIFS('AP_2_COR_Corrugator'!D$12:D$16, B7, 'AP_2_COR_Corrugator'!N$12:N$16, "Critical") + COUNTIFS('AP_3_CON_Converting'!D$12:D$16, B7, 'AP_3_CON_Converting'!N$12:N$16, "Critical") + COUNTIFS('AP_4_SCP_Scrap_Baling'!D$12:D$16, B7, 'AP_4_SCP_Scrap_Baling'!N$12:N$16, "Critical") + COUNTIFS('AP_5_MRO_Asset_Tooling'!D$12:D$16, B7, 'AP_5_MRO_Asset_Tooling'!N$12:N$16, "Critical") + COUNTIFS('AP_6_LOC_Warehouse_Dispatch'!D$12:D$16, B7, 'AP_6_LOC_Warehouse_Dispatch'!N$12:N$16, "Critical") + COUNTIFS('AP_7_EHS_Boiler_Continuity'!D$12:D$16, B7, 'AP_7_EHS_Boiler_Continuity'!N$12:N$16, "Critical")</f>
        <v/>
      </c>
      <c r="I7" s="16">
        <f>COUNTIFS('AP_1_RAW_Paper_Logistics'!D$12:D$16, B7, 'AP_1_RAW_Paper_Logistics'!N$12:N$16, "High") + COUNTIFS('AP_2_COR_Corrugator'!D$12:D$16, B7, 'AP_2_COR_Corrugator'!N$12:N$16, "High") + COUNTIFS('AP_3_CON_Converting'!D$12:D$16, B7, 'AP_3_CON_Converting'!N$12:N$16, "High") + COUNTIFS('AP_4_SCP_Scrap_Baling'!D$12:D$16, B7, 'AP_4_SCP_Scrap_Baling'!N$12:N$16, "High") + COUNTIFS('AP_5_MRO_Asset_Tooling'!D$12:D$16, B7, 'AP_5_MRO_Asset_Tooling'!N$12:N$16, "High") + COUNTIFS('AP_6_LOC_Warehouse_Dispatch'!D$12:D$16, B7, 'AP_6_LOC_Warehouse_Dispatch'!N$12:N$16, "High") + COUNTIFS('AP_7_EHS_Boiler_Continuity'!D$12:D$16, B7, 'AP_7_EHS_Boiler_Continuity'!N$12:N$16, "High")</f>
        <v/>
      </c>
      <c r="J7" s="16">
        <f>COUNTIFS('AP_1_RAW_Paper_Logistics'!D$12:D$16, B7, 'AP_1_RAW_Paper_Logistics'!N$12:N$16, "Medium") + COUNTIFS('AP_2_COR_Corrugator'!D$12:D$16, B7, 'AP_2_COR_Corrugator'!N$12:N$16, "Medium") + COUNTIFS('AP_3_CON_Converting'!D$12:D$16, B7, 'AP_3_CON_Converting'!N$12:N$16, "Medium") + COUNTIFS('AP_4_SCP_Scrap_Baling'!D$12:D$16, B7, 'AP_4_SCP_Scrap_Baling'!N$12:N$16, "Medium") + COUNTIFS('AP_5_MRO_Asset_Tooling'!D$12:D$16, B7, 'AP_5_MRO_Asset_Tooling'!N$12:N$16, "Medium") + COUNTIFS('AP_6_LOC_Warehouse_Dispatch'!D$12:D$16, B7, 'AP_6_LOC_Warehouse_Dispatch'!N$12:N$16, "Medium") + COUNTIFS('AP_7_EHS_Boiler_Continuity'!D$12:D$16, B7, 'AP_7_EHS_Boiler_Continuity'!N$12:N$16, "Medium")</f>
        <v/>
      </c>
      <c r="K7" s="14">
        <f>IF(H7&gt;0, "Critical Failure", IF(G7&gt;=0.85, "Substantial Assurance", IF(G7&gt;=0.70, "Satisfactory / Moderate", IF(G7&gt;=0.55, "Limited Assurance", "Unsatisfactory"))))</f>
        <v/>
      </c>
    </row>
    <row r="8" ht="36" customHeight="1">
      <c r="A8" s="14" t="inlineStr">
        <is>
          <t>PILLAR 3</t>
        </is>
      </c>
      <c r="B8" s="15" t="inlineStr">
        <is>
          <t>3. Mass Balance &amp; Anti-Theft</t>
        </is>
      </c>
      <c r="C8" s="37" t="inlineStr">
        <is>
          <t>Rigorous reconciliation of all inbound paper fiber against good finished product output, legitimate baled scrap, and moisture loss. Detecting off-book scrap diversion, phantom deliveries, and inventory shrinkage.</t>
        </is>
      </c>
      <c r="D8" s="16">
        <f>COUNTIF('AP_1_RAW_Paper_Logistics'!D$12:D$16, B8) + COUNTIF('AP_2_COR_Corrugator'!D$12:D$16, B8) + COUNTIF('AP_3_CON_Converting'!D$12:D$16, B8) + COUNTIF('AP_4_SCP_Scrap_Baling'!D$12:D$16, B8) + COUNTIF('AP_5_MRO_Asset_Tooling'!D$12:D$16, B8) + COUNTIF('AP_6_LOC_Warehouse_Dispatch'!D$12:D$16, B8) + COUNTIF('AP_7_EHS_Boiler_Continuity'!D$12:D$16, B8)</f>
        <v/>
      </c>
      <c r="E8" s="16">
        <f>SUMIF('AP_1_RAW_Paper_Logistics'!D$12:D$16, B8, 'AP_1_RAW_Paper_Logistics'!M$12:M$16) + SUMIF('AP_2_COR_Corrugator'!D$12:D$16, B8, 'AP_2_COR_Corrugator'!M$12:M$16) + SUMIF('AP_3_CON_Converting'!D$12:D$16, B8, 'AP_3_CON_Converting'!M$12:M$16) + SUMIF('AP_4_SCP_Scrap_Baling'!D$12:D$16, B8, 'AP_4_SCP_Scrap_Baling'!M$12:M$16) + SUMIF('AP_5_MRO_Asset_Tooling'!D$12:D$16, B8, 'AP_5_MRO_Asset_Tooling'!M$12:M$16) + SUMIF('AP_6_LOC_Warehouse_Dispatch'!D$12:D$16, B8, 'AP_6_LOC_Warehouse_Dispatch'!M$12:M$16) + SUMIF('AP_7_EHS_Boiler_Continuity'!D$12:D$16, B8, 'AP_7_EHS_Boiler_Continuity'!M$12:M$16)</f>
        <v/>
      </c>
      <c r="F8" s="17">
        <f>SUMIF('AP_1_RAW_Paper_Logistics'!D$12:D$16, B8, 'AP_1_RAW_Paper_Logistics'!L$12:L$16) + SUMIF('AP_2_COR_Corrugator'!D$12:D$16, B8, 'AP_2_COR_Corrugator'!L$12:L$16) + SUMIF('AP_3_CON_Converting'!D$12:D$16, B8, 'AP_3_CON_Converting'!L$12:L$16) + SUMIF('AP_4_SCP_Scrap_Baling'!D$12:D$16, B8, 'AP_4_SCP_Scrap_Baling'!L$12:L$16) + SUMIF('AP_5_MRO_Asset_Tooling'!D$12:D$16, B8, 'AP_5_MRO_Asset_Tooling'!L$12:L$16) + SUMIF('AP_6_LOC_Warehouse_Dispatch'!D$12:D$16, B8, 'AP_6_LOC_Warehouse_Dispatch'!L$12:L$16) + SUMIF('AP_7_EHS_Boiler_Continuity'!D$12:D$16, B8, 'AP_7_EHS_Boiler_Continuity'!L$12:L$16)</f>
        <v/>
      </c>
      <c r="G8" s="18">
        <f>IF(E8&gt;0, F8/E8, 0)</f>
        <v/>
      </c>
      <c r="H8" s="17">
        <f>COUNTIFS('AP_1_RAW_Paper_Logistics'!D$12:D$16, B8, 'AP_1_RAW_Paper_Logistics'!N$12:N$16, "Critical") + COUNTIFS('AP_2_COR_Corrugator'!D$12:D$16, B8, 'AP_2_COR_Corrugator'!N$12:N$16, "Critical") + COUNTIFS('AP_3_CON_Converting'!D$12:D$16, B8, 'AP_3_CON_Converting'!N$12:N$16, "Critical") + COUNTIFS('AP_4_SCP_Scrap_Baling'!D$12:D$16, B8, 'AP_4_SCP_Scrap_Baling'!N$12:N$16, "Critical") + COUNTIFS('AP_5_MRO_Asset_Tooling'!D$12:D$16, B8, 'AP_5_MRO_Asset_Tooling'!N$12:N$16, "Critical") + COUNTIFS('AP_6_LOC_Warehouse_Dispatch'!D$12:D$16, B8, 'AP_6_LOC_Warehouse_Dispatch'!N$12:N$16, "Critical") + COUNTIFS('AP_7_EHS_Boiler_Continuity'!D$12:D$16, B8, 'AP_7_EHS_Boiler_Continuity'!N$12:N$16, "Critical")</f>
        <v/>
      </c>
      <c r="I8" s="16">
        <f>COUNTIFS('AP_1_RAW_Paper_Logistics'!D$12:D$16, B8, 'AP_1_RAW_Paper_Logistics'!N$12:N$16, "High") + COUNTIFS('AP_2_COR_Corrugator'!D$12:D$16, B8, 'AP_2_COR_Corrugator'!N$12:N$16, "High") + COUNTIFS('AP_3_CON_Converting'!D$12:D$16, B8, 'AP_3_CON_Converting'!N$12:N$16, "High") + COUNTIFS('AP_4_SCP_Scrap_Baling'!D$12:D$16, B8, 'AP_4_SCP_Scrap_Baling'!N$12:N$16, "High") + COUNTIFS('AP_5_MRO_Asset_Tooling'!D$12:D$16, B8, 'AP_5_MRO_Asset_Tooling'!N$12:N$16, "High") + COUNTIFS('AP_6_LOC_Warehouse_Dispatch'!D$12:D$16, B8, 'AP_6_LOC_Warehouse_Dispatch'!N$12:N$16, "High") + COUNTIFS('AP_7_EHS_Boiler_Continuity'!D$12:D$16, B8, 'AP_7_EHS_Boiler_Continuity'!N$12:N$16, "High")</f>
        <v/>
      </c>
      <c r="J8" s="16">
        <f>COUNTIFS('AP_1_RAW_Paper_Logistics'!D$12:D$16, B8, 'AP_1_RAW_Paper_Logistics'!N$12:N$16, "Medium") + COUNTIFS('AP_2_COR_Corrugator'!D$12:D$16, B8, 'AP_2_COR_Corrugator'!N$12:N$16, "Medium") + COUNTIFS('AP_3_CON_Converting'!D$12:D$16, B8, 'AP_3_CON_Converting'!N$12:N$16, "Medium") + COUNTIFS('AP_4_SCP_Scrap_Baling'!D$12:D$16, B8, 'AP_4_SCP_Scrap_Baling'!N$12:N$16, "Medium") + COUNTIFS('AP_5_MRO_Asset_Tooling'!D$12:D$16, B8, 'AP_5_MRO_Asset_Tooling'!N$12:N$16, "Medium") + COUNTIFS('AP_6_LOC_Warehouse_Dispatch'!D$12:D$16, B8, 'AP_6_LOC_Warehouse_Dispatch'!N$12:N$16, "Medium") + COUNTIFS('AP_7_EHS_Boiler_Continuity'!D$12:D$16, B8, 'AP_7_EHS_Boiler_Continuity'!N$12:N$16, "Medium")</f>
        <v/>
      </c>
      <c r="K8" s="14">
        <f>IF(H8&gt;0, "Critical Failure", IF(G8&gt;=0.85, "Substantial Assurance", IF(G8&gt;=0.70, "Satisfactory / Moderate", IF(G8&gt;=0.55, "Limited Assurance", "Unsatisfactory"))))</f>
        <v/>
      </c>
    </row>
    <row r="9" ht="36" customHeight="1">
      <c r="A9" s="14" t="inlineStr">
        <is>
          <t>PILLAR 4</t>
        </is>
      </c>
      <c r="B9" s="15" t="inlineStr">
        <is>
          <t>4. Catastrophic Continuity</t>
        </is>
      </c>
      <c r="C9" s="37" t="inlineStr">
        <is>
          <t>Mitigating low-frequency, high-severity operational exposures: steam boiler explosions, reel yard fires, starch dust deflagrations, environmental wash-water breaches, and catastrophic power/transformer failures.</t>
        </is>
      </c>
      <c r="D9" s="16">
        <f>COUNTIF('AP_1_RAW_Paper_Logistics'!D$12:D$16, B9) + COUNTIF('AP_2_COR_Corrugator'!D$12:D$16, B9) + COUNTIF('AP_3_CON_Converting'!D$12:D$16, B9) + COUNTIF('AP_4_SCP_Scrap_Baling'!D$12:D$16, B9) + COUNTIF('AP_5_MRO_Asset_Tooling'!D$12:D$16, B9) + COUNTIF('AP_6_LOC_Warehouse_Dispatch'!D$12:D$16, B9) + COUNTIF('AP_7_EHS_Boiler_Continuity'!D$12:D$16, B9)</f>
        <v/>
      </c>
      <c r="E9" s="16">
        <f>SUMIF('AP_1_RAW_Paper_Logistics'!D$12:D$16, B9, 'AP_1_RAW_Paper_Logistics'!M$12:M$16) + SUMIF('AP_2_COR_Corrugator'!D$12:D$16, B9, 'AP_2_COR_Corrugator'!M$12:M$16) + SUMIF('AP_3_CON_Converting'!D$12:D$16, B9, 'AP_3_CON_Converting'!M$12:M$16) + SUMIF('AP_4_SCP_Scrap_Baling'!D$12:D$16, B9, 'AP_4_SCP_Scrap_Baling'!M$12:M$16) + SUMIF('AP_5_MRO_Asset_Tooling'!D$12:D$16, B9, 'AP_5_MRO_Asset_Tooling'!M$12:M$16) + SUMIF('AP_6_LOC_Warehouse_Dispatch'!D$12:D$16, B9, 'AP_6_LOC_Warehouse_Dispatch'!M$12:M$16) + SUMIF('AP_7_EHS_Boiler_Continuity'!D$12:D$16, B9, 'AP_7_EHS_Boiler_Continuity'!M$12:M$16)</f>
        <v/>
      </c>
      <c r="F9" s="17">
        <f>SUMIF('AP_1_RAW_Paper_Logistics'!D$12:D$16, B9, 'AP_1_RAW_Paper_Logistics'!L$12:L$16) + SUMIF('AP_2_COR_Corrugator'!D$12:D$16, B9, 'AP_2_COR_Corrugator'!L$12:L$16) + SUMIF('AP_3_CON_Converting'!D$12:D$16, B9, 'AP_3_CON_Converting'!L$12:L$16) + SUMIF('AP_4_SCP_Scrap_Baling'!D$12:D$16, B9, 'AP_4_SCP_Scrap_Baling'!L$12:L$16) + SUMIF('AP_5_MRO_Asset_Tooling'!D$12:D$16, B9, 'AP_5_MRO_Asset_Tooling'!L$12:L$16) + SUMIF('AP_6_LOC_Warehouse_Dispatch'!D$12:D$16, B9, 'AP_6_LOC_Warehouse_Dispatch'!L$12:L$16) + SUMIF('AP_7_EHS_Boiler_Continuity'!D$12:D$16, B9, 'AP_7_EHS_Boiler_Continuity'!L$12:L$16)</f>
        <v/>
      </c>
      <c r="G9" s="18">
        <f>IF(E9&gt;0, F9/E9, 0)</f>
        <v/>
      </c>
      <c r="H9" s="17">
        <f>COUNTIFS('AP_1_RAW_Paper_Logistics'!D$12:D$16, B9, 'AP_1_RAW_Paper_Logistics'!N$12:N$16, "Critical") + COUNTIFS('AP_2_COR_Corrugator'!D$12:D$16, B9, 'AP_2_COR_Corrugator'!N$12:N$16, "Critical") + COUNTIFS('AP_3_CON_Converting'!D$12:D$16, B9, 'AP_3_CON_Converting'!N$12:N$16, "Critical") + COUNTIFS('AP_4_SCP_Scrap_Baling'!D$12:D$16, B9, 'AP_4_SCP_Scrap_Baling'!N$12:N$16, "Critical") + COUNTIFS('AP_5_MRO_Asset_Tooling'!D$12:D$16, B9, 'AP_5_MRO_Asset_Tooling'!N$12:N$16, "Critical") + COUNTIFS('AP_6_LOC_Warehouse_Dispatch'!D$12:D$16, B9, 'AP_6_LOC_Warehouse_Dispatch'!N$12:N$16, "Critical") + COUNTIFS('AP_7_EHS_Boiler_Continuity'!D$12:D$16, B9, 'AP_7_EHS_Boiler_Continuity'!N$12:N$16, "Critical")</f>
        <v/>
      </c>
      <c r="I9" s="16">
        <f>COUNTIFS('AP_1_RAW_Paper_Logistics'!D$12:D$16, B9, 'AP_1_RAW_Paper_Logistics'!N$12:N$16, "High") + COUNTIFS('AP_2_COR_Corrugator'!D$12:D$16, B9, 'AP_2_COR_Corrugator'!N$12:N$16, "High") + COUNTIFS('AP_3_CON_Converting'!D$12:D$16, B9, 'AP_3_CON_Converting'!N$12:N$16, "High") + COUNTIFS('AP_4_SCP_Scrap_Baling'!D$12:D$16, B9, 'AP_4_SCP_Scrap_Baling'!N$12:N$16, "High") + COUNTIFS('AP_5_MRO_Asset_Tooling'!D$12:D$16, B9, 'AP_5_MRO_Asset_Tooling'!N$12:N$16, "High") + COUNTIFS('AP_6_LOC_Warehouse_Dispatch'!D$12:D$16, B9, 'AP_6_LOC_Warehouse_Dispatch'!N$12:N$16, "High") + COUNTIFS('AP_7_EHS_Boiler_Continuity'!D$12:D$16, B9, 'AP_7_EHS_Boiler_Continuity'!N$12:N$16, "High")</f>
        <v/>
      </c>
      <c r="J9" s="16">
        <f>COUNTIFS('AP_1_RAW_Paper_Logistics'!D$12:D$16, B9, 'AP_1_RAW_Paper_Logistics'!N$12:N$16, "Medium") + COUNTIFS('AP_2_COR_Corrugator'!D$12:D$16, B9, 'AP_2_COR_Corrugator'!N$12:N$16, "Medium") + COUNTIFS('AP_3_CON_Converting'!D$12:D$16, B9, 'AP_3_CON_Converting'!N$12:N$16, "Medium") + COUNTIFS('AP_4_SCP_Scrap_Baling'!D$12:D$16, B9, 'AP_4_SCP_Scrap_Baling'!N$12:N$16, "Medium") + COUNTIFS('AP_5_MRO_Asset_Tooling'!D$12:D$16, B9, 'AP_5_MRO_Asset_Tooling'!N$12:N$16, "Medium") + COUNTIFS('AP_6_LOC_Warehouse_Dispatch'!D$12:D$16, B9, 'AP_6_LOC_Warehouse_Dispatch'!N$12:N$16, "Medium") + COUNTIFS('AP_7_EHS_Boiler_Continuity'!D$12:D$16, B9, 'AP_7_EHS_Boiler_Continuity'!N$12:N$16, "Medium")</f>
        <v/>
      </c>
      <c r="K9" s="14">
        <f>IF(H9&gt;0, "Critical Failure", IF(G9&gt;=0.85, "Substantial Assurance", IF(G9&gt;=0.70, "Satisfactory / Moderate", IF(G9&gt;=0.55, "Limited Assurance", "Unsatisfactory"))))</f>
        <v/>
      </c>
    </row>
    <row r="10" ht="36" customHeight="1">
      <c r="A10" s="14" t="inlineStr">
        <is>
          <t>PILLAR 5</t>
        </is>
      </c>
      <c r="B10" s="15" t="inlineStr">
        <is>
          <t>5. Customer Bailee &amp; Spec Integrity</t>
        </is>
      </c>
      <c r="C10" s="37" t="inlineStr">
        <is>
          <t>Protecting the integrity of customer packaging specifications: Edge Crush Test (ECT), Box Compression Test (BCT), Mullen burst strength, Cobb water absorption, barcode ANSI grade, and dimensional tolerances.</t>
        </is>
      </c>
      <c r="D10" s="16">
        <f>COUNTIF('AP_1_RAW_Paper_Logistics'!D$12:D$16, B10) + COUNTIF('AP_2_COR_Corrugator'!D$12:D$16, B10) + COUNTIF('AP_3_CON_Converting'!D$12:D$16, B10) + COUNTIF('AP_4_SCP_Scrap_Baling'!D$12:D$16, B10) + COUNTIF('AP_5_MRO_Asset_Tooling'!D$12:D$16, B10) + COUNTIF('AP_6_LOC_Warehouse_Dispatch'!D$12:D$16, B10) + COUNTIF('AP_7_EHS_Boiler_Continuity'!D$12:D$16, B10)</f>
        <v/>
      </c>
      <c r="E10" s="16">
        <f>SUMIF('AP_1_RAW_Paper_Logistics'!D$12:D$16, B10, 'AP_1_RAW_Paper_Logistics'!M$12:M$16) + SUMIF('AP_2_COR_Corrugator'!D$12:D$16, B10, 'AP_2_COR_Corrugator'!M$12:M$16) + SUMIF('AP_3_CON_Converting'!D$12:D$16, B10, 'AP_3_CON_Converting'!M$12:M$16) + SUMIF('AP_4_SCP_Scrap_Baling'!D$12:D$16, B10, 'AP_4_SCP_Scrap_Baling'!M$12:M$16) + SUMIF('AP_5_MRO_Asset_Tooling'!D$12:D$16, B10, 'AP_5_MRO_Asset_Tooling'!M$12:M$16) + SUMIF('AP_6_LOC_Warehouse_Dispatch'!D$12:D$16, B10, 'AP_6_LOC_Warehouse_Dispatch'!M$12:M$16) + SUMIF('AP_7_EHS_Boiler_Continuity'!D$12:D$16, B10, 'AP_7_EHS_Boiler_Continuity'!M$12:M$16)</f>
        <v/>
      </c>
      <c r="F10" s="17">
        <f>SUMIF('AP_1_RAW_Paper_Logistics'!D$12:D$16, B10, 'AP_1_RAW_Paper_Logistics'!L$12:L$16) + SUMIF('AP_2_COR_Corrugator'!D$12:D$16, B10, 'AP_2_COR_Corrugator'!L$12:L$16) + SUMIF('AP_3_CON_Converting'!D$12:D$16, B10, 'AP_3_CON_Converting'!L$12:L$16) + SUMIF('AP_4_SCP_Scrap_Baling'!D$12:D$16, B10, 'AP_4_SCP_Scrap_Baling'!L$12:L$16) + SUMIF('AP_5_MRO_Asset_Tooling'!D$12:D$16, B10, 'AP_5_MRO_Asset_Tooling'!L$12:L$16) + SUMIF('AP_6_LOC_Warehouse_Dispatch'!D$12:D$16, B10, 'AP_6_LOC_Warehouse_Dispatch'!L$12:L$16) + SUMIF('AP_7_EHS_Boiler_Continuity'!D$12:D$16, B10, 'AP_7_EHS_Boiler_Continuity'!L$12:L$16)</f>
        <v/>
      </c>
      <c r="G10" s="18">
        <f>IF(E10&gt;0, F10/E10, 0)</f>
        <v/>
      </c>
      <c r="H10" s="17">
        <f>COUNTIFS('AP_1_RAW_Paper_Logistics'!D$12:D$16, B10, 'AP_1_RAW_Paper_Logistics'!N$12:N$16, "Critical") + COUNTIFS('AP_2_COR_Corrugator'!D$12:D$16, B10, 'AP_2_COR_Corrugator'!N$12:N$16, "Critical") + COUNTIFS('AP_3_CON_Converting'!D$12:D$16, B10, 'AP_3_CON_Converting'!N$12:N$16, "Critical") + COUNTIFS('AP_4_SCP_Scrap_Baling'!D$12:D$16, B10, 'AP_4_SCP_Scrap_Baling'!N$12:N$16, "Critical") + COUNTIFS('AP_5_MRO_Asset_Tooling'!D$12:D$16, B10, 'AP_5_MRO_Asset_Tooling'!N$12:N$16, "Critical") + COUNTIFS('AP_6_LOC_Warehouse_Dispatch'!D$12:D$16, B10, 'AP_6_LOC_Warehouse_Dispatch'!N$12:N$16, "Critical") + COUNTIFS('AP_7_EHS_Boiler_Continuity'!D$12:D$16, B10, 'AP_7_EHS_Boiler_Continuity'!N$12:N$16, "Critical")</f>
        <v/>
      </c>
      <c r="I10" s="16">
        <f>COUNTIFS('AP_1_RAW_Paper_Logistics'!D$12:D$16, B10, 'AP_1_RAW_Paper_Logistics'!N$12:N$16, "High") + COUNTIFS('AP_2_COR_Corrugator'!D$12:D$16, B10, 'AP_2_COR_Corrugator'!N$12:N$16, "High") + COUNTIFS('AP_3_CON_Converting'!D$12:D$16, B10, 'AP_3_CON_Converting'!N$12:N$16, "High") + COUNTIFS('AP_4_SCP_Scrap_Baling'!D$12:D$16, B10, 'AP_4_SCP_Scrap_Baling'!N$12:N$16, "High") + COUNTIFS('AP_5_MRO_Asset_Tooling'!D$12:D$16, B10, 'AP_5_MRO_Asset_Tooling'!N$12:N$16, "High") + COUNTIFS('AP_6_LOC_Warehouse_Dispatch'!D$12:D$16, B10, 'AP_6_LOC_Warehouse_Dispatch'!N$12:N$16, "High") + COUNTIFS('AP_7_EHS_Boiler_Continuity'!D$12:D$16, B10, 'AP_7_EHS_Boiler_Continuity'!N$12:N$16, "High")</f>
        <v/>
      </c>
      <c r="J10" s="16">
        <f>COUNTIFS('AP_1_RAW_Paper_Logistics'!D$12:D$16, B10, 'AP_1_RAW_Paper_Logistics'!N$12:N$16, "Medium") + COUNTIFS('AP_2_COR_Corrugator'!D$12:D$16, B10, 'AP_2_COR_Corrugator'!N$12:N$16, "Medium") + COUNTIFS('AP_3_CON_Converting'!D$12:D$16, B10, 'AP_3_CON_Converting'!N$12:N$16, "Medium") + COUNTIFS('AP_4_SCP_Scrap_Baling'!D$12:D$16, B10, 'AP_4_SCP_Scrap_Baling'!N$12:N$16, "Medium") + COUNTIFS('AP_5_MRO_Asset_Tooling'!D$12:D$16, B10, 'AP_5_MRO_Asset_Tooling'!N$12:N$16, "Medium") + COUNTIFS('AP_6_LOC_Warehouse_Dispatch'!D$12:D$16, B10, 'AP_6_LOC_Warehouse_Dispatch'!N$12:N$16, "Medium") + COUNTIFS('AP_7_EHS_Boiler_Continuity'!D$12:D$16, B10, 'AP_7_EHS_Boiler_Continuity'!N$12:N$16, "Medium")</f>
        <v/>
      </c>
      <c r="K10" s="14">
        <f>IF(H10&gt;0, "Critical Failure", IF(G10&gt;=0.85, "Substantial Assurance", IF(G10&gt;=0.70, "Satisfactory / Moderate", IF(G10&gt;=0.55, "Limited Assurance", "Unsatisfactory"))))</f>
        <v/>
      </c>
    </row>
    <row r="11" ht="26" customHeight="1">
      <c r="A11" s="19" t="inlineStr">
        <is>
          <t>TOTAL CONSOLIDATED PLANT RATINGS</t>
        </is>
      </c>
      <c r="D11" s="20">
        <f>SUM(D6:D10)</f>
        <v/>
      </c>
      <c r="E11" s="20">
        <f>SUM(E6:E10)</f>
        <v/>
      </c>
      <c r="F11" s="20">
        <f>SUM(F6:F10)</f>
        <v/>
      </c>
      <c r="G11" s="21">
        <f>IF(E11&gt;0, F11/E11, 0)</f>
        <v/>
      </c>
      <c r="H11" s="20">
        <f>SUM(H6:H10)</f>
        <v/>
      </c>
      <c r="I11" s="20">
        <f>SUM(I6:I10)</f>
        <v/>
      </c>
      <c r="J11" s="20">
        <f>SUM(J6:J10)</f>
        <v/>
      </c>
      <c r="K11" s="22">
        <f>IF(H11&gt;0, "Unsatisfactory (Critical Override)", IF(G11&gt;=0.85, "Substantial Assurance", IF(G11&gt;=0.70, "Satisfactory / Moderate", IF(G11&gt;=0.55, "Limited Assurance", "Unsatisfactory"))))</f>
        <v/>
      </c>
    </row>
    <row r="13" ht="22" customHeight="1">
      <c r="A13" s="41" t="inlineStr">
        <is>
          <t>Framework Architect: Majid Mumtaz | CIA, ACA, FCCA, GRCP, GRCA, COSO ERM | The Audit Signal: https://www.linkedin.com/newsletters/the-audit-signal-7339153291630510080/ | Portfolio: https://majidrajpar.github.io/portfolio_my</t>
        </is>
      </c>
    </row>
  </sheetData>
  <mergeCells count="4">
    <mergeCell ref="A2:K2"/>
    <mergeCell ref="A13:K13"/>
    <mergeCell ref="A11:C11"/>
    <mergeCell ref="A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H30"/>
  <sheetViews>
    <sheetView showGridLines="1" workbookViewId="0">
      <selection activeCell="A1" sqref="A1"/>
    </sheetView>
  </sheetViews>
  <sheetFormatPr baseColWidth="8" defaultRowHeight="15"/>
  <cols>
    <col width="16" customWidth="1" min="1" max="1"/>
    <col width="22" customWidth="1" min="2" max="2"/>
    <col width="20" customWidth="1" min="3" max="3"/>
    <col width="18" customWidth="1" min="4" max="4"/>
    <col width="18" customWidth="1" min="5" max="5"/>
    <col width="18" customWidth="1" min="6" max="6"/>
    <col width="18" customWidth="1" min="7" max="7"/>
    <col width="30" customWidth="1" min="8" max="8"/>
  </cols>
  <sheetData>
    <row r="2" ht="28" customHeight="1">
      <c r="A2" s="1" t="inlineStr">
        <is>
          <t>INTERNAL AUDIT METHODOLOGY &amp; OBJECTIVE SCORING FRAMEWORK</t>
        </is>
      </c>
    </row>
    <row r="3" ht="18" customHeight="1">
      <c r="A3" s="2" t="inlineStr">
        <is>
          <t>Mathematical Model, Risk Weighting Rubrics, and the Critical Override Governance Protocol</t>
        </is>
      </c>
    </row>
    <row r="5" ht="22" customHeight="1">
      <c r="A5" s="12" t="inlineStr">
        <is>
          <t>1. CONTROL OPERATING EFFECTIVENESS EVALUATION RUBRIC</t>
        </is>
      </c>
    </row>
    <row r="6" ht="22" customHeight="1">
      <c r="A6" s="13" t="inlineStr">
        <is>
          <t>Rating Code</t>
        </is>
      </c>
      <c r="B6" s="13" t="inlineStr">
        <is>
          <t>Rating Status</t>
        </is>
      </c>
      <c r="C6" s="13" t="inlineStr">
        <is>
          <t>Point Multiplier</t>
        </is>
      </c>
      <c r="D6" s="13" t="inlineStr">
        <is>
          <t>Evidence Threshold &amp; Technical Audit Criteria</t>
        </is>
      </c>
      <c r="H6" s="13" t="inlineStr">
        <is>
          <t>Impact on Overall Opinion</t>
        </is>
      </c>
    </row>
    <row r="7" ht="34" customHeight="1">
      <c r="A7" s="14" t="inlineStr">
        <is>
          <t>Score 4</t>
        </is>
      </c>
      <c r="B7" s="14" t="inlineStr">
        <is>
          <t>Effective</t>
        </is>
      </c>
      <c r="C7" s="42" t="inlineStr">
        <is>
          <t>100% (4 / 4)</t>
        </is>
      </c>
      <c r="D7" s="26" t="inlineStr">
        <is>
          <t>Continuous automated telemetry verified (SCADA, PLC, RS-232 weighbridge, ERP backflush). Zero material exceptions across full population testing. Detective and preventive controls functioning as designed.</t>
        </is>
      </c>
      <c r="H7" s="37" t="inlineStr">
        <is>
          <t>Earns full risk-weighted points; no deficiency recorded.</t>
        </is>
      </c>
    </row>
    <row r="8" ht="34" customHeight="1">
      <c r="A8" s="14" t="inlineStr">
        <is>
          <t>Score 2</t>
        </is>
      </c>
      <c r="B8" s="14" t="inlineStr">
        <is>
          <t>Partially Effective</t>
        </is>
      </c>
      <c r="C8" s="42" t="inlineStr">
        <is>
          <t>50% (2 / 4)</t>
        </is>
      </c>
      <c r="D8" s="26" t="inlineStr">
        <is>
          <t>Semi-automated or manual detective control with sampling latency. Procedural non-compliance identified but mitigated by secondary compensating controls. No imminent loss.</t>
        </is>
      </c>
      <c r="H8" s="37" t="inlineStr">
        <is>
          <t>Generates Medium or High deficiency; requires management remediation within 60 days.</t>
        </is>
      </c>
    </row>
    <row r="9" ht="34" customHeight="1">
      <c r="A9" s="14" t="inlineStr">
        <is>
          <t>Score 1</t>
        </is>
      </c>
      <c r="B9" s="14" t="inlineStr">
        <is>
          <t>Ineffective</t>
        </is>
      </c>
      <c r="C9" s="42" t="inlineStr">
        <is>
          <t>25% (1 / 4)</t>
        </is>
      </c>
      <c r="D9" s="26" t="inlineStr">
        <is>
          <t>Control absent, broken, or routinely bypassed by floor personnel. Informal workarounds prevail; zero telemetry evidence; high vulnerability to fraud, safety catastrophe, or balance sheet leakage.</t>
        </is>
      </c>
      <c r="H9" s="37" t="inlineStr">
        <is>
          <t>Generates High or Critical deficiency. If on a Critical Risk, trips the Critical Override Rule.</t>
        </is>
      </c>
    </row>
    <row r="10" ht="34" customHeight="1">
      <c r="A10" s="14" t="inlineStr">
        <is>
          <t>Score 0</t>
        </is>
      </c>
      <c r="B10" s="14" t="inlineStr">
        <is>
          <t>N/A (Excluded)</t>
        </is>
      </c>
      <c r="C10" s="42" t="inlineStr">
        <is>
          <t>0% (Excluded)</t>
        </is>
      </c>
      <c r="D10" s="26" t="inlineStr">
        <is>
          <t>Control not applicable to current plant machinery configuration or operating model (e.g. outsourced fleet or off-site public weighbridge).</t>
        </is>
      </c>
      <c r="H10" s="37" t="inlineStr">
        <is>
          <t>Excluded from both numerator and denominator; no impact on score.</t>
        </is>
      </c>
    </row>
    <row r="12" ht="22" customHeight="1">
      <c r="A12" s="12" t="inlineStr">
        <is>
          <t>2. INHERENT RISK SEVERITY MULTIPLIERS</t>
        </is>
      </c>
    </row>
    <row r="13" ht="22" customHeight="1">
      <c r="A13" s="13" t="inlineStr">
        <is>
          <t>Inherent Risk</t>
        </is>
      </c>
      <c r="B13" s="13" t="inlineStr">
        <is>
          <t>Weight Multiplier</t>
        </is>
      </c>
      <c r="C13" s="13" t="inlineStr">
        <is>
          <t>Max Points per Test</t>
        </is>
      </c>
      <c r="D13" s="13" t="inlineStr">
        <is>
          <t>Operational Definition &amp; Impact Threshold</t>
        </is>
      </c>
      <c r="H13" s="13" t="inlineStr">
        <is>
          <t>Testing Rigor Required</t>
        </is>
      </c>
    </row>
    <row r="14" ht="32" customHeight="1">
      <c r="A14" s="14" t="inlineStr">
        <is>
          <t>Critical</t>
        </is>
      </c>
      <c r="B14" s="14" t="inlineStr">
        <is>
          <t>10x</t>
        </is>
      </c>
      <c r="C14" s="42" t="inlineStr">
        <is>
          <t>40 Points (10 * 4)</t>
        </is>
      </c>
      <c r="D14" s="26" t="inlineStr">
        <is>
          <t>Risk capable of triggering catastrophic life-safety event (boiler explosion, dust deflagration), immediate regulatory shutdown, balance sheet leakage &gt;$100k, or systemic customer warehouse collapse.</t>
        </is>
      </c>
      <c r="H14" s="37" t="inlineStr">
        <is>
          <t>100% continuous data telemetry reconciliation + physical destructive testing.</t>
        </is>
      </c>
    </row>
    <row r="15" ht="32" customHeight="1">
      <c r="A15" s="14" t="inlineStr">
        <is>
          <t>High</t>
        </is>
      </c>
      <c r="B15" s="14" t="inlineStr">
        <is>
          <t>5x</t>
        </is>
      </c>
      <c r="C15" s="42" t="inlineStr">
        <is>
          <t>20 Points (5 * 4)</t>
        </is>
      </c>
      <c r="D15" s="26" t="inlineStr">
        <is>
          <t>Risk causing material EBITDA margin leakage ($25k-$100k), significant accelerated machinery wear, widespread customer packaging defects, or major maintenance deferral.</t>
        </is>
      </c>
      <c r="H15" s="37" t="inlineStr">
        <is>
          <t>Full population testing or statistical sampling (n &gt;= 30 samples).</t>
        </is>
      </c>
    </row>
    <row r="16" ht="32" customHeight="1">
      <c r="A16" s="14" t="inlineStr">
        <is>
          <t>Medium</t>
        </is>
      </c>
      <c r="B16" s="14" t="inlineStr">
        <is>
          <t>3x</t>
        </is>
      </c>
      <c r="C16" s="42" t="inlineStr">
        <is>
          <t>12 Points (3 * 4)</t>
        </is>
      </c>
      <c r="D16" s="26" t="inlineStr">
        <is>
          <t>Operational friction, minor scrap variance (&lt;$25k), isolated procedural documentation gaps, or non-critical spare inventory discrepancies.</t>
        </is>
      </c>
      <c r="H16" s="37" t="inlineStr">
        <is>
          <t>Targeted sample testing (n = 10 to 25 samples).</t>
        </is>
      </c>
    </row>
    <row r="17" ht="32" customHeight="1">
      <c r="A17" s="14" t="inlineStr">
        <is>
          <t>Low</t>
        </is>
      </c>
      <c r="B17" s="14" t="inlineStr">
        <is>
          <t>1x</t>
        </is>
      </c>
      <c r="C17" s="42" t="inlineStr">
        <is>
          <t>4 Points (1 * 4)</t>
        </is>
      </c>
      <c r="D17" s="26" t="inlineStr">
        <is>
          <t>Minor administrative inconsistency, cosmetic SOP deviations, or minor reporting lag with zero direct financial or safety consequence.</t>
        </is>
      </c>
      <c r="H17" s="37" t="inlineStr">
        <is>
          <t>Spot check verification (n = 5 samples).</t>
        </is>
      </c>
    </row>
    <row r="19" ht="22" customHeight="1">
      <c r="A19" s="12" t="inlineStr">
        <is>
          <t>3. THE CRITICAL OVERRIDE GOVERNANCE PROTOCOL (FIDUCIARY PARALLAX DEFENSE)</t>
        </is>
      </c>
    </row>
    <row r="20" ht="30" customHeight="1">
      <c r="A20" s="43" t="inlineStr">
        <is>
          <t>FIDUCIARY RATIONALE:
In traditional mathematical audit models, a plant can score 85% by maintaining pristine documentation across minor controls while harboring an imminent steam boiler explosion risk, unmetered weighbridge theft, or catastrophic fire pump inoperability. This creates an unconscionable 'performative assurance illusion' that misleads the Audit Committee and Executive Board.
THE GOVERNANCE RULE:
Under our continuous assurance standard, if ANY control classified with Inherent Risk = 'Critical' is evaluated as 'Ineffective' (Score 1), the mathematical weighted percentage is immediately superseded. The Overall Plant Audit Opinion and the affected Assurance Pillar automatically collapse to: 'UNSATISFACTORY (CRITICAL OVERRIDE)'.
EXECUTIVE ESCALATION:
A Critical Override triggers mandatory emergency notification to the Chief Executive Officer, Chief Financial Officer, and the Chairman of the Audit Committee within 24 hours, followed by an immediate executive session to approve capital expenditure or immediate shutdown of the affected operational unit.</t>
        </is>
      </c>
    </row>
    <row r="21" ht="30" customHeight="1"/>
    <row r="22" ht="30" customHeight="1"/>
    <row r="23" ht="30" customHeight="1"/>
    <row r="25" ht="22" customHeight="1">
      <c r="A25" s="12" t="inlineStr">
        <is>
          <t>4. FRAMEWORK ARCHITECT, CCM METHODOLOGY &amp; ASSURANCE PROFILES</t>
        </is>
      </c>
    </row>
    <row r="26" ht="20" customHeight="1">
      <c r="A26" s="29" t="inlineStr">
        <is>
          <t>Lead Author &amp; Architect:</t>
        </is>
      </c>
      <c r="B26" s="29" t="n"/>
      <c r="C26" s="15" t="inlineStr">
        <is>
          <t>Majid Mumtaz | CIA (IIA), ACA (ICAEW UK), FCCA (ACCA UK), GRCP &amp; GRCA (OCEG), COSO ERM Certified</t>
        </is>
      </c>
      <c r="D26" s="15" t="n"/>
      <c r="E26" s="15" t="n"/>
      <c r="F26" s="15" t="n"/>
      <c r="G26" s="15" t="n"/>
      <c r="H26" s="15" t="n"/>
    </row>
    <row r="27" ht="20" customHeight="1">
      <c r="A27" s="29" t="inlineStr">
        <is>
          <t>The Audit Signal Newsletter:</t>
        </is>
      </c>
      <c r="B27" s="29" t="n"/>
      <c r="C27" s="30" t="inlineStr">
        <is>
          <t>The Audit Signal — Technical Articles on Continuous Auditing &amp; EBITDA Defense (LinkedIn)</t>
        </is>
      </c>
      <c r="D27" s="30" t="n"/>
      <c r="E27" s="30" t="n"/>
      <c r="F27" s="30" t="n"/>
      <c r="G27" s="30" t="n"/>
      <c r="H27" s="30" t="n"/>
    </row>
    <row r="28" ht="20" customHeight="1">
      <c r="A28" s="29" t="inlineStr">
        <is>
          <t>Interactive CCM Portfolio:</t>
        </is>
      </c>
      <c r="B28" s="29" t="n"/>
      <c r="C28" s="30" t="inlineStr">
        <is>
          <t>Continuous Controls Monitoring Portfolio &amp; Web Tooling (majidrajpar.github.io/portfolio_my)</t>
        </is>
      </c>
      <c r="D28" s="30" t="n"/>
      <c r="E28" s="30" t="n"/>
      <c r="F28" s="30" t="n"/>
      <c r="G28" s="30" t="n"/>
      <c r="H28" s="30" t="n"/>
    </row>
    <row r="29" ht="20" customHeight="1">
      <c r="A29" s="29" t="inlineStr">
        <is>
          <t>LinkedIn Executive Profile:</t>
        </is>
      </c>
      <c r="B29" s="29" t="n"/>
      <c r="C29" s="30" t="inlineStr">
        <is>
          <t>https://www.linkedin.com/in/majid-m-4b097118/</t>
        </is>
      </c>
      <c r="D29" s="30" t="n"/>
      <c r="E29" s="30" t="n"/>
      <c r="F29" s="30" t="n"/>
      <c r="G29" s="30" t="n"/>
      <c r="H29" s="30" t="n"/>
    </row>
    <row r="30" ht="24" customHeight="1">
      <c r="A30" s="29" t="inlineStr">
        <is>
          <t>Fiduciary Mission &amp; Philosophy:</t>
        </is>
      </c>
      <c r="B30" s="29" t="n"/>
      <c r="C30" s="24" t="inlineStr">
        <is>
          <t>Replacing retrospective sample-based auditing with automated 100% continuous controls monitoring (CCM) and telemetry. Connecting trench-level operations (weighbridge telemetry, boiler water dosing, corrugator starch gelatinization, baler mass balance) directly to board-level EBITDA defense.</t>
        </is>
      </c>
      <c r="D30" s="24" t="n"/>
      <c r="E30" s="24" t="n"/>
      <c r="F30" s="24" t="n"/>
      <c r="G30" s="24" t="n"/>
      <c r="H30" s="24" t="n"/>
    </row>
  </sheetData>
  <mergeCells count="27">
    <mergeCell ref="A30:B30"/>
    <mergeCell ref="D9:G9"/>
    <mergeCell ref="D8:G8"/>
    <mergeCell ref="D15:G15"/>
    <mergeCell ref="D14:G14"/>
    <mergeCell ref="A25:H25"/>
    <mergeCell ref="C27:H27"/>
    <mergeCell ref="A20:H23"/>
    <mergeCell ref="D10:G10"/>
    <mergeCell ref="A27:B27"/>
    <mergeCell ref="A12:H12"/>
    <mergeCell ref="A26:B26"/>
    <mergeCell ref="A3:H3"/>
    <mergeCell ref="C28:H28"/>
    <mergeCell ref="A2:H2"/>
    <mergeCell ref="D6:G6"/>
    <mergeCell ref="D13:G13"/>
    <mergeCell ref="A5:H5"/>
    <mergeCell ref="C30:H30"/>
    <mergeCell ref="D17:G17"/>
    <mergeCell ref="A29:B29"/>
    <mergeCell ref="D16:G16"/>
    <mergeCell ref="A28:B28"/>
    <mergeCell ref="D7:G7"/>
    <mergeCell ref="A19:H19"/>
    <mergeCell ref="C26:H26"/>
    <mergeCell ref="C29:H29"/>
  </mergeCells>
  <hyperlinks>
    <hyperlink xmlns:r="http://schemas.openxmlformats.org/officeDocument/2006/relationships" ref="C27" r:id="rId1"/>
    <hyperlink xmlns:r="http://schemas.openxmlformats.org/officeDocument/2006/relationships" ref="C28" r:id="rId2"/>
    <hyperlink xmlns:r="http://schemas.openxmlformats.org/officeDocument/2006/relationships" ref="C29"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2026-10-31T04:00:45Z</dcterms:created>
  <dcterms:modified xmlns:dcterms="http://purl.org/dc/terms/" xmlns:xsi="http://www.w3.org/2001/XMLSchema-instance" xsi:type="dcterms:W3CDTF">2026-10-31T04:00:45Z</dcterms:modified>
</cp:coreProperties>
</file>