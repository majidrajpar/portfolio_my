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sorat\Desktop\Coding\kitopi_trash\Auditor_Toolkit_Pack\"/>
    </mc:Choice>
  </mc:AlternateContent>
  <xr:revisionPtr revIDLastSave="0" documentId="13_ncr:1_{5CB6D5E5-969A-488A-856B-BC3A06A77407}" xr6:coauthVersionLast="47" xr6:coauthVersionMax="47" xr10:uidLastSave="{00000000-0000-0000-0000-000000000000}"/>
  <bookViews>
    <workbookView xWindow="-110" yWindow="-110" windowWidth="19420" windowHeight="11500" xr2:uid="{00000000-000D-0000-FFFF-FFFF00000000}"/>
  </bookViews>
  <sheets>
    <sheet name="00_Field_Guide" sheetId="1" r:id="rId1"/>
    <sheet name="01_Field_CheatSheet" sheetId="2" r:id="rId2"/>
    <sheet name="02_IT_Data_Request" sheetId="3" r:id="rId3"/>
    <sheet name="Test1_Split_POs" sheetId="4" r:id="rId4"/>
    <sheet name="Test2_Dormant_Vendors" sheetId="5" r:id="rId5"/>
    <sheet name="Test3_Duplicate_Invoices" sheetId="6" r:id="rId6"/>
    <sheet name="Test4_Off_Hours_GL" sheetId="7" r:id="rId7"/>
    <sheet name="Test5_Round_Sum_Services" sheetId="8" r:id="rId8"/>
    <sheet name="99_Audit_Exceptions_Summary" sheetId="9" r:id="rId9"/>
  </sheets>
  <calcPr calcId="181029"/>
</workbook>
</file>

<file path=xl/calcChain.xml><?xml version="1.0" encoding="utf-8"?>
<calcChain xmlns="http://schemas.openxmlformats.org/spreadsheetml/2006/main">
  <c r="D17" i="9" l="1"/>
  <c r="D16" i="9"/>
  <c r="D15" i="9"/>
  <c r="D14" i="9"/>
  <c r="D13" i="9"/>
  <c r="D18" i="9" s="1"/>
  <c r="A9" i="9" s="1"/>
  <c r="L16" i="8"/>
  <c r="D16" i="8"/>
  <c r="I15" i="8"/>
  <c r="H15" i="8"/>
  <c r="G15" i="8"/>
  <c r="J15" i="8" s="1"/>
  <c r="K15" i="8" s="1"/>
  <c r="I14" i="8"/>
  <c r="H14" i="8"/>
  <c r="G14" i="8"/>
  <c r="J14" i="8" s="1"/>
  <c r="K14" i="8" s="1"/>
  <c r="I13" i="8"/>
  <c r="H13" i="8"/>
  <c r="G13" i="8"/>
  <c r="J13" i="8" s="1"/>
  <c r="K13" i="8" s="1"/>
  <c r="I12" i="8"/>
  <c r="H12" i="8"/>
  <c r="G12" i="8"/>
  <c r="J12" i="8" s="1"/>
  <c r="K12" i="8" s="1"/>
  <c r="I11" i="8"/>
  <c r="H11" i="8"/>
  <c r="G11" i="8"/>
  <c r="J11" i="8" s="1"/>
  <c r="K11" i="8" s="1"/>
  <c r="I10" i="8"/>
  <c r="H10" i="8"/>
  <c r="G10" i="8"/>
  <c r="I9" i="8"/>
  <c r="H9" i="8"/>
  <c r="G9" i="8"/>
  <c r="J9" i="8" s="1"/>
  <c r="K9" i="8" s="1"/>
  <c r="I8" i="8"/>
  <c r="H8" i="8"/>
  <c r="G8" i="8"/>
  <c r="J8" i="8" s="1"/>
  <c r="K8" i="8" s="1"/>
  <c r="I7" i="8"/>
  <c r="H7" i="8"/>
  <c r="G7" i="8"/>
  <c r="J7" i="8" s="1"/>
  <c r="K7" i="8" s="1"/>
  <c r="I6" i="8"/>
  <c r="H6" i="8"/>
  <c r="G6" i="8"/>
  <c r="J6" i="8" s="1"/>
  <c r="K6" i="8" s="1"/>
  <c r="I5" i="8"/>
  <c r="H5" i="8"/>
  <c r="G5" i="8"/>
  <c r="J5" i="8" s="1"/>
  <c r="K5" i="8" s="1"/>
  <c r="I4" i="8"/>
  <c r="H4" i="8"/>
  <c r="G4" i="8"/>
  <c r="J4" i="8" s="1"/>
  <c r="N16" i="7"/>
  <c r="E16" i="7"/>
  <c r="D16" i="7"/>
  <c r="L15" i="7"/>
  <c r="M15" i="7" s="1"/>
  <c r="K15" i="7"/>
  <c r="J15" i="7"/>
  <c r="I15" i="7"/>
  <c r="H15" i="7"/>
  <c r="L14" i="7"/>
  <c r="M14" i="7" s="1"/>
  <c r="K14" i="7"/>
  <c r="J14" i="7"/>
  <c r="I14" i="7"/>
  <c r="H14" i="7"/>
  <c r="L13" i="7"/>
  <c r="M13" i="7" s="1"/>
  <c r="K13" i="7"/>
  <c r="J13" i="7"/>
  <c r="I13" i="7"/>
  <c r="H13" i="7"/>
  <c r="L12" i="7"/>
  <c r="M12" i="7" s="1"/>
  <c r="K12" i="7"/>
  <c r="J12" i="7"/>
  <c r="I12" i="7"/>
  <c r="H12" i="7"/>
  <c r="L11" i="7"/>
  <c r="M11" i="7" s="1"/>
  <c r="K11" i="7"/>
  <c r="J11" i="7"/>
  <c r="I11" i="7"/>
  <c r="H11" i="7"/>
  <c r="L10" i="7"/>
  <c r="M10" i="7" s="1"/>
  <c r="K10" i="7"/>
  <c r="J10" i="7"/>
  <c r="I10" i="7"/>
  <c r="H10" i="7"/>
  <c r="L9" i="7"/>
  <c r="M9" i="7" s="1"/>
  <c r="K9" i="7"/>
  <c r="J9" i="7"/>
  <c r="I9" i="7"/>
  <c r="H9" i="7"/>
  <c r="L8" i="7"/>
  <c r="M8" i="7" s="1"/>
  <c r="K8" i="7"/>
  <c r="J8" i="7"/>
  <c r="I8" i="7"/>
  <c r="H8" i="7"/>
  <c r="L7" i="7"/>
  <c r="M7" i="7" s="1"/>
  <c r="K7" i="7"/>
  <c r="J7" i="7"/>
  <c r="I7" i="7"/>
  <c r="H7" i="7"/>
  <c r="L6" i="7"/>
  <c r="M6" i="7" s="1"/>
  <c r="K6" i="7"/>
  <c r="J6" i="7"/>
  <c r="I6" i="7"/>
  <c r="H6" i="7"/>
  <c r="L5" i="7"/>
  <c r="M5" i="7" s="1"/>
  <c r="K5" i="7"/>
  <c r="J5" i="7"/>
  <c r="I5" i="7"/>
  <c r="H5" i="7"/>
  <c r="L4" i="7"/>
  <c r="K4" i="7"/>
  <c r="J4" i="7"/>
  <c r="I4" i="7"/>
  <c r="H4" i="7"/>
  <c r="L16" i="6"/>
  <c r="F16" i="6"/>
  <c r="D15" i="6"/>
  <c r="I15" i="6" s="1"/>
  <c r="J15" i="6" s="1"/>
  <c r="K15" i="6" s="1"/>
  <c r="D14" i="6"/>
  <c r="D13" i="6"/>
  <c r="I13" i="6" s="1"/>
  <c r="J13" i="6" s="1"/>
  <c r="K13" i="6" s="1"/>
  <c r="D12" i="6"/>
  <c r="I12" i="6" s="1"/>
  <c r="J12" i="6" s="1"/>
  <c r="K12" i="6" s="1"/>
  <c r="D11" i="6"/>
  <c r="I11" i="6" s="1"/>
  <c r="J11" i="6" s="1"/>
  <c r="K11" i="6" s="1"/>
  <c r="D10" i="6"/>
  <c r="I10" i="6" s="1"/>
  <c r="J10" i="6" s="1"/>
  <c r="K10" i="6" s="1"/>
  <c r="D9" i="6"/>
  <c r="D8" i="6"/>
  <c r="I8" i="6" s="1"/>
  <c r="J8" i="6" s="1"/>
  <c r="K8" i="6" s="1"/>
  <c r="D7" i="6"/>
  <c r="D6" i="6"/>
  <c r="I6" i="6" s="1"/>
  <c r="J6" i="6" s="1"/>
  <c r="K6" i="6" s="1"/>
  <c r="D5" i="6"/>
  <c r="D4" i="6"/>
  <c r="L14" i="5"/>
  <c r="F14" i="5"/>
  <c r="I13" i="5"/>
  <c r="H13" i="5"/>
  <c r="J13" i="5" s="1"/>
  <c r="K13" i="5" s="1"/>
  <c r="I12" i="5"/>
  <c r="H12" i="5"/>
  <c r="J12" i="5" s="1"/>
  <c r="K12" i="5" s="1"/>
  <c r="I11" i="5"/>
  <c r="H11" i="5"/>
  <c r="J11" i="5" s="1"/>
  <c r="K11" i="5" s="1"/>
  <c r="I10" i="5"/>
  <c r="H10" i="5"/>
  <c r="J10" i="5" s="1"/>
  <c r="K10" i="5" s="1"/>
  <c r="I9" i="5"/>
  <c r="H9" i="5"/>
  <c r="J9" i="5" s="1"/>
  <c r="K9" i="5" s="1"/>
  <c r="I8" i="5"/>
  <c r="H8" i="5"/>
  <c r="J8" i="5" s="1"/>
  <c r="K8" i="5" s="1"/>
  <c r="I7" i="5"/>
  <c r="H7" i="5"/>
  <c r="J7" i="5" s="1"/>
  <c r="K7" i="5" s="1"/>
  <c r="I6" i="5"/>
  <c r="H6" i="5"/>
  <c r="J6" i="5" s="1"/>
  <c r="K6" i="5" s="1"/>
  <c r="I5" i="5"/>
  <c r="H5" i="5"/>
  <c r="J5" i="5" s="1"/>
  <c r="K5" i="5" s="1"/>
  <c r="I4" i="5"/>
  <c r="H4" i="5"/>
  <c r="J4" i="5" s="1"/>
  <c r="M19" i="4"/>
  <c r="F19" i="4"/>
  <c r="J18" i="4"/>
  <c r="I18" i="4"/>
  <c r="K18" i="4" s="1"/>
  <c r="L18" i="4" s="1"/>
  <c r="J17" i="4"/>
  <c r="I17" i="4"/>
  <c r="K17" i="4" s="1"/>
  <c r="L17" i="4" s="1"/>
  <c r="J16" i="4"/>
  <c r="I16" i="4"/>
  <c r="K16" i="4" s="1"/>
  <c r="L16" i="4" s="1"/>
  <c r="J15" i="4"/>
  <c r="I15" i="4"/>
  <c r="K15" i="4" s="1"/>
  <c r="L15" i="4" s="1"/>
  <c r="J14" i="4"/>
  <c r="I14" i="4"/>
  <c r="K14" i="4" s="1"/>
  <c r="L14" i="4" s="1"/>
  <c r="J13" i="4"/>
  <c r="I13" i="4"/>
  <c r="K13" i="4" s="1"/>
  <c r="L13" i="4" s="1"/>
  <c r="J12" i="4"/>
  <c r="I12" i="4"/>
  <c r="K12" i="4" s="1"/>
  <c r="L12" i="4" s="1"/>
  <c r="J11" i="4"/>
  <c r="I11" i="4"/>
  <c r="K11" i="4" s="1"/>
  <c r="L11" i="4" s="1"/>
  <c r="J10" i="4"/>
  <c r="I10" i="4"/>
  <c r="K10" i="4" s="1"/>
  <c r="L10" i="4" s="1"/>
  <c r="J9" i="4"/>
  <c r="I9" i="4"/>
  <c r="K9" i="4" s="1"/>
  <c r="L9" i="4" s="1"/>
  <c r="J8" i="4"/>
  <c r="I8" i="4"/>
  <c r="K8" i="4" s="1"/>
  <c r="L8" i="4" s="1"/>
  <c r="J7" i="4"/>
  <c r="I7" i="4"/>
  <c r="K7" i="4" s="1"/>
  <c r="L7" i="4" s="1"/>
  <c r="J6" i="4"/>
  <c r="I6" i="4"/>
  <c r="K6" i="4" s="1"/>
  <c r="L6" i="4" s="1"/>
  <c r="J5" i="4"/>
  <c r="I5" i="4"/>
  <c r="K5" i="4" s="1"/>
  <c r="L5" i="4" s="1"/>
  <c r="J4" i="4"/>
  <c r="I4" i="4"/>
  <c r="K4" i="4" s="1"/>
  <c r="J10" i="8" l="1"/>
  <c r="K10" i="8" s="1"/>
  <c r="I9" i="6"/>
  <c r="J9" i="6" s="1"/>
  <c r="K9" i="6" s="1"/>
  <c r="I14" i="6"/>
  <c r="J14" i="6" s="1"/>
  <c r="K14" i="6" s="1"/>
  <c r="I7" i="6"/>
  <c r="J7" i="6" s="1"/>
  <c r="K7" i="6" s="1"/>
  <c r="I5" i="6"/>
  <c r="J5" i="6" s="1"/>
  <c r="K5" i="6" s="1"/>
  <c r="I4" i="6"/>
  <c r="J4" i="6" s="1"/>
  <c r="E16" i="9"/>
  <c r="F16" i="9" s="1"/>
  <c r="M4" i="7"/>
  <c r="K4" i="8"/>
  <c r="E17" i="9"/>
  <c r="F17" i="9" s="1"/>
  <c r="G16" i="9"/>
  <c r="M16" i="7"/>
  <c r="K4" i="5"/>
  <c r="E14" i="9"/>
  <c r="F14" i="9" s="1"/>
  <c r="L4" i="4"/>
  <c r="E13" i="9"/>
  <c r="K4" i="6" l="1"/>
  <c r="E15" i="9"/>
  <c r="K16" i="8"/>
  <c r="G17" i="9"/>
  <c r="K14" i="5"/>
  <c r="G14" i="9"/>
  <c r="G13" i="9"/>
  <c r="L19" i="4"/>
  <c r="F13" i="9"/>
  <c r="K16" i="6" l="1"/>
  <c r="G15" i="9"/>
  <c r="F15" i="9"/>
  <c r="E18" i="9"/>
  <c r="F18" i="9"/>
  <c r="E9" i="9" s="1"/>
  <c r="C9" i="9"/>
  <c r="G18" i="9"/>
  <c r="G9" i="9" s="1"/>
</calcChain>
</file>

<file path=xl/sharedStrings.xml><?xml version="1.0" encoding="utf-8"?>
<sst xmlns="http://schemas.openxmlformats.org/spreadsheetml/2006/main" count="678" uniqueCount="508">
  <si>
    <t>CONTINUOUS CONTROLS MONITORING: FIELD OPERATING PROTOCOL</t>
  </si>
  <si>
    <t>Deterministic Anomaly Testing &amp; Exposure Quantification across 100% Population Telemetry</t>
  </si>
  <si>
    <t>Framework Architect: Majid Mumtaz | CIA, ACA (ICAEW), FCCA, GRCP, GRCA, COSO ERM</t>
  </si>
  <si>
    <t>Portfolio &amp; Tools</t>
  </si>
  <si>
    <t>LinkedIn Profile</t>
  </si>
  <si>
    <t>1. OPERATIONAL REALITY VS. SAMPLE-BASED COMPLIANCE</t>
  </si>
  <si>
    <t>Traditional audit methodology inspects 20 to 25 sampled vouchers to verify whether authorized signatures exist on paper forms. In operational reality, an authorized signature on an empty warehouse receipt or a partitioned invoice still represents EBITDA leakage. A 25-sample pull out of 50,000 transactions covers 0.05% of activity—statistically blind to intentional circumventions.</t>
  </si>
  <si>
    <t>Operational breakdowns follow predictable structural patterns: purchase orders clustered just beneath Delegation of Authority (DOA) ceilings, payments routed through dormant vendor accounts with newly altered bank details, punctuation substitutions designed to evade ERP duplicate validations, and late-night manual journal entries entered under month-end close pressure.</t>
  </si>
  <si>
    <t>This protocol replaces sample inspection with 100% population deterministic telemetry in standard Excel.</t>
  </si>
  <si>
    <t>2. WORKBOOK ARCHITECTURE</t>
  </si>
  <si>
    <t>• Tab '00_Field_Guide': Operating methodology, formula mechanics, and executive EBITDA framing standards.
• Tab '01_Field_CheatSheet': 1-page rapid triage rubric, audit evidence requirements, and diagnostic interview dialogue.
• Tab '02_IT_Data_Request': Standard service desk data extraction ticket for IT database administrators.
• Tabs 'Test1_Split_POs' to 'Test5_Round_Sum_Services': Dynamic Excel Tables with native calculation logic.
• Tab '99_Audit_Exceptions_Summary': Dynamic executive dashboard reporting population exception counts, rates, and quantified exposure.</t>
  </si>
  <si>
    <t>3. FIELDWORK EXECUTION WORKFLOW</t>
  </si>
  <si>
    <t>1. Data Acquisition: Transmit Tab '02_IT_Data_Request' to IT or Finance Systems. Require raw flat CSV exports.
2. Ingestion: Navigate to the relevant testing sheet (e.g. 'Test1_Split_POs'). Paste raw data directly into the input columns (Columns A to H).
3. Automatic Propagation: All calculation formulas reside inside dynamic Excel Tables and expand automatically to 100% of rows.
4. Exception Triage: Filter the 'Audit_Flag' column for 'FLAG: ...'. Every flagged row is an exception requiring inquiry.
5. Defensibility: Check Tab '99_Audit_Exceptions_Summary'. It aggregates exposures automatically using structured table references.
6. Substantive Inquiry: Use the diagnostic interview questions in Tab '01_Field_CheatSheet' to assess whether exceptions represent deliberate circumvention or operational coping mechanisms.</t>
  </si>
  <si>
    <t>4. THE 5 CORE TESTING MECHANISMS</t>
  </si>
  <si>
    <t>• Test 1 (Split POs): Evaluates procurement commitments partitioned below $10,000 issued within 5 days to the same supplier by the same buyer (Sum &gt;= $10,000).
• Test 2 (Dormant Vendors): Flags disbursements to suppliers inactive for &gt;180 days whose bank coordinates were modified &lt;= 30 days prior to payment.
• Test 3 (Duplicate Invoices): Normalizes invoice strings (stripping spaces, hyphens, slashes, dots, underscores, hashes, colons) to identify double payments cleared on separate settlement vouchers.
• Test 4 (Off-Hours GL): Isolates manual journal adjustments posted on weekends or outside 07:00 to 19:00 business hours.
• Test 5 (Round-Sum Fees): Identifies flat-fee disbursements (&gt;= $5,000 divisible by $1,000 or $2,500) in high-risk discretionary accounts (Consulting, Legal, Marketing, Advisory).</t>
  </si>
  <si>
    <t>5. REPORTING FINDINGS: THE EBITDA EXPOSURE STANDARD</t>
  </si>
  <si>
    <t>Never report procedural compliance deficiencies (e.g. '3 out of 25 forms were missing second approval'). That format is routinely dismissed by CFOs as bureaucratic friction.</t>
  </si>
  <si>
    <t>Frame findings through business impact:
'Across 100% of FY26 procurement commitments ($42.8M spend), deterministic testing identified 14 purchase orders totaling $218,000 split below the $10,000 single-buyer DOA ceiling. Partitioning allowed department heads to bypass competitive bidding, resulting in an estimated 5–8% pricing premium over contracted supplier rate cards.'</t>
  </si>
  <si>
    <t>FIELD TRIAGE RUBRIC: EVIDENCE RULES &amp; DIAGNOSTIC INQUIRY</t>
  </si>
  <si>
    <t>Substantive Verification Standards for Flagged Transactions</t>
  </si>
  <si>
    <t>Framework Architect: Majid Mumtaz (CIA, ACA, FCCA, GRCP, GRCA, COSO ERM)</t>
  </si>
  <si>
    <t>Test ID &amp; Risk Category</t>
  </si>
  <si>
    <t>Plain-English Detection Logic</t>
  </si>
  <si>
    <t>Mandatory Evidence to Pull</t>
  </si>
  <si>
    <t>Targeted Auditee Interview Question</t>
  </si>
  <si>
    <t>Confirmed Finding vs. False Positive Rule</t>
  </si>
  <si>
    <t>Immediate Audit Workpaper Action</t>
  </si>
  <si>
    <t>Test 1: Split POs
(DOA Limit Evasion)</t>
  </si>
  <si>
    <t>Same vendor, same buyer, individual POs &lt; $10k, dated within 5 days, combined sum &gt;= $10k.</t>
  </si>
  <si>
    <t>Both PO line item requisitions, underlying vendor quotations, scope of work contracts.</t>
  </si>
  <si>
    <t>"Can you walk me through the operational rationale for issuing these two separate orders on [Date 1] and [Date 2] rather than a single consolidated requisition?"</t>
  </si>
  <si>
    <t>Confirmed Finding if work scope is contiguous (e.g. Phase 1/Phase 2) or part of a single project commitment. False positive only if items represent unrelated emergency orders.</t>
  </si>
  <si>
    <t>Quantify total spend bypassing DOA. Test whether prices paid exceeded negotiated master contract rates.</t>
  </si>
  <si>
    <t>Test 2: Dormant Vendors
(Cash Redirection)</t>
  </si>
  <si>
    <t>Zero activity for &gt;180 days, bank details updated &lt;= 30 days prior to payment disbursement.</t>
  </si>
  <si>
    <t>Vendor change log (SAP CDHDR/CDPOS), formal bank letter on vendor letterhead, call-back verification log.</t>
  </si>
  <si>
    <t>"Can we review the independent call-back verification log and source bank confirmation letter supporting this bank account update on [Date]?"</t>
  </si>
  <si>
    <t>Confirmed Finding if bank change was executed via email alone without independent out-of-band telephone verification to the supplier's registered finance team.</t>
  </si>
  <si>
    <t>Issue immediate freeze recommendation on pending disbursements to this vendor. Reconcile bank beneficiary name.</t>
  </si>
  <si>
    <t>Test 3: Duplicate Invoices
(Double Payment)</t>
  </si>
  <si>
    <t>Same vendor, same gross amount, identical alphanumeric string after stripping punctuation ('INV-1099' vs 'INV 1099').</t>
  </si>
  <si>
    <t>Both bank payment clearing vouchers, remittance advices, vendor accounts statement.</t>
  </si>
  <si>
    <t>"Can we pull the bank settlement confirmations for both vouchers to confirm whether two independent disbursements cleared?"</t>
  </si>
  <si>
    <t>Confirmed Finding if two distinct bank transactions cleared. If reversed, determine whether the company caught the double payment or if the supplier notified AP months later.</t>
  </si>
  <si>
    <t>Initiate immediate clawback demand for the overpaid amount. Review AP duplicate-invoice detection control settings in ERP.</t>
  </si>
  <si>
    <t>Test 4: Off-Hours GL
(Cutoff Manipulation)</t>
  </si>
  <si>
    <t>Manual journals posted on Saturday/Sunday, or between 7:00 PM and 7:00 AM.</t>
  </si>
  <si>
    <t>Journal voucher narration, supporting spreadsheet calculation, manager sign-off timestamp.</t>
  </si>
  <si>
    <t>"What operational bottleneck or reporting delay required this journal to be drafted and posted at [Time] on [Date]?"</t>
  </si>
  <si>
    <t>Confirmed Finding if manual entries adjust revenue cutoff or inventory provisions without controller pre-approval. Operational note if part of routine scheduled month-end shift.</t>
  </si>
  <si>
    <t>Inspect downstream financial statement impact. Verify if the entry reversed an earlier entry posted in the same cycle.</t>
  </si>
  <si>
    <t>Test 5: Round-Sum Fees
(Unsubstantiated Spend)</t>
  </si>
  <si>
    <t>Gross amount &gt;= $5,000, divisible by $1,000 or $2,500, coded to Consulting, Legal, Advisory, or Marketing.</t>
  </si>
  <si>
    <t>Signed contract, detailed consultant timesheets, formal written deliverable (deck, memo, report).</t>
  </si>
  <si>
    <t>"Can we inspect the formal contract deliverables, project milestone sign-offs, or timesheets supporting this retainer invoice?"</t>
  </si>
  <si>
    <t>Confirmed Finding if the voucher contains only a 1-page generic invoice stating 'for services rendered' without work product, contract milestone, or committee sign-off.</t>
  </si>
  <si>
    <t>Recommend immediate suspension of recurring retainer until independent verification of work delivered is completed.</t>
  </si>
  <si>
    <t>OPERATIONAL STANDARD: 100% Population Telemetry Replaces Sample Checklists. Do not sample 25 random invoices. Test all transactions, isolate anomalies, and audit the exceptions.</t>
  </si>
  <si>
    <t>DATA EXTRACTION SPECIFICATION FOR IT &amp; DATABASE ADMINISTRATORS</t>
  </si>
  <si>
    <t>Telemetry Parameters for AP, Procurement, Vendor Master &amp; General Ledger</t>
  </si>
  <si>
    <t>EMAIL / TICKET DRAFT TO IT LEAD (COPY &amp; PASTE INTO SERVICE DESK)</t>
  </si>
  <si>
    <t>Subject: Data Extraction Request: Internal Audit Telemetry [Audit Period]
Hi [IT Lead / Database Administrator],
In connection with our upcoming continuous control &amp; anomaly testing, please provide raw flat-table extracts for the period [Start Date] to [End Date] per the specifications below.
Parameters:
1. Format: Flat CSV or unformatted XLSX (Row 1 headers, unmerged cells, no subtotal rows).
2. Timestamps: Ensure system audit trail timestamps (YYYY-MM-DD HH:MM:SS) in Local Operating Time (GST/UTC+4) and User IDs are included.
3. Scope: 100% of transaction population within the audit period.
4. Change Logs (SAP): For vendor bank modifications, filter CDHDR/CDPOS by OBJECTCLAS='KRED' and TABNAME='LFBK' to utilize cluster indexes.
Please upload extracts to our secure audit directory: [Link]
Thank you,
Internal Audit &amp; Risk Advisory Team</t>
  </si>
  <si>
    <t>TABLE 1: AP INVOICES &amp; PAYMENTS EXTRACT (ap_invoices_extract.csv)</t>
  </si>
  <si>
    <t>Target ERP Tables: SAP (BSEG, BSAK, BSIK, or ACDOCA in S/4HANA) | Oracle (AP_INVOICES_ALL, AP_PAYMENTS_ALL, AP_INVOICE_PAYMENTS_ALL) | NetSuite (Transactions: Bill)</t>
  </si>
  <si>
    <t>Column Name</t>
  </si>
  <si>
    <t>Data Type</t>
  </si>
  <si>
    <t>Description / Target System Requirements</t>
  </si>
  <si>
    <t>Vendor_ID</t>
  </si>
  <si>
    <t>String / Int</t>
  </si>
  <si>
    <t>System unique master vendor identifier</t>
  </si>
  <si>
    <t>Vendor_Name</t>
  </si>
  <si>
    <t>String</t>
  </si>
  <si>
    <t>Official registered supplier trading name</t>
  </si>
  <si>
    <t>Invoice_Number</t>
  </si>
  <si>
    <t>Raw invoice reference number as keyed by AP clerk</t>
  </si>
  <si>
    <t>Invoice_Date</t>
  </si>
  <si>
    <t>Date (YYYY-MM-DD)</t>
  </si>
  <si>
    <t>Date printed on supplier invoice document</t>
  </si>
  <si>
    <t>Invoice_Amount</t>
  </si>
  <si>
    <t>Decimal (2 dp)</t>
  </si>
  <si>
    <t>Total invoice gross amount inclusive of VAT/tax</t>
  </si>
  <si>
    <t>Payment_Reference_ID</t>
  </si>
  <si>
    <t>Bank clearing voucher or payment document reference</t>
  </si>
  <si>
    <t>Payment_Date</t>
  </si>
  <si>
    <t>Date payment cleared company bank account</t>
  </si>
  <si>
    <t>GL_Account_Code</t>
  </si>
  <si>
    <t>Natural expense general ledger account code</t>
  </si>
  <si>
    <t>GL_Account_Name</t>
  </si>
  <si>
    <t>Description of GL expense account</t>
  </si>
  <si>
    <t>Line_Description</t>
  </si>
  <si>
    <t>Item description / line narration</t>
  </si>
  <si>
    <t>Created_By</t>
  </si>
  <si>
    <t>User ID of AP clerk who created the transaction</t>
  </si>
  <si>
    <t>Approved_By</t>
  </si>
  <si>
    <t>User ID of approver who released invoice for payment</t>
  </si>
  <si>
    <t>Created_Timestamp</t>
  </si>
  <si>
    <t>Datetime (YYYY-MM-DD HH:MM:SS)</t>
  </si>
  <si>
    <t>Mandatory system database record commit timestamp</t>
  </si>
  <si>
    <t>TABLE 2: PURCHASE ORDER LINE ITEMS EXTRACT (po_lines_extract.csv)</t>
  </si>
  <si>
    <t>Target ERP Tables: SAP (EKKO, EKPO) | Oracle (PO_HEADERS_ALL, PO_LINES_ALL) | NetSuite (Purchase Orders)</t>
  </si>
  <si>
    <t>PO_Number</t>
  </si>
  <si>
    <t>System purchase order identifier</t>
  </si>
  <si>
    <t>PO_Line_Number</t>
  </si>
  <si>
    <t>Int</t>
  </si>
  <si>
    <t>Line item sequence number</t>
  </si>
  <si>
    <t>Official supplier trading name</t>
  </si>
  <si>
    <t>PO_Date</t>
  </si>
  <si>
    <t>Date purchase order was issued/approved</t>
  </si>
  <si>
    <t>PO_Amount</t>
  </si>
  <si>
    <t>Total committed line item gross amount</t>
  </si>
  <si>
    <t>PO_Description</t>
  </si>
  <si>
    <t>Line item description / scope of work</t>
  </si>
  <si>
    <t>Buyer / Requester User ID</t>
  </si>
  <si>
    <t>Final DOA Approver User ID</t>
  </si>
  <si>
    <t>PO_Status</t>
  </si>
  <si>
    <t>PO lifecycle status (Approved, Closed, Invoiced)</t>
  </si>
  <si>
    <t>TABLE 3: VENDOR MASTER &amp; BANK AUDIT LOG (vendor_master_extract.csv)</t>
  </si>
  <si>
    <t>Target ERP Tables: SAP (LFA1, LFBK, CDHDR/CDPOS with OBJECTCLAS='KRED' &amp; TABNAME='LFBK') | Oracle (AP_SUPPLIERS, IBY_EXT_BANK_ACCOUNTS, IBY_PMT_INSTR_USES_ALL)</t>
  </si>
  <si>
    <t>Official registered trading name</t>
  </si>
  <si>
    <t>Vendor_Status</t>
  </si>
  <si>
    <t>Master vendor status (Active, Inactive, Blocked)</t>
  </si>
  <si>
    <t>Bank_Account_Number</t>
  </si>
  <si>
    <t>Registered bank IBAN / account number</t>
  </si>
  <si>
    <t>Bank_Details_Last_Updated</t>
  </si>
  <si>
    <t>Mandatory timestamp of last bank master change</t>
  </si>
  <si>
    <t>Previous_Active_Date</t>
  </si>
  <si>
    <t>Date of last invoice/payment prior to audit period</t>
  </si>
  <si>
    <t>TABLE 4: GENERAL LEDGER JOURNAL ENTRIES (gl_journals_extract.csv)</t>
  </si>
  <si>
    <t>Target ERP Tables: SAP (FAGLFLEXA, BSEG) | Oracle (GL_JE_LINES, GL_JE_HEADERS)</t>
  </si>
  <si>
    <t>Journal_ID</t>
  </si>
  <si>
    <t>Journal voucher reference identifier</t>
  </si>
  <si>
    <t>Account_Code</t>
  </si>
  <si>
    <t>General ledger account code</t>
  </si>
  <si>
    <t>Account_Name</t>
  </si>
  <si>
    <t>General ledger account description</t>
  </si>
  <si>
    <t>Debit_Amount</t>
  </si>
  <si>
    <t>Debit value in transaction currency</t>
  </si>
  <si>
    <t>Credit_Amount</t>
  </si>
  <si>
    <t>Credit value in transaction currency</t>
  </si>
  <si>
    <t>User ID of poster who drafted/committed entry</t>
  </si>
  <si>
    <t>Post_Timestamp</t>
  </si>
  <si>
    <t>Mandatory exact database commit timestamp</t>
  </si>
  <si>
    <t>Journal_Source</t>
  </si>
  <si>
    <t>Entry source (Manual Journal, Batch, Subledger)</t>
  </si>
  <si>
    <t>Description</t>
  </si>
  <si>
    <t>Journal line narration / transaction justification</t>
  </si>
  <si>
    <t>ANOMALY TEST 1: SPLIT PURCHASE ORDERS (&lt; $10,000 THRESHOLD CIRCUMVENTION)</t>
  </si>
  <si>
    <t>Identifies POs partitioned under $10,000 limit issued within 5 days to same vendor by same buyer (Sum &gt;= $10,000)</t>
  </si>
  <si>
    <t>Buyer_ID</t>
  </si>
  <si>
    <t>Split_Window_Count</t>
  </si>
  <si>
    <t>Split_Window_Total</t>
  </si>
  <si>
    <t>Audit_Flag</t>
  </si>
  <si>
    <t>Financial_Exposure</t>
  </si>
  <si>
    <t>Audit_Workpaper_Notes</t>
  </si>
  <si>
    <t>PO-2026-1041</t>
  </si>
  <si>
    <t>V-1029</t>
  </si>
  <si>
    <t>Apex Logistics Solutions</t>
  </si>
  <si>
    <t>USR_JSMITH</t>
  </si>
  <si>
    <t>Warehouse racking expansion - Phase 1</t>
  </si>
  <si>
    <t>Approved</t>
  </si>
  <si>
    <t>Split order pair: PO-2026-1041 ($8,500) and PO-2026-1045 ($9,000) issued to Apex within 48h for warehouse racking. Combined $17,500 exceeds $10k single-buyer DOA limit.</t>
  </si>
  <si>
    <t>PO-2026-1045</t>
  </si>
  <si>
    <t>Warehouse racking expansion - Phase 2</t>
  </si>
  <si>
    <t>Split order pair: PO-2026-1045 ($9,000) paired with PO-2026-1041 ($8,500). Same buyer, contiguous scope. Total $17,500.</t>
  </si>
  <si>
    <t>PO-2026-1088</t>
  </si>
  <si>
    <t>V-1055</t>
  </si>
  <si>
    <t>DataCore Systems FZ</t>
  </si>
  <si>
    <t>USR_MKHAN</t>
  </si>
  <si>
    <t>Core server migration - Milestone 1</t>
  </si>
  <si>
    <t>Split order pair: PO-2026-1088 ($4,800) and PO-2026-1090 ($4,500) issued to DataCore for server migration storage modules within 24h.</t>
  </si>
  <si>
    <t>PO-2026-1090</t>
  </si>
  <si>
    <t>Core server migration - Milestone 2</t>
  </si>
  <si>
    <t>Split order pair: PO-2026-1090 ($4,500) paired with PO-2026-1088 ($4,800). Same buyer (USR_MKHAN). Combined commitment $9,300. (Sum &lt; $10k, unflagged).</t>
  </si>
  <si>
    <t>PO-2026-1094</t>
  </si>
  <si>
    <t>Core server migration - Milestone 3</t>
  </si>
  <si>
    <t>Split triplet: PO-2026-1120 ($3,200), PO-2026-1122 ($3,500), PO-2026-1125 ($3,800) issued to BlueFin within 5 days. Combined $10,500 exceeds DOA.</t>
  </si>
  <si>
    <t>PO-2026-1012</t>
  </si>
  <si>
    <t>V-1010</t>
  </si>
  <si>
    <t>Global Freight Express</t>
  </si>
  <si>
    <t>Annual ocean freight logistics contract</t>
  </si>
  <si>
    <t>Split triplet: PO-2026-1122 ($3,500) component of 3-order packaging run. Combined commitment $10,500 exceeds $10k limit.</t>
  </si>
  <si>
    <t>PO-2026-1020</t>
  </si>
  <si>
    <t>V-1044</t>
  </si>
  <si>
    <t>Emirates Facility Care</t>
  </si>
  <si>
    <t>USR_SARAHB</t>
  </si>
  <si>
    <t>Monthly deep cleaning - February</t>
  </si>
  <si>
    <t>Split triplet: PO-2026-1125 ($3,800) component of 3-order packaging run. Combined commitment $10,500 exceeds $10k limit.</t>
  </si>
  <si>
    <t>PO-2026-1065</t>
  </si>
  <si>
    <t>Monthly deep cleaning - March</t>
  </si>
  <si>
    <t>Boundary limit test: Single PO ($9,999.00) issued to Gulf Horizon. No secondary order within rolling 5-day window. Unflagged.</t>
  </si>
  <si>
    <t>PO-2026-1033</t>
  </si>
  <si>
    <t>V-1077</t>
  </si>
  <si>
    <t>Al-Noor Stationery Mart</t>
  </si>
  <si>
    <t>USR_AHMEDR</t>
  </si>
  <si>
    <t>Office consumables replenishment</t>
  </si>
  <si>
    <t>Legitimate high-value purchase: Single consolidated PO ($45,000.00) issued with full Procurement Committee approval. Unflagged.</t>
  </si>
  <si>
    <t>PO-2026-1035</t>
  </si>
  <si>
    <t>Printer cartridges replenishment</t>
  </si>
  <si>
    <t>Different buyers: PO-2026-1180 ($6,000) by USR_JSMITH and PO-2026-1182 ($6,500) by USR_MKHAN. Separate operational requisitions. Unflagged.</t>
  </si>
  <si>
    <t>PO-2026-1050</t>
  </si>
  <si>
    <t>Pallet jack procurement</t>
  </si>
  <si>
    <t>Different buyer (USR_MKHAN vs USR_JSMITH); legitimate independent operational purchase.</t>
  </si>
  <si>
    <t>PO-2026-1072</t>
  </si>
  <si>
    <t>V-1082</t>
  </si>
  <si>
    <t>Red Sea Catering Equipment</t>
  </si>
  <si>
    <t>Kitchen prep counter refurbishment</t>
  </si>
  <si>
    <t>Isolated procurement order; no other POs issued to vendor within 5-day window.</t>
  </si>
  <si>
    <t>PO-2026-1105</t>
  </si>
  <si>
    <t>V-1099</t>
  </si>
  <si>
    <t>Modern HVAC Technologies</t>
  </si>
  <si>
    <t>AC compressor replacement - Unit 1</t>
  </si>
  <si>
    <t>Split pair: Compressor Unit 1 ($7.8k) split from Unit 2 ($7.8k). Total $15.6k exceeds limit.</t>
  </si>
  <si>
    <t>PO-2026-1108</t>
  </si>
  <si>
    <t>AC compressor replacement - Unit 2</t>
  </si>
  <si>
    <t>Split pair: Compressor Unit 2 ($7.8k) split from Unit 1 ($7.8k). Total $15.6k exceeds limit.</t>
  </si>
  <si>
    <t>PO-2026-1115</t>
  </si>
  <si>
    <t>V-1035</t>
  </si>
  <si>
    <t>FastFleet Transport Services</t>
  </si>
  <si>
    <t>Emergency reefer transport service</t>
  </si>
  <si>
    <t>Single isolated urgent order below threshold with no concurrent orders.</t>
  </si>
  <si>
    <t>Total</t>
  </si>
  <si>
    <t>TOTAL PORTFOLIO:</t>
  </si>
  <si>
    <t>ANOMALY TEST 2: DORMANT VENDOR RESUSCITATION &amp; BANK ALTERATION AUDIT</t>
  </si>
  <si>
    <t>Flags disbursements to vendors dormant for &gt;180 days with bank account updates within 30 days prior to payment</t>
  </si>
  <si>
    <t>Payment_Amount</t>
  </si>
  <si>
    <t>Bank_Account_IBAN</t>
  </si>
  <si>
    <t>Days_Dormant</t>
  </si>
  <si>
    <t>Days_Bank_Updated_Prior_Payment</t>
  </si>
  <si>
    <t>V-2045</t>
  </si>
  <si>
    <t>Falcon Facilities Management LLC</t>
  </si>
  <si>
    <t>AE290330000012345678901</t>
  </si>
  <si>
    <t>Dormant 248 days. Bank coordinates updated 13 days prior to $94,200 payment. No call-back verification log attached to voucher.</t>
  </si>
  <si>
    <t>V-2088</t>
  </si>
  <si>
    <t>Horizon Strategic Consulting FZE</t>
  </si>
  <si>
    <t>AE450200000098765432109</t>
  </si>
  <si>
    <t>Dormant 310 days. Bank account updated 3 days prior to $145,000 disbursement. Critical cash redirection risk.</t>
  </si>
  <si>
    <t>V-2104</t>
  </si>
  <si>
    <t>Prime Hardware Supplies Ltd</t>
  </si>
  <si>
    <t>AE120440000055443322110</t>
  </si>
  <si>
    <t>Dormant 195 days. Bank account modified 28 days prior to $38,500 payment. Out-of-band verification required.</t>
  </si>
  <si>
    <t>V-2150</t>
  </si>
  <si>
    <t>Gulf Uniforms &amp; Workwear</t>
  </si>
  <si>
    <t>AE900110000077889900112</t>
  </si>
  <si>
    <t>Dormant 301 days. Bank details updated 8 days prior to $62,000 payment. High-risk master data modification.</t>
  </si>
  <si>
    <t>V-2010</t>
  </si>
  <si>
    <t>Emirates Gas Distribution</t>
  </si>
  <si>
    <t>AE550110000011223344556</t>
  </si>
  <si>
    <t>Dormant 245 days. Bank details modified 45 days prior to payment (&gt;30-day window). Standard verification confirmed.</t>
  </si>
  <si>
    <t>V-2022</t>
  </si>
  <si>
    <t>Al-Marai Dairy &amp; Provisions</t>
  </si>
  <si>
    <t>AE770220000022334455667</t>
  </si>
  <si>
    <t>Dormant 170 days (&lt;180-day threshold). Routine supplier payment. Unflagged.</t>
  </si>
  <si>
    <t>V-2060</t>
  </si>
  <si>
    <t>Dubai National Insurance Co</t>
  </si>
  <si>
    <t>AE330330000033445566778</t>
  </si>
  <si>
    <t>Active vendor (transacted 14 days prior). Routine supplier payment. Unflagged.</t>
  </si>
  <si>
    <t>V-2075</t>
  </si>
  <si>
    <t>TechPoint IT Solutions</t>
  </si>
  <si>
    <t>AE880440000044556677889</t>
  </si>
  <si>
    <t>Active vendor (dormant 37 days &lt;= 180d). Normal payment processing.</t>
  </si>
  <si>
    <t>V-2115</t>
  </si>
  <si>
    <t>Arabian Packaging Factory</t>
  </si>
  <si>
    <t>AE110550000055667788990</t>
  </si>
  <si>
    <t>Active regular supplier (dormant 69 days). Bank details unchanged for nearly two years.</t>
  </si>
  <si>
    <t>V-2130</t>
  </si>
  <si>
    <t>SafeGuard Fire &amp; Safety Systems</t>
  </si>
  <si>
    <t>AE660660000066778899001</t>
  </si>
  <si>
    <t>Dormant 351 days, but bank update occurred 157 days ago (&gt;30d). Controlled reinstatement.</t>
  </si>
  <si>
    <t>ANOMALY TEST 3: NEAR-DUPLICATE INVOICES (PUNCTUATION &amp; FORMAT STRIPPING)</t>
  </si>
  <si>
    <t>Detects duplicate AP invoices bypassing ERP controls via punctuation alterations (e.g. 'INV-8842' vs 'INV 8842')</t>
  </si>
  <si>
    <t>Raw_Invoice_Number</t>
  </si>
  <si>
    <t>Clean_Invoice_Number</t>
  </si>
  <si>
    <t>Payment_Reference</t>
  </si>
  <si>
    <t>Duplicate_Match_Count</t>
  </si>
  <si>
    <t>Cash_Exposure</t>
  </si>
  <si>
    <t>V-3012</t>
  </si>
  <si>
    <t>Gulf Office Tech FZ</t>
  </si>
  <si>
    <t>INV-8842</t>
  </si>
  <si>
    <t>EFT-990145</t>
  </si>
  <si>
    <t>Original payment: Invoice 'INV-8842' ($12,850) cleared on voucher EFT-88012 on 15-Mar-2026. Legitimate base spend ($0 exposure).</t>
  </si>
  <si>
    <t>INV 8842</t>
  </si>
  <si>
    <t>EFT-990212</t>
  </si>
  <si>
    <t>Duplicate payment: Invoice 'INV 8842' ($12,850) cleared on voucher EFT-88194 on 20-Mar-2026. Punctuation evasion (hyphen stripped). Cash leakage $12,850.</t>
  </si>
  <si>
    <t>V-3045</t>
  </si>
  <si>
    <t>Apex Facilities Group</t>
  </si>
  <si>
    <t>2026/MAR/091</t>
  </si>
  <si>
    <t>EFT-990310</t>
  </si>
  <si>
    <t>Original payment: Invoice '2026/MAR/091' ($4,750) cleared on voucher EFT-88045 on 22-Mar-2026. Legitimate base spend ($0 exposure).</t>
  </si>
  <si>
    <t>2026-MAR-091</t>
  </si>
  <si>
    <t>EFT-990390</t>
  </si>
  <si>
    <t>Duplicate payment: Invoice '2026-MAR-091' ($4,750) cleared on voucher EFT-88220 on 25-Mar-2026. Slash vs hyphen substitution. Cash leakage $4,750.</t>
  </si>
  <si>
    <t>V-3080</t>
  </si>
  <si>
    <t>Omni Media Advertising</t>
  </si>
  <si>
    <t>SRV.9004</t>
  </si>
  <si>
    <t>EFT-990420</t>
  </si>
  <si>
    <t>Original payment: Invoice 'TXN#7710' ($28,000) cleared on voucher EFT-88090 on 02-Apr-2026. Legitimate base spend ($0 exposure).</t>
  </si>
  <si>
    <t>SRV-9004</t>
  </si>
  <si>
    <t>EFT-990505</t>
  </si>
  <si>
    <t>Duplicate payment: Invoice 'TXN 7710' ($28,000) cleared on voucher EFT-88310 on 08-Apr-2026. Hash symbol omitted. Cash leakage $28,000.</t>
  </si>
  <si>
    <t>INV-8843</t>
  </si>
  <si>
    <t>EFT-990450</t>
  </si>
  <si>
    <t>Negative control: Same invoice number 'INV-9011' ($6,500) issued by DIFFERENT vendor (V-3050 vs V-3012). Legitimate separate billing.</t>
  </si>
  <si>
    <t>V-3025</t>
  </si>
  <si>
    <t>Delta Logistics Express</t>
  </si>
  <si>
    <t>DL-4011</t>
  </si>
  <si>
    <t>EFT-990100</t>
  </si>
  <si>
    <t>Negative control: Same vendor (V-3012), different invoice numbers ('INV-9050' vs 'INV-9051') and different amounts. Unflagged.</t>
  </si>
  <si>
    <t>DL-4012</t>
  </si>
  <si>
    <t>EFT-990260</t>
  </si>
  <si>
    <t>Distinct sequential invoice 'dl4012'; routine mid-month dispatch.</t>
  </si>
  <si>
    <t>V-3099</t>
  </si>
  <si>
    <t>Crown Commercial Cleaning</t>
  </si>
  <si>
    <t>EFT-990180</t>
  </si>
  <si>
    <t>Same invoice string but issued by completely different vendor (V-3099 vs V-3012). Legitimate coincidence.</t>
  </si>
  <si>
    <t>2026/MAR/092</t>
  </si>
  <si>
    <t>EFT-990440</t>
  </si>
  <si>
    <t>Distinct sequential invoice '2026mar092'; different monthly maintenance scope.</t>
  </si>
  <si>
    <t>V-3060</t>
  </si>
  <si>
    <t>Middle East Security Services</t>
  </si>
  <si>
    <t>SEC-5501</t>
  </si>
  <si>
    <t>EFT-990230</t>
  </si>
  <si>
    <t>Unique invoice 'sec5501'; monthly security guarding services.</t>
  </si>
  <si>
    <t>ANOMALY TEST 4: OFF-HOURS &amp; WEEKEND GENERAL LEDGER POSTINGS</t>
  </si>
  <si>
    <t>Isolates manual journal entries posted on weekends or outside 7:00 AM - 7:00 PM business hours (Cutoff &amp; Deferral Evasion)</t>
  </si>
  <si>
    <t>Day_of_Week</t>
  </si>
  <si>
    <t>Time_of_Day</t>
  </si>
  <si>
    <t>Is_Weekend</t>
  </si>
  <si>
    <t>Is_Off_Hours</t>
  </si>
  <si>
    <t>JV-2026-00452</t>
  </si>
  <si>
    <t>4100-01</t>
  </si>
  <si>
    <t>Direct Revenue - Catering Services</t>
  </si>
  <si>
    <t>FIN_CLERK_2</t>
  </si>
  <si>
    <t>Manual credit of $87,500 to Revenue posted at 23:45:10 on month-end close night. Evasion of standard supervisory cutoff review.</t>
  </si>
  <si>
    <t>JV-2026-00458</t>
  </si>
  <si>
    <t>1250-00</t>
  </si>
  <si>
    <t>Prepayments &amp; Deferred Charges</t>
  </si>
  <si>
    <t>FIN_MGR_1</t>
  </si>
  <si>
    <t>Manual debit of $45,000 to Prepayments posted at 01:15:30 on close night. Cutoff deferral risk.</t>
  </si>
  <si>
    <t>JV-2026-00461</t>
  </si>
  <si>
    <t>5200-10</t>
  </si>
  <si>
    <t>Inventory Provision / Scrap Adjustment</t>
  </si>
  <si>
    <t>COST_ACCNT</t>
  </si>
  <si>
    <t>Manual debit of $62,000 to Inventory Scrap provision posted on Saturday at 14:20:00. Weekend management override.</t>
  </si>
  <si>
    <t>JV-2026-00470</t>
  </si>
  <si>
    <t>2100-05</t>
  </si>
  <si>
    <t>Accrued Operating Expenses</t>
  </si>
  <si>
    <t>Manual credit of $53,000 to Accruals posted on Sunday at 22:10:15. Unmonitored weekend adjustment.</t>
  </si>
  <si>
    <t>JV-2026-00475</t>
  </si>
  <si>
    <t>6300-00</t>
  </si>
  <si>
    <t>General Consulting Expenses</t>
  </si>
  <si>
    <t>Manual credit of $35,000 to Operating Cost posted at 05:30:00 (prior to 07:00 opening window). Off-hours override.</t>
  </si>
  <si>
    <t>JV-2026-00410</t>
  </si>
  <si>
    <t>5010-00</t>
  </si>
  <si>
    <t>Cost of Goods Sold - Food Supplies</t>
  </si>
  <si>
    <t>FIN_CLERK_1</t>
  </si>
  <si>
    <t>Automated recurring entry (SAP_AUTO_01) posted at 02:00:00. System batch job. Excluded from manual override inquiry.</t>
  </si>
  <si>
    <t>JV-2026-00418</t>
  </si>
  <si>
    <t>2010-00</t>
  </si>
  <si>
    <t>Trade Accounts Payable</t>
  </si>
  <si>
    <t>Routine manual journal posted on Tuesday at 14:30:00. Within standard operating window (07:00 to 19:00). Unflagged.</t>
  </si>
  <si>
    <t>JV-2026-00425</t>
  </si>
  <si>
    <t>6100-00</t>
  </si>
  <si>
    <t>Office Utilities Expense</t>
  </si>
  <si>
    <t>Normal business hours entry (Thursday 2:20 PM). Utility accrual true-up.</t>
  </si>
  <si>
    <t>JV-2026-00432</t>
  </si>
  <si>
    <t>1010-00</t>
  </si>
  <si>
    <t>Operating Bank Account - Clearing</t>
  </si>
  <si>
    <t>Normal business hours entry (Thursday 2:20 PM). Utility payment clearing.</t>
  </si>
  <si>
    <t>JV-2026-00440</t>
  </si>
  <si>
    <t>6200-05</t>
  </si>
  <si>
    <t>Staff Travel &amp; Accommodation</t>
  </si>
  <si>
    <t>Normal business hours entry (Friday 4:45 PM before 7:00 PM cutoff). Routine monthly T&amp;E.</t>
  </si>
  <si>
    <t>JV-2026-00445</t>
  </si>
  <si>
    <t>1100-00</t>
  </si>
  <si>
    <t>Accounts Receivable Trade</t>
  </si>
  <si>
    <t>Normal business hours entry (Monday 11:15 AM). Trade billing adjustment.</t>
  </si>
  <si>
    <t>JV-2026-00450</t>
  </si>
  <si>
    <t>4100-02</t>
  </si>
  <si>
    <t>Corporate Catering Revenue</t>
  </si>
  <si>
    <t>Normal business hours entry (Monday 11:15 AM). Direct catering revenue recognition.</t>
  </si>
  <si>
    <t>ANOMALY TEST 5: SUSPICIOUS ROUND-SUM PROFESSIONAL FEES &amp; SERVICES</t>
  </si>
  <si>
    <t>Flags flat round-sum invoices (&gt;= $5,000 divisible by $1,000 or $2,500) in high-risk discretionary accounts</t>
  </si>
  <si>
    <t>Invoice_ID</t>
  </si>
  <si>
    <t>Divisible_By_1000</t>
  </si>
  <si>
    <t>Divisible_By_2500</t>
  </si>
  <si>
    <t>Is_High_Risk_GL</t>
  </si>
  <si>
    <t>INV-9021</t>
  </si>
  <si>
    <t>Strategic Growth Partners Ltd</t>
  </si>
  <si>
    <t>Consulting</t>
  </si>
  <si>
    <t>Advisory services rendered for Q1 market entry</t>
  </si>
  <si>
    <t>CORP_VP</t>
  </si>
  <si>
    <t>Flat retainer of $25,000 in Consulting without milestone deliverables, scope memo, or timesheets.</t>
  </si>
  <si>
    <t>INV-9025</t>
  </si>
  <si>
    <t>Blackwood Legal Associates</t>
  </si>
  <si>
    <t>Legal Fees</t>
  </si>
  <si>
    <t>General corporate legal advisory retainer</t>
  </si>
  <si>
    <t>LEGAL_DIR</t>
  </si>
  <si>
    <t>Flat fee of $17,500 in Legal Fees without detailed case file breakdown or formal engagement letter.</t>
  </si>
  <si>
    <t>INV-9030</t>
  </si>
  <si>
    <t>Vanguard Creative Media FZ</t>
  </si>
  <si>
    <t>Marketing Expenses</t>
  </si>
  <si>
    <t>Digital brand activation strategy fee</t>
  </si>
  <si>
    <t>MKT_HEAD</t>
  </si>
  <si>
    <t>Round sum of $10,000 in Marketing Expenses with generic narration. No campaign assets or performance metrics.</t>
  </si>
  <si>
    <t>INV-9038</t>
  </si>
  <si>
    <t>Apex Executive Advisory</t>
  </si>
  <si>
    <t>Advisory</t>
  </si>
  <si>
    <t>Executive leadership advisory fee</t>
  </si>
  <si>
    <t>CEO_EXEC</t>
  </si>
  <si>
    <t>Round retainer of $45,000 in Advisory lacking formal board or committee approval.</t>
  </si>
  <si>
    <t>INV-9044</t>
  </si>
  <si>
    <t>Chartered Tax Advisors LLC</t>
  </si>
  <si>
    <t>Professional Fees</t>
  </si>
  <si>
    <t>Corporate tax restructuring advisory retainer</t>
  </si>
  <si>
    <t>CFO_EXEC</t>
  </si>
  <si>
    <t>Flat fee of $12,000 in Professional Fees without tax opinion memorandum or workpapers.</t>
  </si>
  <si>
    <t>INV-9010</t>
  </si>
  <si>
    <t>Emirates Real Estate Corp</t>
  </si>
  <si>
    <t>Office Rent</t>
  </si>
  <si>
    <t>Monthly corporate HQ lease payment</t>
  </si>
  <si>
    <t>FAC_MGR</t>
  </si>
  <si>
    <t>Round sum of $25,000 in Office Rent. Legitimate contracted lease payment under long-term facility agreement. Unflagged.</t>
  </si>
  <si>
    <t>INV-9015</t>
  </si>
  <si>
    <t>Global Logistics Solutions</t>
  </si>
  <si>
    <t>Freight &amp; Haulage</t>
  </si>
  <si>
    <t>Fixed monthly container charter</t>
  </si>
  <si>
    <t>LOG_DIR</t>
  </si>
  <si>
    <t>Consulting expense of $14,352.50. Itemized hourly invoice with detailed expense reimbursement. Unflagged.</t>
  </si>
  <si>
    <t>INV-9050</t>
  </si>
  <si>
    <t>McKinsey &amp; Company</t>
  </si>
  <si>
    <t>Supply chain optimization timesheets &amp; expenses</t>
  </si>
  <si>
    <t>OPS_DIR</t>
  </si>
  <si>
    <t>Detailed cents amount ($38,415.75); includes fully itemized partner timesheets and travel receipts.</t>
  </si>
  <si>
    <t>INV-9055</t>
  </si>
  <si>
    <t>Baker &amp; McKenzie Legal</t>
  </si>
  <si>
    <t>Regulatory filing fees &amp; billed associate hours</t>
  </si>
  <si>
    <t>Detailed bill with itemized associate hours and regulatory disbursements. Fully substantiated.</t>
  </si>
  <si>
    <t>INV-9060</t>
  </si>
  <si>
    <t>Digital Pulse Marketing</t>
  </si>
  <si>
    <t>Social media ad campaign sprint</t>
  </si>
  <si>
    <t>MKT_ASST</t>
  </si>
  <si>
    <t>Small round sum ($2,500) safely below $5,000 high-risk threshold. Routine social ad spend.</t>
  </si>
  <si>
    <t>INV-9065</t>
  </si>
  <si>
    <t>Horizon Business Consulting</t>
  </si>
  <si>
    <t>Workshop facilitation fee</t>
  </si>
  <si>
    <t>HR_DIR</t>
  </si>
  <si>
    <t>Small fee ($4,000) below $5,000 threshold. Controlled training workshop expense.</t>
  </si>
  <si>
    <t>INV-9070</t>
  </si>
  <si>
    <t>Cisco Network Systems</t>
  </si>
  <si>
    <t>IT Equipment Lease</t>
  </si>
  <si>
    <t>Quarterly server hardware lease</t>
  </si>
  <si>
    <t>IT_DIR</t>
  </si>
  <si>
    <t>Fixed hardware lease; routine capital equipment commitment.</t>
  </si>
  <si>
    <t>CONTINUOUS CONTROLS MONITORING: EXCEPTION &amp; EXPOSURE REGISTER</t>
  </si>
  <si>
    <t>Aggregated Population Telemetry &amp; Financial Exposure Summary | 100% Population Testing</t>
  </si>
  <si>
    <t>ENGAGEMENT METADATA &amp; TELEMETRY PARAMETERS</t>
  </si>
  <si>
    <t>Audit Period:</t>
  </si>
  <si>
    <t>FY2026 Q1 - Q3 Telemetry Extract</t>
  </si>
  <si>
    <t>Lead Practice:</t>
  </si>
  <si>
    <t>Internal Audit &amp; Risk Advisory</t>
  </si>
  <si>
    <t>Target Population:</t>
  </si>
  <si>
    <t>100% AP, PO Lines &amp; GL Journals</t>
  </si>
  <si>
    <t>Audit Method:</t>
  </si>
  <si>
    <t>Deterministic Continuous Anomaly Scanning</t>
  </si>
  <si>
    <t>Framework Architect:</t>
  </si>
  <si>
    <t>Majid Mumtaz | CIA, ACA (ICAEW), FCCA, GRCP, GRCA, COSO ERM</t>
  </si>
  <si>
    <t>Author Profiles:</t>
  </si>
  <si>
    <t>PORTFOLIO SUMMARY METRICS</t>
  </si>
  <si>
    <t>TOTAL TRANSACTIONS SCANNED</t>
  </si>
  <si>
    <t>TOTAL EXCEPTIONS FLAGGED</t>
  </si>
  <si>
    <t>PORTFOLIO EXCEPTION RATE</t>
  </si>
  <si>
    <t>TOTAL FINANCIAL EXPOSURE</t>
  </si>
  <si>
    <t>DETERMINISTIC TEST FINDINGS &amp; EXPOSURE BREAKDOWN</t>
  </si>
  <si>
    <t>Test ID</t>
  </si>
  <si>
    <t>Anomaly Test Name</t>
  </si>
  <si>
    <t>Operational Risk &amp; Control Failure Mechanism</t>
  </si>
  <si>
    <t>Transactions Tested</t>
  </si>
  <si>
    <t>Exceptions Flagged</t>
  </si>
  <si>
    <t>Flag Rate (%)</t>
  </si>
  <si>
    <t>Financial Exposure ($)</t>
  </si>
  <si>
    <t>Audit Remediation / Fieldwork Reference</t>
  </si>
  <si>
    <t>Test 1</t>
  </si>
  <si>
    <t>Split Purchase Orders</t>
  </si>
  <si>
    <t>Evasion of Delegated Authority limits (&lt; $10,000 threshold within 5 days to same vendor by same buyer)</t>
  </si>
  <si>
    <t>Audit PO lines for partitioned scopes of work (e.g. Phase 1 / Phase 2); evaluate vendor quote pooling.</t>
  </si>
  <si>
    <t>Test 2</t>
  </si>
  <si>
    <t>Dormant Vendor Resuscitation</t>
  </si>
  <si>
    <t>Unauthorized cash diversion via dormant vendor master alteration (&gt; 180 days dormant + bank change &lt;= 30 days)</t>
  </si>
  <si>
    <t>Freeze pending disbursements; demand independent call-back verification log signed prior to bank alteration.</t>
  </si>
  <si>
    <t>Test 3</t>
  </si>
  <si>
    <t>Near-Duplicate AP Invoices</t>
  </si>
  <si>
    <t>Double payment cash leakage bypassing ERP duplicate rules via spaces, hyphens, or punctuation tweaks</t>
  </si>
  <si>
    <t>Review distinct bank clearing vouchers (EFT references); issue immediate vendor recovery clawback letters.</t>
  </si>
  <si>
    <t>Test 4</t>
  </si>
  <si>
    <t>Off-Hours &amp; Weekend GL Entries</t>
  </si>
  <si>
    <t>Evasion of supervisory review during cutoff (manual entries posted on weekends or outside 7:00 AM - 7:00 PM)</t>
  </si>
  <si>
    <t>Inspect credit lines to revenue, inventory scrap, or prepayments; trace manual entries to valid authorizations.</t>
  </si>
  <si>
    <t>Test 5</t>
  </si>
  <si>
    <t>Suspicious Round-Sum Fees</t>
  </si>
  <si>
    <t>Unsubstantiated discretionary spend or kickbacks (flat fees &gt;= $5k divisible by $1k/$2.5k in Consulting/Legal/Marketing)</t>
  </si>
  <si>
    <t>Inspect physical deliverables, timesheets, and formal committee approvals supporting round retainers.</t>
  </si>
  <si>
    <t>PORTFOLIO TOTAL:</t>
  </si>
  <si>
    <t>EXECUTIVE COMMENTARY: THE PARALLAX VIEW ON OPERATIONAL BREAKDOWNS</t>
  </si>
  <si>
    <t>1. Frontline Reality vs. Board Perception (The Structural Gap):</t>
  </si>
  <si>
    <t>What appears to the Board Audit Committee as 'unauthorized evasion' is frequently a rational coping mechanism adopted by frontline managers under intense operational pressure. When ERP approval workflows impose a 72-hour bottleneck on simple operational repairs, department buyers split purchase orders under $10,000 to keep facilities running. Similarly, finance clerks posting journal adjustments at 11:45 PM on month-end close night are not executing fraud; they are coping with fragmented interfaces to meet reporting deadlines.</t>
  </si>
  <si>
    <t>Similarly, finance clerks posting journal adjustments at 11:45 PM on month-end close night are not executing fraud; they are struggling against fragmented subledger interfaces to hit executive reporting deadlines.</t>
  </si>
  <si>
    <t>2. Remediation Must Address Structural Bottlenecks, Not Add Checklists:</t>
  </si>
  <si>
    <t>Mandating more paper signatures or punitive memos drives workarounds into offline spreadsheets and WhatsApp groups. The sustainable remedy is automated controls built directly into system logic: automated order consolidation at the requisition gate, mandatory two-party verification gates on bank account updates, and automated duplicate string normalization at invoice entry.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</si>
</sst>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0.00"/>
    <numFmt numFmtId="166" formatCode="yyyy\-mm\-dd\ hh:mm:ss"/>
    <numFmt numFmtId="167" formatCode="0.0%"/>
  </numFmts>
  <fonts count="20" x14ac:knownFonts="1">
    <font>
      <sz val="11"/>
      <color theme="1"/>
      <name val="Calibri"/>
      <family val="2"/>
      <scheme val="minor"/>
    </font>
    <font>
      <b/>
      <sz val="14"/>
      <color rgb="FFFFFFFF"/>
      <name val="Segoe UI"/>
    </font>
    <font>
      <i/>
      <sz val="9.5"/>
      <color rgb="FFD9E1F2"/>
      <name val="Segoe UI"/>
    </font>
    <font>
      <b/>
      <sz val="11"/>
      <color rgb="FF1F4E78"/>
      <name val="Segoe UI"/>
    </font>
    <font>
      <sz val="9"/>
      <color rgb="FF1F2937"/>
      <name val="Segoe UI"/>
    </font>
    <font>
      <b/>
      <sz val="9.5"/>
      <color rgb="FFFFFFFF"/>
      <name val="Segoe UI"/>
    </font>
    <font>
      <b/>
      <sz val="9"/>
      <color rgb="FF1F2937"/>
      <name val="Segoe UI"/>
    </font>
    <font>
      <i/>
      <sz val="8.5"/>
      <color rgb="FF566573"/>
      <name val="Segoe UI"/>
    </font>
    <font>
      <b/>
      <sz val="9.5"/>
      <color rgb="FF1F4E78"/>
      <name val="Segoe UI"/>
    </font>
    <font>
      <b/>
      <sz val="8.5"/>
      <color rgb="FF566573"/>
      <name val="Segoe UI"/>
    </font>
    <font>
      <b/>
      <sz val="15"/>
      <color rgb="FF1F4E78"/>
      <name val="Segoe UI"/>
    </font>
    <font>
      <b/>
      <sz val="10"/>
      <color rgb="FF002060"/>
      <name val="Calibri"/>
    </font>
    <font>
      <b/>
      <sz val="10"/>
      <color rgb="FF000000"/>
      <name val="Calibri"/>
    </font>
    <font>
      <u/>
      <sz val="10"/>
      <color rgb="FF0563C1"/>
      <name val="Calibri"/>
    </font>
    <font>
      <b/>
      <sz val="14"/>
      <color rgb="FFFFFFFF"/>
      <name val="Calibri"/>
    </font>
    <font>
      <i/>
      <sz val="10"/>
      <color rgb="FFE2E8F0"/>
      <name val="Calibri"/>
    </font>
    <font>
      <b/>
      <sz val="11"/>
      <color rgb="FF1B365D"/>
      <name val="Calibri"/>
    </font>
    <font>
      <sz val="10"/>
      <color rgb="FF0F172A"/>
      <name val="Calibri"/>
    </font>
    <font>
      <b/>
      <sz val="10"/>
      <color rgb="FF0F172A"/>
      <name val="Calibri"/>
    </font>
    <font>
      <u/>
      <sz val="10"/>
      <color rgb="FF0A58CA"/>
      <name val="Calibri"/>
    </font>
  </fonts>
  <fills count="11">
    <fill>
      <patternFill patternType="none"/>
    </fill>
    <fill>
      <patternFill patternType="gray125"/>
    </fill>
    <fill>
      <patternFill patternType="solid">
        <fgColor rgb="FF1F4E78"/>
        <bgColor rgb="FF1F4E78"/>
      </patternFill>
    </fill>
    <fill>
      <patternFill patternType="solid">
        <fgColor rgb="FFD9E1F2"/>
        <bgColor rgb="FFD9E1F2"/>
      </patternFill>
    </fill>
    <fill>
      <patternFill patternType="solid">
        <fgColor rgb="FFF9FAFB"/>
        <bgColor rgb="FFF9FAFB"/>
      </patternFill>
    </fill>
    <fill>
      <patternFill patternType="solid">
        <fgColor rgb="FFEDF2F8"/>
        <bgColor rgb="FFEDF2F8"/>
      </patternFill>
    </fill>
    <fill>
      <patternFill patternType="solid">
        <fgColor rgb="FF2F5597"/>
        <bgColor rgb="FF2F5597"/>
      </patternFill>
    </fill>
    <fill>
      <patternFill patternType="solid">
        <fgColor rgb="FFF2F4F8"/>
        <bgColor rgb="FFF2F4F8"/>
      </patternFill>
    </fill>
    <fill>
      <patternFill patternType="solid">
        <fgColor rgb="FF1B365D"/>
        <bgColor rgb="FF1B365D"/>
      </patternFill>
    </fill>
    <fill>
      <patternFill patternType="solid">
        <fgColor rgb="FF24416B"/>
        <bgColor rgb="FF24416B"/>
      </patternFill>
    </fill>
    <fill>
      <patternFill patternType="solid">
        <fgColor rgb="FFE2E8F0"/>
        <bgColor rgb="FFE2E8F0"/>
      </patternFill>
    </fill>
  </fills>
  <borders count="10">
    <border>
      <left/>
      <right/>
      <top/>
      <bottom/>
      <diagonal/>
    </border>
    <border>
      <left style="thin">
        <color rgb="FF1F4E78"/>
      </left>
      <right style="thin">
        <color rgb="FF1F4E78"/>
      </right>
      <top style="medium">
        <color rgb="FF1F4E78"/>
      </top>
      <bottom style="medium">
        <color rgb="FF1F4E78"/>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1F4E78"/>
      </top>
      <bottom style="double">
        <color rgb="FF1F4E78"/>
      </bottom>
      <diagonal/>
    </border>
    <border>
      <left style="thin">
        <color rgb="FF1F4E78"/>
      </left>
      <right style="thin">
        <color rgb="FF1F4E78"/>
      </right>
      <top/>
      <bottom style="medium">
        <color rgb="FF1F4E78"/>
      </bottom>
      <diagonal/>
    </border>
    <border>
      <left style="thin">
        <color rgb="FFD9D9D9"/>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medium">
        <color rgb="FF1F4E78"/>
      </top>
      <bottom style="medium">
        <color rgb="FF1F4E78"/>
      </bottom>
      <diagonal/>
    </border>
    <border>
      <left/>
      <right style="thin">
        <color rgb="FF1F4E78"/>
      </right>
      <top style="medium">
        <color rgb="FF1F4E78"/>
      </top>
      <bottom style="medium">
        <color rgb="FF1F4E78"/>
      </bottom>
      <diagonal/>
    </border>
  </borders>
  <cellStyleXfs count="1">
    <xf numFmtId="0" fontId="0" fillId="0" borderId="0"/>
  </cellStyleXfs>
  <cellXfs count="79">
    <xf numFmtId="0" fontId="0" fillId="0" borderId="0" xfId="0"/>
    <xf numFmtId="0" fontId="5" fillId="2" borderId="1" xfId="0" applyFont="1" applyFill="1" applyBorder="1" applyAlignment="1">
      <alignment horizontal="center" vertical="center" wrapText="1"/>
    </xf>
    <xf numFmtId="0" fontId="6" fillId="0" borderId="2" xfId="0" applyFont="1" applyBorder="1" applyAlignment="1">
      <alignment horizontal="left" vertical="center" wrapText="1"/>
    </xf>
    <xf numFmtId="0" fontId="4" fillId="0" borderId="2" xfId="0" applyFont="1" applyBorder="1" applyAlignment="1">
      <alignment horizontal="left" vertical="center" wrapText="1"/>
    </xf>
    <xf numFmtId="0" fontId="6" fillId="4" borderId="2" xfId="0" applyFont="1" applyFill="1" applyBorder="1" applyAlignment="1">
      <alignment horizontal="left" vertical="center" wrapText="1"/>
    </xf>
    <xf numFmtId="0" fontId="4" fillId="4" borderId="2" xfId="0" applyFont="1" applyFill="1" applyBorder="1" applyAlignment="1">
      <alignment horizontal="left" vertical="center" wrapText="1"/>
    </xf>
    <xf numFmtId="0" fontId="5" fillId="2" borderId="1" xfId="0" applyFont="1" applyFill="1" applyBorder="1"/>
    <xf numFmtId="0" fontId="6" fillId="0" borderId="2" xfId="0" applyFont="1" applyBorder="1"/>
    <xf numFmtId="0" fontId="4" fillId="0" borderId="2" xfId="0" applyFont="1" applyBorder="1"/>
    <xf numFmtId="0" fontId="6" fillId="4" borderId="2" xfId="0" applyFont="1" applyFill="1" applyBorder="1"/>
    <xf numFmtId="0" fontId="4" fillId="4" borderId="2" xfId="0" applyFont="1" applyFill="1" applyBorder="1"/>
    <xf numFmtId="164" fontId="4" fillId="0" borderId="2" xfId="0" applyNumberFormat="1" applyFont="1" applyBorder="1"/>
    <xf numFmtId="165" fontId="4" fillId="0" borderId="2" xfId="0" applyNumberFormat="1" applyFont="1" applyBorder="1"/>
    <xf numFmtId="0" fontId="4" fillId="5" borderId="2" xfId="0" applyFont="1" applyFill="1" applyBorder="1" applyAlignment="1">
      <alignment horizontal="center" vertical="center"/>
    </xf>
    <xf numFmtId="165" fontId="4" fillId="5" borderId="2" xfId="0" applyNumberFormat="1" applyFont="1" applyFill="1" applyBorder="1"/>
    <xf numFmtId="0" fontId="6" fillId="0" borderId="2" xfId="0" applyFont="1" applyBorder="1" applyAlignment="1">
      <alignment horizontal="center" vertical="center"/>
    </xf>
    <xf numFmtId="165" fontId="6" fillId="0" borderId="2" xfId="0" applyNumberFormat="1" applyFont="1" applyBorder="1"/>
    <xf numFmtId="0" fontId="0" fillId="0" borderId="3" xfId="0" applyBorder="1"/>
    <xf numFmtId="0" fontId="8" fillId="0" borderId="3" xfId="0" applyFont="1" applyBorder="1" applyAlignment="1">
      <alignment horizontal="right" vertical="center"/>
    </xf>
    <xf numFmtId="166" fontId="4" fillId="0" borderId="2" xfId="0" applyNumberFormat="1" applyFont="1" applyBorder="1"/>
    <xf numFmtId="0" fontId="6" fillId="0" borderId="0" xfId="0" applyFont="1"/>
    <xf numFmtId="0" fontId="4" fillId="0" borderId="0" xfId="0" applyFont="1"/>
    <xf numFmtId="3" fontId="6" fillId="0" borderId="2" xfId="0" applyNumberFormat="1" applyFont="1" applyBorder="1" applyAlignment="1">
      <alignment horizontal="center" vertical="center"/>
    </xf>
    <xf numFmtId="167" fontId="6" fillId="0" borderId="2" xfId="0" applyNumberFormat="1" applyFont="1" applyBorder="1" applyAlignment="1">
      <alignment horizontal="center" vertical="center"/>
    </xf>
    <xf numFmtId="165" fontId="6" fillId="0" borderId="2" xfId="0" applyNumberFormat="1" applyFont="1" applyBorder="1" applyAlignment="1">
      <alignment horizontal="right" vertical="center"/>
    </xf>
    <xf numFmtId="3" fontId="8" fillId="0" borderId="3" xfId="0" applyNumberFormat="1" applyFont="1" applyBorder="1" applyAlignment="1">
      <alignment horizontal="center" vertical="center"/>
    </xf>
    <xf numFmtId="167" fontId="8" fillId="0" borderId="3" xfId="0" applyNumberFormat="1" applyFont="1" applyBorder="1" applyAlignment="1">
      <alignment horizontal="center" vertical="center"/>
    </xf>
    <xf numFmtId="165" fontId="8" fillId="0" borderId="3" xfId="0" applyNumberFormat="1" applyFont="1" applyBorder="1" applyAlignment="1">
      <alignment horizontal="right" vertical="center"/>
    </xf>
    <xf numFmtId="0" fontId="5" fillId="2" borderId="4" xfId="0" applyFont="1" applyFill="1" applyBorder="1" applyAlignment="1">
      <alignment horizontal="center" vertical="center" wrapText="1"/>
    </xf>
    <xf numFmtId="0" fontId="5" fillId="6" borderId="4" xfId="0" applyFont="1" applyFill="1" applyBorder="1" applyAlignment="1">
      <alignment horizontal="center" vertical="center" wrapText="1"/>
    </xf>
    <xf numFmtId="0" fontId="6" fillId="0" borderId="5" xfId="0" applyFont="1" applyBorder="1"/>
    <xf numFmtId="164" fontId="4" fillId="0" borderId="5" xfId="0" applyNumberFormat="1" applyFont="1" applyBorder="1"/>
    <xf numFmtId="0" fontId="4" fillId="0" borderId="5" xfId="0" applyFont="1" applyBorder="1"/>
    <xf numFmtId="165" fontId="4" fillId="0" borderId="5" xfId="0" applyNumberFormat="1" applyFont="1" applyBorder="1"/>
    <xf numFmtId="0" fontId="4" fillId="5" borderId="5" xfId="0" applyFont="1" applyFill="1" applyBorder="1" applyAlignment="1">
      <alignment horizontal="center" vertical="center"/>
    </xf>
    <xf numFmtId="165" fontId="4" fillId="5" borderId="5" xfId="0" applyNumberFormat="1" applyFont="1" applyFill="1" applyBorder="1"/>
    <xf numFmtId="0" fontId="6" fillId="0" borderId="5" xfId="0" applyFont="1" applyBorder="1" applyAlignment="1">
      <alignment horizontal="center" vertical="center"/>
    </xf>
    <xf numFmtId="165" fontId="6" fillId="0" borderId="5" xfId="0" applyNumberFormat="1" applyFont="1" applyBorder="1"/>
    <xf numFmtId="0" fontId="4" fillId="5" borderId="5" xfId="0" applyFont="1" applyFill="1" applyBorder="1"/>
    <xf numFmtId="166" fontId="4" fillId="0" borderId="5" xfId="0" applyNumberFormat="1" applyFont="1" applyBorder="1"/>
    <xf numFmtId="0" fontId="11" fillId="0" borderId="0" xfId="0" applyFont="1"/>
    <xf numFmtId="0" fontId="13" fillId="0" borderId="0" xfId="0" applyFont="1"/>
    <xf numFmtId="0" fontId="12" fillId="0" borderId="0" xfId="0" applyFont="1"/>
    <xf numFmtId="0" fontId="4" fillId="0" borderId="0" xfId="0" applyFont="1" applyAlignment="1">
      <alignment horizontal="left" vertical="center" wrapText="1"/>
    </xf>
    <xf numFmtId="0" fontId="3" fillId="3" borderId="0" xfId="0" applyFont="1" applyFill="1" applyAlignment="1">
      <alignment horizontal="left" vertical="center" wrapText="1"/>
    </xf>
    <xf numFmtId="0" fontId="18" fillId="0" borderId="0" xfId="0" applyFont="1"/>
    <xf numFmtId="0" fontId="19" fillId="0" borderId="0" xfId="0" applyFont="1"/>
    <xf numFmtId="0" fontId="16" fillId="3" borderId="0" xfId="0" applyFont="1" applyFill="1" applyAlignment="1">
      <alignment horizontal="left" vertical="center" wrapText="1"/>
    </xf>
    <xf numFmtId="0" fontId="17" fillId="0" borderId="0" xfId="0" applyFont="1" applyAlignment="1">
      <alignment vertical="top" wrapText="1"/>
    </xf>
    <xf numFmtId="0" fontId="16" fillId="0" borderId="0" xfId="0" applyFont="1" applyAlignment="1">
      <alignment horizontal="left" vertical="center" wrapText="1"/>
    </xf>
    <xf numFmtId="0" fontId="16" fillId="0" borderId="0" xfId="0" applyFont="1"/>
    <xf numFmtId="0" fontId="17" fillId="3" borderId="0" xfId="0" applyFont="1" applyFill="1" applyAlignment="1">
      <alignment vertical="top" wrapText="1"/>
    </xf>
    <xf numFmtId="0" fontId="17" fillId="0" borderId="2" xfId="0" applyFont="1" applyBorder="1" applyAlignment="1">
      <alignment vertical="top" wrapText="1"/>
    </xf>
    <xf numFmtId="0" fontId="17" fillId="4" borderId="2" xfId="0" applyFont="1" applyFill="1" applyBorder="1" applyAlignment="1">
      <alignment vertical="top" wrapText="1"/>
    </xf>
    <xf numFmtId="0" fontId="17" fillId="0" borderId="2" xfId="0" applyFont="1" applyBorder="1" applyAlignment="1">
      <alignment vertical="center" wrapText="1"/>
    </xf>
    <xf numFmtId="0" fontId="15" fillId="9" borderId="0" xfId="0" applyFont="1" applyFill="1" applyAlignment="1">
      <alignment horizontal="left" vertical="center" indent="1"/>
    </xf>
    <xf numFmtId="0" fontId="0" fillId="0" borderId="0" xfId="0"/>
    <xf numFmtId="0" fontId="14" fillId="8" borderId="0" xfId="0" applyFont="1" applyFill="1" applyAlignment="1">
      <alignment horizontal="left" vertical="center" indent="1"/>
    </xf>
    <xf numFmtId="0" fontId="18" fillId="10" borderId="0" xfId="0" applyFont="1" applyFill="1" applyAlignment="1">
      <alignment horizontal="center" vertical="center"/>
    </xf>
    <xf numFmtId="0" fontId="4" fillId="0" borderId="2" xfId="0" applyFont="1" applyBorder="1"/>
    <xf numFmtId="0" fontId="0" fillId="0" borderId="6" xfId="0" applyBorder="1"/>
    <xf numFmtId="0" fontId="0" fillId="0" borderId="7" xfId="0" applyBorder="1"/>
    <xf numFmtId="0" fontId="4" fillId="4" borderId="2" xfId="0" applyFont="1" applyFill="1" applyBorder="1"/>
    <xf numFmtId="0" fontId="7" fillId="5" borderId="0" xfId="0" applyFont="1" applyFill="1"/>
    <xf numFmtId="0" fontId="5" fillId="2" borderId="1" xfId="0" applyFont="1" applyFill="1" applyBorder="1"/>
    <xf numFmtId="0" fontId="0" fillId="0" borderId="8" xfId="0" applyBorder="1"/>
    <xf numFmtId="0" fontId="0" fillId="0" borderId="9" xfId="0" applyBorder="1"/>
    <xf numFmtId="0" fontId="3" fillId="3" borderId="0" xfId="0" applyFont="1" applyFill="1"/>
    <xf numFmtId="0" fontId="17" fillId="5" borderId="2" xfId="0" applyFont="1" applyFill="1" applyBorder="1" applyAlignment="1">
      <alignment vertical="top" wrapText="1"/>
    </xf>
    <xf numFmtId="0" fontId="2" fillId="2" borderId="0" xfId="0" applyFont="1" applyFill="1" applyAlignment="1">
      <alignment horizontal="left" vertical="center" indent="1"/>
    </xf>
    <xf numFmtId="0" fontId="1" fillId="2" borderId="0" xfId="0" applyFont="1" applyFill="1" applyAlignment="1">
      <alignment horizontal="left" vertical="center" indent="1"/>
    </xf>
    <xf numFmtId="0" fontId="9" fillId="7" borderId="2" xfId="0" applyFont="1" applyFill="1" applyBorder="1" applyAlignment="1">
      <alignment horizontal="center" vertical="center"/>
    </xf>
    <xf numFmtId="0" fontId="16" fillId="3" borderId="0" xfId="0" applyFont="1" applyFill="1"/>
    <xf numFmtId="0" fontId="17" fillId="0" borderId="0" xfId="0" applyFont="1" applyAlignment="1">
      <alignment vertical="top" wrapText="1"/>
    </xf>
    <xf numFmtId="3" fontId="10" fillId="7" borderId="2" xfId="0" applyNumberFormat="1" applyFont="1" applyFill="1" applyBorder="1" applyAlignment="1">
      <alignment horizontal="center" vertical="center"/>
    </xf>
    <xf numFmtId="167" fontId="10" fillId="7" borderId="2" xfId="0" applyNumberFormat="1" applyFont="1" applyFill="1" applyBorder="1" applyAlignment="1">
      <alignment horizontal="center" vertical="center"/>
    </xf>
    <xf numFmtId="0" fontId="4" fillId="0" borderId="0" xfId="0" applyFont="1" applyAlignment="1">
      <alignment horizontal="left" vertical="center" wrapText="1"/>
    </xf>
    <xf numFmtId="0" fontId="18" fillId="0" borderId="0" xfId="0" applyFont="1" applyAlignment="1">
      <alignment horizontal="left" vertical="center" wrapText="1"/>
    </xf>
    <xf numFmtId="165" fontId="10" fillId="7" borderId="2" xfId="0" applyNumberFormat="1" applyFont="1" applyFill="1" applyBorder="1" applyAlignment="1">
      <alignment horizontal="center" vertical="center"/>
    </xf>
  </cellXfs>
  <cellStyles count="1">
    <cellStyle name="Normal" xfId="0" builtinId="0"/>
  </cellStyles>
  <dxfs count="151">
    <dxf>
      <font>
        <b/>
        <sz val="9"/>
        <color rgb="FF78281F"/>
        <name val="Segoe UI"/>
      </font>
      <fill>
        <patternFill patternType="solid">
          <fgColor rgb="FFFADBD8"/>
          <bgColor rgb="FFFADBD8"/>
        </patternFill>
      </fill>
    </dxf>
    <dxf>
      <font>
        <b/>
        <sz val="9"/>
        <color rgb="FF78281F"/>
        <name val="Segoe UI"/>
      </font>
      <fill>
        <patternFill patternType="solid">
          <fgColor rgb="FFFADBD8"/>
          <bgColor rgb="FFFADBD8"/>
        </patternFill>
      </fill>
    </dxf>
    <dxf>
      <font>
        <b/>
        <sz val="9"/>
        <color rgb="FF78281F"/>
        <name val="Segoe UI"/>
      </font>
      <fill>
        <patternFill patternType="solid">
          <fgColor rgb="FFFADBD8"/>
          <bgColor rgb="FFFADBD8"/>
        </patternFill>
      </fill>
    </dxf>
    <dxf>
      <font>
        <b/>
        <sz val="9"/>
        <color rgb="FF78281F"/>
        <name val="Segoe UI"/>
      </font>
      <fill>
        <patternFill patternType="solid">
          <fgColor rgb="FFFADBD8"/>
          <bgColor rgb="FFFADBD8"/>
        </patternFill>
      </fill>
    </dxf>
    <dxf>
      <font>
        <b/>
        <sz val="9"/>
        <color rgb="FF78281F"/>
        <name val="Segoe UI"/>
      </font>
      <fill>
        <patternFill patternType="solid">
          <fgColor rgb="FFFADBD8"/>
          <bgColor rgb="FFFADBD8"/>
        </patternFill>
      </fill>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alignment horizontal="center" vertical="center"/>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border outline="0">
        <top style="thin">
          <color rgb="FFD9D9D9"/>
        </top>
      </border>
    </dxf>
    <dxf>
      <border outline="0">
        <top style="medium">
          <color rgb="FF1F4E78"/>
        </top>
        <bottom style="thin">
          <color rgb="FFD9D9D9"/>
        </bottom>
      </border>
    </dxf>
    <dxf>
      <border outline="0">
        <bottom style="medium">
          <color rgb="FF1F4E78"/>
        </bottom>
      </border>
    </dxf>
    <dxf>
      <font>
        <b/>
        <strike val="0"/>
        <condense val="0"/>
        <extend val="0"/>
        <outline val="0"/>
        <shadow val="0"/>
        <vertAlign val="baseline"/>
        <sz val="9.5"/>
        <color rgb="FFFFFFFF"/>
        <name val="Segoe UI"/>
      </font>
      <fill>
        <patternFill patternType="solid">
          <fgColor rgb="FF2F5597"/>
          <bgColor rgb="FF2F5597"/>
        </patternFill>
      </fill>
      <alignment horizontal="center" vertical="center" wrapText="1"/>
      <border outline="0">
        <left style="thin">
          <color rgb="FF1F4E78"/>
        </left>
        <right style="thin">
          <color rgb="FF1F4E78"/>
        </right>
        <top/>
        <bottom/>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alignment horizontal="center" vertical="center"/>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6" formatCode="yyyy\-mm\-dd\ hh:mm:ss"/>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border outline="0">
        <top style="thin">
          <color rgb="FFD9D9D9"/>
        </top>
      </border>
    </dxf>
    <dxf>
      <border outline="0">
        <top style="medium">
          <color rgb="FF1F4E78"/>
        </top>
        <bottom style="thin">
          <color rgb="FFD9D9D9"/>
        </bottom>
      </border>
    </dxf>
    <dxf>
      <border outline="0">
        <bottom style="medium">
          <color rgb="FF1F4E78"/>
        </bottom>
      </border>
    </dxf>
    <dxf>
      <font>
        <b/>
        <strike val="0"/>
        <condense val="0"/>
        <extend val="0"/>
        <outline val="0"/>
        <shadow val="0"/>
        <vertAlign val="baseline"/>
        <sz val="9.5"/>
        <color rgb="FFFFFFFF"/>
        <name val="Segoe UI"/>
      </font>
      <fill>
        <patternFill patternType="solid">
          <fgColor rgb="FF2F5597"/>
          <bgColor rgb="FF2F5597"/>
        </patternFill>
      </fill>
      <alignment horizontal="center" vertical="center" wrapText="1"/>
      <border outline="0">
        <left style="thin">
          <color rgb="FF1F4E78"/>
        </left>
        <right style="thin">
          <color rgb="FF1F4E78"/>
        </right>
        <top/>
        <bottom/>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alignment horizontal="center" vertical="center"/>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4" formatCode="yyyy\-mm\-dd"/>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4" formatCode="yyyy\-mm\-dd"/>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border outline="0">
        <top style="thin">
          <color rgb="FFD9D9D9"/>
        </top>
      </border>
    </dxf>
    <dxf>
      <border outline="0">
        <top style="medium">
          <color rgb="FF1F4E78"/>
        </top>
        <bottom style="thin">
          <color rgb="FFD9D9D9"/>
        </bottom>
      </border>
    </dxf>
    <dxf>
      <border outline="0">
        <bottom style="medium">
          <color rgb="FF1F4E78"/>
        </bottom>
      </border>
    </dxf>
    <dxf>
      <font>
        <b/>
        <strike val="0"/>
        <condense val="0"/>
        <extend val="0"/>
        <outline val="0"/>
        <shadow val="0"/>
        <vertAlign val="baseline"/>
        <sz val="9.5"/>
        <color rgb="FFFFFFFF"/>
        <name val="Segoe UI"/>
      </font>
      <fill>
        <patternFill patternType="solid">
          <fgColor rgb="FF2F5597"/>
          <bgColor rgb="FF2F5597"/>
        </patternFill>
      </fill>
      <alignment horizontal="center" vertical="center" wrapText="1"/>
      <border outline="0">
        <left style="thin">
          <color rgb="FF1F4E78"/>
        </left>
        <right style="thin">
          <color rgb="FF1F4E78"/>
        </right>
        <top/>
        <bottom/>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alignment horizontal="center" vertical="center"/>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4" formatCode="yyyy\-mm\-dd"/>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4" formatCode="yyyy\-mm\-dd"/>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4" formatCode="yyyy\-mm\-dd"/>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border outline="0">
        <top style="thin">
          <color rgb="FFD9D9D9"/>
        </top>
      </border>
    </dxf>
    <dxf>
      <border outline="0">
        <top style="medium">
          <color rgb="FF1F4E78"/>
        </top>
        <bottom style="thin">
          <color rgb="FFD9D9D9"/>
        </bottom>
      </border>
    </dxf>
    <dxf>
      <border outline="0">
        <bottom style="medium">
          <color rgb="FF1F4E78"/>
        </bottom>
      </border>
    </dxf>
    <dxf>
      <font>
        <b/>
        <strike val="0"/>
        <condense val="0"/>
        <extend val="0"/>
        <outline val="0"/>
        <shadow val="0"/>
        <vertAlign val="baseline"/>
        <sz val="9.5"/>
        <color rgb="FFFFFFFF"/>
        <name val="Segoe UI"/>
      </font>
      <fill>
        <patternFill patternType="solid">
          <fgColor rgb="FF2F5597"/>
          <bgColor rgb="FF2F5597"/>
        </patternFill>
      </fill>
      <alignment horizontal="center" vertical="center" wrapText="1"/>
      <border outline="0">
        <left style="thin">
          <color rgb="FF1F4E78"/>
        </left>
        <right style="thin">
          <color rgb="FF1F4E78"/>
        </right>
        <top/>
        <bottom/>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alignment horizontal="center" vertical="center"/>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fill>
        <patternFill patternType="solid">
          <fgColor rgb="FFEDF2F8"/>
          <bgColor rgb="FFEDF2F8"/>
        </patternFill>
      </fill>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fill>
        <patternFill patternType="solid">
          <fgColor rgb="FFEDF2F8"/>
          <bgColor rgb="FFEDF2F8"/>
        </patternFill>
      </fill>
      <alignment horizontal="center" vertical="center"/>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numFmt numFmtId="165" formatCode="\$#,##0.00"/>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5" formatCode="\$#,##0.00"/>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font>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strike val="0"/>
        <condense val="0"/>
        <extend val="0"/>
        <outline val="0"/>
        <shadow val="0"/>
        <vertAlign val="baseline"/>
        <sz val="9"/>
        <color rgb="FF1F2937"/>
        <name val="Segoe UI"/>
      </font>
      <numFmt numFmtId="164" formatCode="yyyy\-mm\-dd"/>
      <border>
        <left style="thin">
          <color rgb="FFD9D9D9"/>
        </left>
        <right style="thin">
          <color rgb="FFD9D9D9"/>
        </right>
        <top style="thin">
          <color rgb="FFD9D9D9"/>
        </top>
        <bottom style="thin">
          <color rgb="FFD9D9D9"/>
        </bottom>
        <vertical/>
        <horizontal/>
      </border>
    </dxf>
    <dxf>
      <font>
        <b/>
        <strike val="0"/>
        <condense val="0"/>
        <extend val="0"/>
        <outline val="0"/>
        <shadow val="0"/>
        <vertAlign val="baseline"/>
        <sz val="9"/>
        <color rgb="FF1F2937"/>
        <name val="Segoe UI"/>
      </font>
      <border outline="0">
        <left style="thin">
          <color rgb="FFD9D9D9"/>
        </left>
        <right style="thin">
          <color rgb="FFD9D9D9"/>
        </right>
        <top style="thin">
          <color rgb="FFD9D9D9"/>
        </top>
        <bottom/>
      </border>
    </dxf>
    <dxf>
      <font>
        <b/>
        <strike val="0"/>
        <condense val="0"/>
        <extend val="0"/>
        <outline val="0"/>
        <shadow val="0"/>
        <vertAlign val="baseline"/>
        <sz val="9"/>
        <color rgb="FF1F2937"/>
        <name val="Segoe UI"/>
      </font>
      <border>
        <left style="thin">
          <color rgb="FFD9D9D9"/>
        </left>
        <right style="thin">
          <color rgb="FFD9D9D9"/>
        </right>
        <top style="thin">
          <color rgb="FFD9D9D9"/>
        </top>
        <bottom style="thin">
          <color rgb="FFD9D9D9"/>
        </bottom>
        <vertical/>
        <horizontal/>
      </border>
    </dxf>
    <dxf>
      <border outline="0">
        <top style="thin">
          <color rgb="FFD9D9D9"/>
        </top>
      </border>
    </dxf>
    <dxf>
      <border outline="0">
        <top style="medium">
          <color rgb="FF1F4E78"/>
        </top>
        <bottom style="thin">
          <color rgb="FFD9D9D9"/>
        </bottom>
      </border>
    </dxf>
    <dxf>
      <border outline="0">
        <bottom style="medium">
          <color rgb="FF1F4E78"/>
        </bottom>
      </border>
    </dxf>
    <dxf>
      <font>
        <b/>
        <strike val="0"/>
        <condense val="0"/>
        <extend val="0"/>
        <outline val="0"/>
        <shadow val="0"/>
        <vertAlign val="baseline"/>
        <sz val="9.5"/>
        <color rgb="FFFFFFFF"/>
        <name val="Segoe UI"/>
      </font>
      <fill>
        <patternFill patternType="solid">
          <fgColor rgb="FF2F5597"/>
          <bgColor rgb="FF2F5597"/>
        </patternFill>
      </fill>
      <alignment horizontal="center" vertical="center" wrapText="1"/>
      <border outline="0">
        <left style="thin">
          <color rgb="FF1F4E78"/>
        </left>
        <right style="thin">
          <color rgb="FF1F4E78"/>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Split_POs" displayName="Table_Split_POs" ref="A3:M19" totalsRowCount="1" headerRowDxfId="150" headerRowBorderDxfId="149" tableBorderDxfId="148" totalsRowBorderDxfId="147">
  <autoFilter ref="A3:M18" xr:uid="{00000000-0009-0000-0100-000001000000}"/>
  <tableColumns count="13">
    <tableColumn id="1" xr3:uid="{00000000-0010-0000-0000-000001000000}" name="PO_Number" totalsRowLabel="Total" dataDxfId="146" totalsRowDxfId="145"/>
    <tableColumn id="2" xr3:uid="{00000000-0010-0000-0000-000002000000}" name="PO_Date" dataDxfId="144" totalsRowDxfId="143"/>
    <tableColumn id="3" xr3:uid="{00000000-0010-0000-0000-000003000000}" name="Vendor_ID" dataDxfId="142" totalsRowDxfId="141"/>
    <tableColumn id="4" xr3:uid="{00000000-0010-0000-0000-000004000000}" name="Vendor_Name" dataDxfId="140" totalsRowDxfId="139"/>
    <tableColumn id="5" xr3:uid="{00000000-0010-0000-0000-000005000000}" name="Buyer_ID" totalsRowLabel="TOTAL PORTFOLIO:" dataDxfId="138" totalsRowDxfId="137"/>
    <tableColumn id="6" xr3:uid="{00000000-0010-0000-0000-000006000000}" name="PO_Amount" totalsRowFunction="sum" dataDxfId="136" totalsRowDxfId="135"/>
    <tableColumn id="7" xr3:uid="{00000000-0010-0000-0000-000007000000}" name="PO_Description" dataDxfId="134" totalsRowDxfId="133"/>
    <tableColumn id="8" xr3:uid="{00000000-0010-0000-0000-000008000000}" name="PO_Status" dataDxfId="132" totalsRowDxfId="131"/>
    <tableColumn id="9" xr3:uid="{00000000-0010-0000-0000-000009000000}" name="Split_Window_Count" dataDxfId="130" totalsRowDxfId="129">
      <calculatedColumnFormula>IF(OR(F4&lt;=0, ISBLANK(F4), NOT(ISNUMBER(F4)), ISBLANK(B4)), 0, COUNTIFS($C:$C, C4, $E:$E, E4, $B:$B, "&gt;="&amp;(B4-5), $B:$B, "&lt;="&amp;(B4+5), $F:$F, "&gt;0", $F:$F, "&lt;10000"))</calculatedColumnFormula>
    </tableColumn>
    <tableColumn id="10" xr3:uid="{00000000-0010-0000-0000-00000A000000}" name="Split_Window_Total" dataDxfId="128" totalsRowDxfId="127">
      <calculatedColumnFormula>IF(OR(F4&lt;=0, ISBLANK(F4), NOT(ISNUMBER(F4)), ISBLANK(B4)), 0, SUMIFS($F:$F, $C:$C, C4, $E:$E, E4, $B:$B, "&gt;="&amp;(B4-5), $B:$B, "&lt;="&amp;(B4+5), $F:$F, "&gt;0", $F:$F, "&lt;10000"))</calculatedColumnFormula>
    </tableColumn>
    <tableColumn id="11" xr3:uid="{00000000-0010-0000-0000-00000B000000}" name="Audit_Flag" dataDxfId="126" totalsRowDxfId="125">
      <calculatedColumnFormula>IF(AND(ISNUMBER(F4), F4&gt;0, F4&lt;10000, I4&gt;1, J4&gt;=10000), "FLAG: SPLIT PO", "OK")</calculatedColumnFormula>
    </tableColumn>
    <tableColumn id="12" xr3:uid="{00000000-0010-0000-0000-00000C000000}" name="Financial_Exposure" totalsRowFunction="sum" dataDxfId="124" totalsRowDxfId="123">
      <calculatedColumnFormula>IF(K4="FLAG: SPLIT PO", F4, 0)</calculatedColumnFormula>
    </tableColumn>
    <tableColumn id="13" xr3:uid="{00000000-0010-0000-0000-00000D000000}" name="Audit_Workpaper_Notes" totalsRowFunction="count" dataDxfId="122" totalsRowDxfId="1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Dormant_Vendors" displayName="Table_Dormant_Vendors" ref="A3:L14" totalsRowCount="1" headerRowDxfId="120" headerRowBorderDxfId="119" tableBorderDxfId="118" totalsRowBorderDxfId="117">
  <autoFilter ref="A3:L13" xr:uid="{00000000-0009-0000-0100-000002000000}"/>
  <tableColumns count="12">
    <tableColumn id="1" xr3:uid="{00000000-0010-0000-0100-000001000000}" name="Vendor_ID" totalsRowLabel="Total" dataDxfId="116" totalsRowDxfId="115"/>
    <tableColumn id="2" xr3:uid="{00000000-0010-0000-0100-000002000000}" name="Vendor_Name" dataDxfId="114" totalsRowDxfId="113"/>
    <tableColumn id="3" xr3:uid="{00000000-0010-0000-0100-000003000000}" name="Payment_Date" dataDxfId="112" totalsRowDxfId="111"/>
    <tableColumn id="4" xr3:uid="{00000000-0010-0000-0100-000004000000}" name="Previous_Active_Date" dataDxfId="110" totalsRowDxfId="109"/>
    <tableColumn id="5" xr3:uid="{00000000-0010-0000-0100-000005000000}" name="Bank_Details_Last_Updated" totalsRowLabel="TOTAL PORTFOLIO:" dataDxfId="108" totalsRowDxfId="107"/>
    <tableColumn id="6" xr3:uid="{00000000-0010-0000-0100-000006000000}" name="Payment_Amount" totalsRowFunction="sum" dataDxfId="106" totalsRowDxfId="105"/>
    <tableColumn id="7" xr3:uid="{00000000-0010-0000-0100-000007000000}" name="Bank_Account_IBAN" dataDxfId="104" totalsRowDxfId="103"/>
    <tableColumn id="8" xr3:uid="{00000000-0010-0000-0100-000008000000}" name="Days_Dormant" dataDxfId="102" totalsRowDxfId="101">
      <calculatedColumnFormula>IF(OR(ISBLANK(C4), ISBLANK(D4), D4=""), "", IF(ISNUMBER(C4), C4, IFERROR(DATEVALUE(C4), 0)) - IF(ISNUMBER(D4), D4, IFERROR(DATEVALUE(D4), 0)))</calculatedColumnFormula>
    </tableColumn>
    <tableColumn id="9" xr3:uid="{00000000-0010-0000-0100-000009000000}" name="Days_Bank_Updated_Prior_Payment" dataDxfId="100" totalsRowDxfId="99">
      <calculatedColumnFormula>IF(OR(ISBLANK(C4), ISBLANK(E4), E4=""), "", IF(ISNUMBER(C4), C4, IFERROR(DATEVALUE(C4), 0)) - IF(ISNUMBER(E4), E4, IFERROR(DATEVALUE(E4), 0)))</calculatedColumnFormula>
    </tableColumn>
    <tableColumn id="10" xr3:uid="{00000000-0010-0000-0100-00000A000000}" name="Audit_Flag" dataDxfId="98" totalsRowDxfId="97">
      <calculatedColumnFormula>IF(AND(H4&lt;&gt;"", I4&lt;&gt;"", H4&gt;180, I4&lt;=30, I4&gt;=0), "FLAG: DORMANT RESUSCITATION", "OK")</calculatedColumnFormula>
    </tableColumn>
    <tableColumn id="11" xr3:uid="{00000000-0010-0000-0100-00000B000000}" name="Financial_Exposure" totalsRowFunction="sum" dataDxfId="96" totalsRowDxfId="95">
      <calculatedColumnFormula>IF(J4="FLAG: DORMANT RESUSCITATION", IFERROR(VALUE(F4), F4), 0)</calculatedColumnFormula>
    </tableColumn>
    <tableColumn id="12" xr3:uid="{00000000-0010-0000-0100-00000C000000}" name="Audit_Workpaper_Notes" totalsRowFunction="count" dataDxfId="94" totalsRowDxfId="9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Duplicate_Invoices" displayName="Table_Duplicate_Invoices" ref="A3:L16" totalsRowCount="1" headerRowDxfId="92" headerRowBorderDxfId="91" tableBorderDxfId="90" totalsRowBorderDxfId="89">
  <autoFilter ref="A3:L15" xr:uid="{00000000-0009-0000-0100-000003000000}"/>
  <tableColumns count="12">
    <tableColumn id="1" xr3:uid="{00000000-0010-0000-0200-000001000000}" name="Vendor_ID" totalsRowLabel="Total" dataDxfId="88" totalsRowDxfId="87"/>
    <tableColumn id="2" xr3:uid="{00000000-0010-0000-0200-000002000000}" name="Vendor_Name" dataDxfId="86" totalsRowDxfId="85"/>
    <tableColumn id="3" xr3:uid="{00000000-0010-0000-0200-000003000000}" name="Raw_Invoice_Number" dataDxfId="84" totalsRowDxfId="83"/>
    <tableColumn id="4" xr3:uid="{00000000-0010-0000-0200-000004000000}" name="Clean_Invoice_Number" dataDxfId="82" totalsRowDxfId="81">
      <calculatedColumnFormula>SUBSTITUTE(SUBSTITUTE(SUBSTITUTE(SUBSTITUTE(SUBSTITUTE(SUBSTITUTE(SUBSTITUTE(LOWER(TRIM(C4)), "-", ""), "/", ""), " ", ""), ".", ""), "_", ""), "#", ""), ":", "")</calculatedColumnFormula>
    </tableColumn>
    <tableColumn id="5" xr3:uid="{00000000-0010-0000-0200-000005000000}" name="Invoice_Date" totalsRowLabel="TOTAL PORTFOLIO:" dataDxfId="80" totalsRowDxfId="79"/>
    <tableColumn id="6" xr3:uid="{00000000-0010-0000-0200-000006000000}" name="Invoice_Amount" totalsRowFunction="sum" dataDxfId="78" totalsRowDxfId="77"/>
    <tableColumn id="7" xr3:uid="{00000000-0010-0000-0200-000007000000}" name="Payment_Reference" dataDxfId="76" totalsRowDxfId="75"/>
    <tableColumn id="8" xr3:uid="{00000000-0010-0000-0200-000008000000}" name="Payment_Date" dataDxfId="74" totalsRowDxfId="73"/>
    <tableColumn id="9" xr3:uid="{00000000-0010-0000-0200-000009000000}" name="Duplicate_Match_Count" dataDxfId="72" totalsRowDxfId="71">
      <calculatedColumnFormula>COUNTIFS($A:$A, A4, $D:$D, D4, $F:$F, F4)</calculatedColumnFormula>
    </tableColumn>
    <tableColumn id="10" xr3:uid="{00000000-0010-0000-0200-00000A000000}" name="Audit_Flag" dataDxfId="70" totalsRowDxfId="69">
      <calculatedColumnFormula>IF(I4&gt;1, "FLAG: DUPLICATE INVOICE", "OK")</calculatedColumnFormula>
    </tableColumn>
    <tableColumn id="11" xr3:uid="{00000000-0010-0000-0200-00000B000000}" name="Cash_Exposure" totalsRowFunction="sum" dataDxfId="68" totalsRowDxfId="67">
      <calculatedColumnFormula>IF(AND(J4="FLAG: DUPLICATE INVOICE", COUNTIFS($A$4:INDEX($A:$A, ROW()), A4, $D$4:INDEX($D:$D, ROW()), D4, $F$4:INDEX($F:$F, ROW()), F4)&gt;1), IFERROR(VALUE(F4), F4), 0)</calculatedColumnFormula>
    </tableColumn>
    <tableColumn id="12" xr3:uid="{00000000-0010-0000-0200-00000C000000}" name="Audit_Workpaper_Notes" totalsRowFunction="count" dataDxfId="66" totalsRowDxfId="6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Off_Hours_GL" displayName="Table_Off_Hours_GL" ref="A3:N16" totalsRowCount="1" headerRowDxfId="64" headerRowBorderDxfId="63" tableBorderDxfId="62" totalsRowBorderDxfId="61">
  <autoFilter ref="A3:N15" xr:uid="{00000000-0009-0000-0100-000004000000}"/>
  <tableColumns count="14">
    <tableColumn id="1" xr3:uid="{00000000-0010-0000-0300-000001000000}" name="Journal_ID" totalsRowLabel="Total" dataDxfId="60" totalsRowDxfId="59"/>
    <tableColumn id="2" xr3:uid="{00000000-0010-0000-0300-000002000000}" name="Account_Code" dataDxfId="58" totalsRowDxfId="57"/>
    <tableColumn id="3" xr3:uid="{00000000-0010-0000-0300-000003000000}" name="Account_Name" totalsRowLabel="TOTAL PORTFOLIO:" dataDxfId="56" totalsRowDxfId="55"/>
    <tableColumn id="4" xr3:uid="{00000000-0010-0000-0300-000004000000}" name="Debit_Amount" totalsRowFunction="sum" dataDxfId="54" totalsRowDxfId="53"/>
    <tableColumn id="5" xr3:uid="{00000000-0010-0000-0300-000005000000}" name="Credit_Amount" totalsRowFunction="sum" dataDxfId="52" totalsRowDxfId="51"/>
    <tableColumn id="6" xr3:uid="{00000000-0010-0000-0300-000006000000}" name="Created_By" dataDxfId="50" totalsRowDxfId="49"/>
    <tableColumn id="7" xr3:uid="{00000000-0010-0000-0300-000007000000}" name="Post_Timestamp" dataDxfId="48" totalsRowDxfId="47"/>
    <tableColumn id="8" xr3:uid="{00000000-0010-0000-0300-000008000000}" name="Day_of_Week" dataDxfId="46" totalsRowDxfId="45">
      <calculatedColumnFormula>IF(OR(ISBLANK(G4), G4=""), "", TEXT(G4, "dddd"))</calculatedColumnFormula>
    </tableColumn>
    <tableColumn id="9" xr3:uid="{00000000-0010-0000-0300-000009000000}" name="Time_of_Day" dataDxfId="44" totalsRowDxfId="43">
      <calculatedColumnFormula>IF(OR(ISBLANK(G4), G4=""), "", TEXT(G4, "hh:mm:ss"))</calculatedColumnFormula>
    </tableColumn>
    <tableColumn id="10" xr3:uid="{00000000-0010-0000-0300-00000A000000}" name="Is_Weekend" dataDxfId="42" totalsRowDxfId="41">
      <calculatedColumnFormula>IF(OR(ISBLANK(G4), G4=""), "NO", IF(WEEKDAY(G4, 2)&gt;5, "YES", "NO"))</calculatedColumnFormula>
    </tableColumn>
    <tableColumn id="11" xr3:uid="{00000000-0010-0000-0300-00000B000000}" name="Is_Off_Hours" dataDxfId="40" totalsRowDxfId="39">
      <calculatedColumnFormula>IF(OR(ISBLANK(G4), G4=""), "NO", IF(OR(MOD(G4, 1)&lt;TIME(7,0,0), MOD(G4, 1)&gt;TIME(19,0,0)), "YES", "NO"))</calculatedColumnFormula>
    </tableColumn>
    <tableColumn id="12" xr3:uid="{00000000-0010-0000-0300-00000C000000}" name="Audit_Flag" dataDxfId="38" totalsRowDxfId="37">
      <calculatedColumnFormula>IF(OR(ISBLANK(G4), G4=""), "OK", IF(OR(WEEKDAY(G4, 2)&gt;5, MOD(G4, 1)&lt;TIME(7,0,0), MOD(G4, 1)&gt;TIME(19,0,0)), "FLAG: OFF-HOURS ENTRY", "OK"))</calculatedColumnFormula>
    </tableColumn>
    <tableColumn id="13" xr3:uid="{00000000-0010-0000-0300-00000D000000}" name="Financial_Exposure" totalsRowFunction="sum" dataDxfId="36" totalsRowDxfId="35">
      <calculatedColumnFormula>IF(L4="FLAG: OFF-HOURS ENTRY", MAX(IFERROR(VALUE(D4), 0), IFERROR(VALUE(E4), 0)), 0)</calculatedColumnFormula>
    </tableColumn>
    <tableColumn id="14" xr3:uid="{00000000-0010-0000-0300-00000E000000}" name="Audit_Workpaper_Notes" totalsRowFunction="count" dataDxfId="34" totalsRowDxfId="3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Round_Sum_Services" displayName="Table_Round_Sum_Services" ref="A3:L16" totalsRowCount="1" headerRowDxfId="32" headerRowBorderDxfId="31" tableBorderDxfId="30" totalsRowBorderDxfId="29">
  <autoFilter ref="A3:L15" xr:uid="{00000000-0009-0000-0100-000005000000}"/>
  <tableColumns count="12">
    <tableColumn id="1" xr3:uid="{00000000-0010-0000-0400-000001000000}" name="Invoice_ID" totalsRowLabel="Total" dataDxfId="28" totalsRowDxfId="27"/>
    <tableColumn id="2" xr3:uid="{00000000-0010-0000-0400-000002000000}" name="Vendor_Name" dataDxfId="26" totalsRowDxfId="25"/>
    <tableColumn id="3" xr3:uid="{00000000-0010-0000-0400-000003000000}" name="GL_Account_Name" totalsRowLabel="TOTAL PORTFOLIO:" dataDxfId="24" totalsRowDxfId="23"/>
    <tableColumn id="4" xr3:uid="{00000000-0010-0000-0400-000004000000}" name="Invoice_Amount" totalsRowFunction="sum" dataDxfId="22" totalsRowDxfId="21"/>
    <tableColumn id="5" xr3:uid="{00000000-0010-0000-0400-000005000000}" name="Line_Description" dataDxfId="20" totalsRowDxfId="19"/>
    <tableColumn id="6" xr3:uid="{00000000-0010-0000-0400-000006000000}" name="Created_By" dataDxfId="18" totalsRowDxfId="17"/>
    <tableColumn id="7" xr3:uid="{00000000-0010-0000-0400-000007000000}" name="Divisible_By_1000" dataDxfId="16" totalsRowDxfId="15">
      <calculatedColumnFormula>IF(AND(ISNUMBER(D4), D4&gt;0), IF(MOD(D4, 1000)=0, "YES", "NO"), "NO")</calculatedColumnFormula>
    </tableColumn>
    <tableColumn id="8" xr3:uid="{00000000-0010-0000-0400-000008000000}" name="Divisible_By_2500" dataDxfId="14" totalsRowDxfId="13">
      <calculatedColumnFormula>IF(AND(ISNUMBER(D4), D4&gt;0), IF(MOD(D4, 2500)=0, "YES", "NO"), "NO")</calculatedColumnFormula>
    </tableColumn>
    <tableColumn id="9" xr3:uid="{00000000-0010-0000-0400-000009000000}" name="Is_High_Risk_GL" dataDxfId="12" totalsRowDxfId="11">
      <calculatedColumnFormula>IF(OR(ISNUMBER(SEARCH("consult", C4)), ISNUMBER(SEARCH("legal", C4)), ISNUMBER(SEARCH("advisory", C4)), ISNUMBER(SEARCH("marketing", C4)), ISNUMBER(SEARCH("professional", C4))), "YES", "NO")</calculatedColumnFormula>
    </tableColumn>
    <tableColumn id="10" xr3:uid="{00000000-0010-0000-0400-00000A000000}" name="Audit_Flag" dataDxfId="10" totalsRowDxfId="9">
      <calculatedColumnFormula>IF(AND(ISNUMBER(D4), D4&gt;=5000, OR(G4="YES", H4="YES"), I4="YES"), "FLAG: SUSPICIOUS ROUND SUM", "OK")</calculatedColumnFormula>
    </tableColumn>
    <tableColumn id="11" xr3:uid="{00000000-0010-0000-0400-00000B000000}" name="Financial_Exposure" totalsRowFunction="sum" dataDxfId="8" totalsRowDxfId="7">
      <calculatedColumnFormula>IF(J4="FLAG: SUSPICIOUS ROUND SUM", D4, 0)</calculatedColumnFormula>
    </tableColumn>
    <tableColumn id="12" xr3:uid="{00000000-0010-0000-0400-00000C000000}" name="Audit_Workpaper_Notes" totalsRowFunction="count" dataDxfId="6" totalsRow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linkedin.com/in/majid-m-4b097118/" TargetMode="External"/><Relationship Id="rId1" Type="http://schemas.openxmlformats.org/officeDocument/2006/relationships/hyperlink" Target="https://majidrajpar.github.io/portfolio_my"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linkedin.com/in/majid-m-4b097118/" TargetMode="External"/><Relationship Id="rId1" Type="http://schemas.openxmlformats.org/officeDocument/2006/relationships/hyperlink" Target="https://majidrajpar.github.io/portfolio_my"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www.linkedin.com/in/majid-m-4b097118/" TargetMode="External"/><Relationship Id="rId1" Type="http://schemas.openxmlformats.org/officeDocument/2006/relationships/hyperlink" Target="https://majidrajpar.github.io/portfolio_my"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2" Type="http://schemas.openxmlformats.org/officeDocument/2006/relationships/hyperlink" Target="https://www.linkedin.com/in/majid-m-4b097118/" TargetMode="External"/><Relationship Id="rId1" Type="http://schemas.openxmlformats.org/officeDocument/2006/relationships/hyperlink" Target="https://majidrajpar.github.io/portfolio_m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7"/>
  <sheetViews>
    <sheetView tabSelected="1" workbookViewId="0">
      <selection sqref="A1:F1"/>
    </sheetView>
  </sheetViews>
  <sheetFormatPr defaultRowHeight="14.5" x14ac:dyDescent="0.35"/>
  <cols>
    <col min="1" max="1" width="110" customWidth="1"/>
  </cols>
  <sheetData>
    <row r="1" spans="1:6" ht="26" customHeight="1" x14ac:dyDescent="0.35">
      <c r="A1" s="57" t="s">
        <v>0</v>
      </c>
      <c r="B1" s="56"/>
      <c r="C1" s="56"/>
      <c r="D1" s="56"/>
      <c r="E1" s="56"/>
      <c r="F1" s="56"/>
    </row>
    <row r="2" spans="1:6" ht="18" customHeight="1" x14ac:dyDescent="0.35">
      <c r="A2" s="55" t="s">
        <v>1</v>
      </c>
      <c r="B2" s="56"/>
      <c r="C2" s="56"/>
      <c r="D2" s="56"/>
      <c r="E2" s="56"/>
      <c r="F2" s="56"/>
    </row>
    <row r="3" spans="1:6" x14ac:dyDescent="0.35">
      <c r="A3" s="45" t="s">
        <v>2</v>
      </c>
      <c r="D3" s="46" t="s">
        <v>3</v>
      </c>
      <c r="E3" s="46" t="s">
        <v>4</v>
      </c>
    </row>
    <row r="4" spans="1:6" ht="24" customHeight="1" x14ac:dyDescent="0.35">
      <c r="A4" s="47" t="s">
        <v>5</v>
      </c>
    </row>
    <row r="5" spans="1:6" ht="32" customHeight="1" x14ac:dyDescent="0.35">
      <c r="A5" s="48" t="s">
        <v>6</v>
      </c>
    </row>
    <row r="6" spans="1:6" ht="32" customHeight="1" x14ac:dyDescent="0.35">
      <c r="A6" s="48" t="s">
        <v>7</v>
      </c>
    </row>
    <row r="7" spans="1:6" ht="32" customHeight="1" x14ac:dyDescent="0.35">
      <c r="A7" s="48" t="s">
        <v>8</v>
      </c>
    </row>
    <row r="8" spans="1:6" ht="18" customHeight="1" x14ac:dyDescent="0.35">
      <c r="A8" s="43"/>
    </row>
    <row r="9" spans="1:6" ht="24" customHeight="1" x14ac:dyDescent="0.35">
      <c r="A9" s="49" t="s">
        <v>9</v>
      </c>
    </row>
    <row r="10" spans="1:6" ht="55" customHeight="1" x14ac:dyDescent="0.35">
      <c r="A10" s="48" t="s">
        <v>10</v>
      </c>
    </row>
    <row r="12" spans="1:6" ht="24" customHeight="1" x14ac:dyDescent="0.35">
      <c r="A12" s="47" t="s">
        <v>11</v>
      </c>
    </row>
    <row r="13" spans="1:6" ht="24" customHeight="1" x14ac:dyDescent="0.35">
      <c r="A13" s="49" t="s">
        <v>12</v>
      </c>
    </row>
    <row r="14" spans="1:6" ht="18" customHeight="1" x14ac:dyDescent="0.35">
      <c r="A14" s="43"/>
    </row>
    <row r="15" spans="1:6" ht="24" customHeight="1" x14ac:dyDescent="0.35">
      <c r="A15" s="49" t="s">
        <v>13</v>
      </c>
    </row>
    <row r="16" spans="1:6" ht="55" customHeight="1" x14ac:dyDescent="0.35">
      <c r="A16" s="48" t="s">
        <v>14</v>
      </c>
    </row>
    <row r="17" spans="1:1" ht="18" customHeight="1" x14ac:dyDescent="0.35">
      <c r="A17" s="43"/>
    </row>
    <row r="18" spans="1:1" ht="24" customHeight="1" x14ac:dyDescent="0.35">
      <c r="A18" s="50" t="s">
        <v>15</v>
      </c>
    </row>
    <row r="19" spans="1:1" ht="32" customHeight="1" x14ac:dyDescent="0.35">
      <c r="A19" s="51" t="s">
        <v>16</v>
      </c>
    </row>
    <row r="20" spans="1:1" ht="55" customHeight="1" x14ac:dyDescent="0.35">
      <c r="A20" s="48" t="s">
        <v>17</v>
      </c>
    </row>
    <row r="21" spans="1:1" ht="18" customHeight="1" x14ac:dyDescent="0.35">
      <c r="A21" s="43"/>
    </row>
    <row r="22" spans="1:1" ht="18" customHeight="1" x14ac:dyDescent="0.35">
      <c r="A22" s="43"/>
    </row>
    <row r="23" spans="1:1" ht="18" customHeight="1" x14ac:dyDescent="0.35">
      <c r="A23" s="43"/>
    </row>
    <row r="24" spans="1:1" ht="18" customHeight="1" x14ac:dyDescent="0.35">
      <c r="A24" s="43"/>
    </row>
    <row r="25" spans="1:1" ht="18" customHeight="1" x14ac:dyDescent="0.35">
      <c r="A25" s="43"/>
    </row>
    <row r="26" spans="1:1" ht="18" customHeight="1" x14ac:dyDescent="0.35">
      <c r="A26" s="43"/>
    </row>
    <row r="28" spans="1:1" ht="22" customHeight="1" x14ac:dyDescent="0.35">
      <c r="A28" s="44"/>
    </row>
    <row r="29" spans="1:1" ht="18" customHeight="1" x14ac:dyDescent="0.35">
      <c r="A29" s="43"/>
    </row>
    <row r="30" spans="1:1" ht="18" customHeight="1" x14ac:dyDescent="0.35">
      <c r="A30" s="43"/>
    </row>
    <row r="31" spans="1:1" ht="18" customHeight="1" x14ac:dyDescent="0.35">
      <c r="A31" s="43"/>
    </row>
    <row r="32" spans="1:1" ht="18" customHeight="1" x14ac:dyDescent="0.35">
      <c r="A32" s="43"/>
    </row>
    <row r="33" spans="1:1" ht="18" customHeight="1" x14ac:dyDescent="0.35">
      <c r="A33" s="43"/>
    </row>
    <row r="35" spans="1:1" ht="22" customHeight="1" x14ac:dyDescent="0.35">
      <c r="A35" s="44"/>
    </row>
    <row r="36" spans="1:1" ht="18" customHeight="1" x14ac:dyDescent="0.35">
      <c r="A36" s="43"/>
    </row>
    <row r="37" spans="1:1" ht="18" customHeight="1" x14ac:dyDescent="0.35">
      <c r="A37" s="43"/>
    </row>
  </sheetData>
  <mergeCells count="2">
    <mergeCell ref="A2:F2"/>
    <mergeCell ref="A1:F1"/>
  </mergeCells>
  <hyperlinks>
    <hyperlink ref="D3" r:id="rId1" xr:uid="{00000000-0004-0000-0000-000000000000}"/>
    <hyperlink ref="E3" r:id="rId2" xr:uid="{00000000-0004-0000-0000-000001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1"/>
  <sheetViews>
    <sheetView workbookViewId="0"/>
  </sheetViews>
  <sheetFormatPr defaultRowHeight="14.5" x14ac:dyDescent="0.35"/>
  <cols>
    <col min="1" max="1" width="20.7265625" bestFit="1" customWidth="1"/>
    <col min="2" max="2" width="34.08984375" bestFit="1" customWidth="1"/>
    <col min="3" max="3" width="33.453125" bestFit="1" customWidth="1"/>
    <col min="4" max="4" width="34.26953125" bestFit="1" customWidth="1"/>
    <col min="5" max="5" width="34.54296875" bestFit="1" customWidth="1"/>
    <col min="6" max="6" width="34.90625" bestFit="1" customWidth="1"/>
  </cols>
  <sheetData>
    <row r="1" spans="1:6" ht="26" customHeight="1" x14ac:dyDescent="0.35">
      <c r="A1" s="57" t="s">
        <v>18</v>
      </c>
      <c r="B1" s="56"/>
      <c r="C1" s="56"/>
      <c r="D1" s="56"/>
      <c r="E1" s="56"/>
      <c r="F1" s="56"/>
    </row>
    <row r="2" spans="1:6" ht="18" customHeight="1" x14ac:dyDescent="0.35">
      <c r="A2" s="55" t="s">
        <v>19</v>
      </c>
      <c r="B2" s="56"/>
      <c r="C2" s="56"/>
      <c r="D2" s="56"/>
      <c r="E2" s="56"/>
      <c r="F2" s="56"/>
    </row>
    <row r="3" spans="1:6" x14ac:dyDescent="0.35">
      <c r="A3" s="40" t="s">
        <v>20</v>
      </c>
      <c r="C3" s="41" t="s">
        <v>3</v>
      </c>
      <c r="D3" s="41" t="s">
        <v>4</v>
      </c>
    </row>
    <row r="4" spans="1:6" ht="26" customHeight="1" x14ac:dyDescent="0.35">
      <c r="A4" s="1" t="s">
        <v>21</v>
      </c>
      <c r="B4" s="1" t="s">
        <v>22</v>
      </c>
      <c r="C4" s="1" t="s">
        <v>23</v>
      </c>
      <c r="D4" s="1" t="s">
        <v>24</v>
      </c>
      <c r="E4" s="1" t="s">
        <v>25</v>
      </c>
      <c r="F4" s="1" t="s">
        <v>26</v>
      </c>
    </row>
    <row r="5" spans="1:6" ht="70" customHeight="1" x14ac:dyDescent="0.35">
      <c r="A5" s="2" t="s">
        <v>27</v>
      </c>
      <c r="B5" s="3" t="s">
        <v>28</v>
      </c>
      <c r="C5" s="3" t="s">
        <v>29</v>
      </c>
      <c r="D5" s="52" t="s">
        <v>30</v>
      </c>
      <c r="E5" s="52" t="s">
        <v>31</v>
      </c>
      <c r="F5" s="3" t="s">
        <v>32</v>
      </c>
    </row>
    <row r="6" spans="1:6" ht="70" customHeight="1" x14ac:dyDescent="0.35">
      <c r="A6" s="4" t="s">
        <v>33</v>
      </c>
      <c r="B6" s="5" t="s">
        <v>34</v>
      </c>
      <c r="C6" s="5" t="s">
        <v>35</v>
      </c>
      <c r="D6" s="53" t="s">
        <v>36</v>
      </c>
      <c r="E6" s="53" t="s">
        <v>37</v>
      </c>
      <c r="F6" s="5" t="s">
        <v>38</v>
      </c>
    </row>
    <row r="7" spans="1:6" ht="70" customHeight="1" x14ac:dyDescent="0.35">
      <c r="A7" s="2" t="s">
        <v>39</v>
      </c>
      <c r="B7" s="3" t="s">
        <v>40</v>
      </c>
      <c r="C7" s="3" t="s">
        <v>41</v>
      </c>
      <c r="D7" s="52" t="s">
        <v>42</v>
      </c>
      <c r="E7" s="52" t="s">
        <v>43</v>
      </c>
      <c r="F7" s="3" t="s">
        <v>44</v>
      </c>
    </row>
    <row r="8" spans="1:6" ht="70" customHeight="1" x14ac:dyDescent="0.35">
      <c r="A8" s="4" t="s">
        <v>45</v>
      </c>
      <c r="B8" s="5" t="s">
        <v>46</v>
      </c>
      <c r="C8" s="5" t="s">
        <v>47</v>
      </c>
      <c r="D8" s="53" t="s">
        <v>48</v>
      </c>
      <c r="E8" s="53" t="s">
        <v>49</v>
      </c>
      <c r="F8" s="5" t="s">
        <v>50</v>
      </c>
    </row>
    <row r="9" spans="1:6" ht="70" customHeight="1" x14ac:dyDescent="0.35">
      <c r="A9" s="2" t="s">
        <v>51</v>
      </c>
      <c r="B9" s="3" t="s">
        <v>52</v>
      </c>
      <c r="C9" s="3" t="s">
        <v>53</v>
      </c>
      <c r="D9" s="52" t="s">
        <v>54</v>
      </c>
      <c r="E9" s="52" t="s">
        <v>55</v>
      </c>
      <c r="F9" s="3" t="s">
        <v>56</v>
      </c>
    </row>
    <row r="11" spans="1:6" ht="28" customHeight="1" x14ac:dyDescent="0.35">
      <c r="A11" s="58" t="s">
        <v>57</v>
      </c>
      <c r="B11" s="56"/>
      <c r="C11" s="56"/>
      <c r="D11" s="56"/>
      <c r="E11" s="56"/>
      <c r="F11" s="56"/>
    </row>
  </sheetData>
  <mergeCells count="3">
    <mergeCell ref="A2:F2"/>
    <mergeCell ref="A11:F11"/>
    <mergeCell ref="A1:F1"/>
  </mergeCells>
  <hyperlinks>
    <hyperlink ref="C3" r:id="rId1" xr:uid="{00000000-0004-0000-0100-000000000000}"/>
    <hyperlink ref="D3" r:id="rId2" xr:uid="{00000000-0004-0000-0100-000001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56"/>
  <sheetViews>
    <sheetView workbookViewId="0"/>
  </sheetViews>
  <sheetFormatPr defaultRowHeight="14.5" x14ac:dyDescent="0.35"/>
  <cols>
    <col min="1" max="1" width="21.90625" bestFit="1" customWidth="1"/>
    <col min="2" max="2" width="27.54296875" bestFit="1" customWidth="1"/>
    <col min="3" max="3" width="45" customWidth="1"/>
    <col min="4" max="5" width="18" customWidth="1"/>
  </cols>
  <sheetData>
    <row r="1" spans="1:5" ht="26" customHeight="1" x14ac:dyDescent="0.35">
      <c r="A1" s="57" t="s">
        <v>58</v>
      </c>
      <c r="B1" s="56"/>
      <c r="C1" s="56"/>
      <c r="D1" s="56"/>
      <c r="E1" s="56"/>
    </row>
    <row r="2" spans="1:5" ht="18" customHeight="1" x14ac:dyDescent="0.35">
      <c r="A2" s="55" t="s">
        <v>59</v>
      </c>
      <c r="B2" s="56"/>
      <c r="C2" s="56"/>
      <c r="D2" s="56"/>
      <c r="E2" s="56"/>
    </row>
    <row r="3" spans="1:5" x14ac:dyDescent="0.35">
      <c r="A3" s="40" t="s">
        <v>20</v>
      </c>
      <c r="C3" s="41" t="s">
        <v>3</v>
      </c>
      <c r="D3" s="41" t="s">
        <v>4</v>
      </c>
    </row>
    <row r="4" spans="1:5" ht="20" customHeight="1" x14ac:dyDescent="0.45">
      <c r="A4" s="67" t="s">
        <v>60</v>
      </c>
      <c r="B4" s="56"/>
      <c r="C4" s="56"/>
      <c r="D4" s="56"/>
      <c r="E4" s="56"/>
    </row>
    <row r="5" spans="1:5" ht="145" customHeight="1" x14ac:dyDescent="0.35">
      <c r="A5" s="68" t="s">
        <v>61</v>
      </c>
      <c r="B5" s="60"/>
      <c r="C5" s="60"/>
      <c r="D5" s="60"/>
      <c r="E5" s="61"/>
    </row>
    <row r="7" spans="1:5" ht="20" customHeight="1" x14ac:dyDescent="0.45">
      <c r="A7" s="67" t="s">
        <v>62</v>
      </c>
      <c r="B7" s="56"/>
      <c r="C7" s="56"/>
      <c r="D7" s="56"/>
      <c r="E7" s="56"/>
    </row>
    <row r="8" spans="1:5" ht="16" customHeight="1" x14ac:dyDescent="0.35">
      <c r="A8" s="63" t="s">
        <v>63</v>
      </c>
      <c r="B8" s="56"/>
      <c r="C8" s="56"/>
      <c r="D8" s="56"/>
      <c r="E8" s="56"/>
    </row>
    <row r="9" spans="1:5" ht="20" customHeight="1" x14ac:dyDescent="0.35">
      <c r="A9" s="6" t="s">
        <v>64</v>
      </c>
      <c r="B9" s="6" t="s">
        <v>65</v>
      </c>
      <c r="C9" s="64" t="s">
        <v>66</v>
      </c>
      <c r="D9" s="65"/>
      <c r="E9" s="66"/>
    </row>
    <row r="10" spans="1:5" ht="18" customHeight="1" x14ac:dyDescent="0.4">
      <c r="A10" s="7" t="s">
        <v>67</v>
      </c>
      <c r="B10" s="8" t="s">
        <v>68</v>
      </c>
      <c r="C10" s="59" t="s">
        <v>69</v>
      </c>
      <c r="D10" s="60"/>
      <c r="E10" s="61"/>
    </row>
    <row r="11" spans="1:5" ht="18" customHeight="1" x14ac:dyDescent="0.4">
      <c r="A11" s="9" t="s">
        <v>70</v>
      </c>
      <c r="B11" s="10" t="s">
        <v>71</v>
      </c>
      <c r="C11" s="62" t="s">
        <v>72</v>
      </c>
      <c r="D11" s="60"/>
      <c r="E11" s="61"/>
    </row>
    <row r="12" spans="1:5" ht="18" customHeight="1" x14ac:dyDescent="0.4">
      <c r="A12" s="7" t="s">
        <v>73</v>
      </c>
      <c r="B12" s="8" t="s">
        <v>71</v>
      </c>
      <c r="C12" s="59" t="s">
        <v>74</v>
      </c>
      <c r="D12" s="60"/>
      <c r="E12" s="61"/>
    </row>
    <row r="13" spans="1:5" ht="18" customHeight="1" x14ac:dyDescent="0.4">
      <c r="A13" s="9" t="s">
        <v>75</v>
      </c>
      <c r="B13" s="10" t="s">
        <v>76</v>
      </c>
      <c r="C13" s="62" t="s">
        <v>77</v>
      </c>
      <c r="D13" s="60"/>
      <c r="E13" s="61"/>
    </row>
    <row r="14" spans="1:5" ht="18" customHeight="1" x14ac:dyDescent="0.4">
      <c r="A14" s="7" t="s">
        <v>78</v>
      </c>
      <c r="B14" s="8" t="s">
        <v>79</v>
      </c>
      <c r="C14" s="59" t="s">
        <v>80</v>
      </c>
      <c r="D14" s="60"/>
      <c r="E14" s="61"/>
    </row>
    <row r="15" spans="1:5" ht="18" customHeight="1" x14ac:dyDescent="0.4">
      <c r="A15" s="9" t="s">
        <v>81</v>
      </c>
      <c r="B15" s="10" t="s">
        <v>71</v>
      </c>
      <c r="C15" s="62" t="s">
        <v>82</v>
      </c>
      <c r="D15" s="60"/>
      <c r="E15" s="61"/>
    </row>
    <row r="16" spans="1:5" ht="18" customHeight="1" x14ac:dyDescent="0.4">
      <c r="A16" s="7" t="s">
        <v>83</v>
      </c>
      <c r="B16" s="8" t="s">
        <v>76</v>
      </c>
      <c r="C16" s="59" t="s">
        <v>84</v>
      </c>
      <c r="D16" s="60"/>
      <c r="E16" s="61"/>
    </row>
    <row r="17" spans="1:5" ht="18" customHeight="1" x14ac:dyDescent="0.4">
      <c r="A17" s="9" t="s">
        <v>85</v>
      </c>
      <c r="B17" s="10" t="s">
        <v>71</v>
      </c>
      <c r="C17" s="62" t="s">
        <v>86</v>
      </c>
      <c r="D17" s="60"/>
      <c r="E17" s="61"/>
    </row>
    <row r="18" spans="1:5" ht="18" customHeight="1" x14ac:dyDescent="0.4">
      <c r="A18" s="7" t="s">
        <v>87</v>
      </c>
      <c r="B18" s="8" t="s">
        <v>71</v>
      </c>
      <c r="C18" s="59" t="s">
        <v>88</v>
      </c>
      <c r="D18" s="60"/>
      <c r="E18" s="61"/>
    </row>
    <row r="19" spans="1:5" ht="18" customHeight="1" x14ac:dyDescent="0.4">
      <c r="A19" s="9" t="s">
        <v>89</v>
      </c>
      <c r="B19" s="10" t="s">
        <v>71</v>
      </c>
      <c r="C19" s="62" t="s">
        <v>90</v>
      </c>
      <c r="D19" s="60"/>
      <c r="E19" s="61"/>
    </row>
    <row r="20" spans="1:5" ht="18" customHeight="1" x14ac:dyDescent="0.4">
      <c r="A20" s="7" t="s">
        <v>91</v>
      </c>
      <c r="B20" s="8" t="s">
        <v>71</v>
      </c>
      <c r="C20" s="59" t="s">
        <v>92</v>
      </c>
      <c r="D20" s="60"/>
      <c r="E20" s="61"/>
    </row>
    <row r="21" spans="1:5" ht="18" customHeight="1" x14ac:dyDescent="0.4">
      <c r="A21" s="9" t="s">
        <v>93</v>
      </c>
      <c r="B21" s="10" t="s">
        <v>71</v>
      </c>
      <c r="C21" s="62" t="s">
        <v>94</v>
      </c>
      <c r="D21" s="60"/>
      <c r="E21" s="61"/>
    </row>
    <row r="22" spans="1:5" ht="18" customHeight="1" x14ac:dyDescent="0.4">
      <c r="A22" s="7" t="s">
        <v>95</v>
      </c>
      <c r="B22" s="8" t="s">
        <v>96</v>
      </c>
      <c r="C22" s="59" t="s">
        <v>97</v>
      </c>
      <c r="D22" s="60"/>
      <c r="E22" s="61"/>
    </row>
    <row r="23" spans="1:5" ht="20" customHeight="1" x14ac:dyDescent="0.45">
      <c r="A23" s="67" t="s">
        <v>98</v>
      </c>
      <c r="B23" s="56"/>
      <c r="C23" s="56"/>
      <c r="D23" s="56"/>
      <c r="E23" s="56"/>
    </row>
    <row r="24" spans="1:5" ht="16" customHeight="1" x14ac:dyDescent="0.35">
      <c r="A24" s="63" t="s">
        <v>99</v>
      </c>
      <c r="B24" s="56"/>
      <c r="C24" s="56"/>
      <c r="D24" s="56"/>
      <c r="E24" s="56"/>
    </row>
    <row r="25" spans="1:5" ht="20" customHeight="1" x14ac:dyDescent="0.35">
      <c r="A25" s="6" t="s">
        <v>64</v>
      </c>
      <c r="B25" s="6" t="s">
        <v>65</v>
      </c>
      <c r="C25" s="64" t="s">
        <v>66</v>
      </c>
      <c r="D25" s="65"/>
      <c r="E25" s="66"/>
    </row>
    <row r="26" spans="1:5" ht="18" customHeight="1" x14ac:dyDescent="0.4">
      <c r="A26" s="7" t="s">
        <v>100</v>
      </c>
      <c r="B26" s="8" t="s">
        <v>71</v>
      </c>
      <c r="C26" s="59" t="s">
        <v>101</v>
      </c>
      <c r="D26" s="60"/>
      <c r="E26" s="61"/>
    </row>
    <row r="27" spans="1:5" ht="18" customHeight="1" x14ac:dyDescent="0.4">
      <c r="A27" s="9" t="s">
        <v>102</v>
      </c>
      <c r="B27" s="10" t="s">
        <v>103</v>
      </c>
      <c r="C27" s="62" t="s">
        <v>104</v>
      </c>
      <c r="D27" s="60"/>
      <c r="E27" s="61"/>
    </row>
    <row r="28" spans="1:5" ht="18" customHeight="1" x14ac:dyDescent="0.4">
      <c r="A28" s="7" t="s">
        <v>67</v>
      </c>
      <c r="B28" s="8" t="s">
        <v>68</v>
      </c>
      <c r="C28" s="59" t="s">
        <v>69</v>
      </c>
      <c r="D28" s="60"/>
      <c r="E28" s="61"/>
    </row>
    <row r="29" spans="1:5" ht="18" customHeight="1" x14ac:dyDescent="0.4">
      <c r="A29" s="9" t="s">
        <v>70</v>
      </c>
      <c r="B29" s="10" t="s">
        <v>71</v>
      </c>
      <c r="C29" s="62" t="s">
        <v>105</v>
      </c>
      <c r="D29" s="60"/>
      <c r="E29" s="61"/>
    </row>
    <row r="30" spans="1:5" ht="18" customHeight="1" x14ac:dyDescent="0.4">
      <c r="A30" s="7" t="s">
        <v>106</v>
      </c>
      <c r="B30" s="8" t="s">
        <v>76</v>
      </c>
      <c r="C30" s="59" t="s">
        <v>107</v>
      </c>
      <c r="D30" s="60"/>
      <c r="E30" s="61"/>
    </row>
    <row r="31" spans="1:5" ht="18" customHeight="1" x14ac:dyDescent="0.4">
      <c r="A31" s="9" t="s">
        <v>108</v>
      </c>
      <c r="B31" s="10" t="s">
        <v>79</v>
      </c>
      <c r="C31" s="62" t="s">
        <v>109</v>
      </c>
      <c r="D31" s="60"/>
      <c r="E31" s="61"/>
    </row>
    <row r="32" spans="1:5" ht="18" customHeight="1" x14ac:dyDescent="0.4">
      <c r="A32" s="7" t="s">
        <v>110</v>
      </c>
      <c r="B32" s="8" t="s">
        <v>71</v>
      </c>
      <c r="C32" s="59" t="s">
        <v>111</v>
      </c>
      <c r="D32" s="60"/>
      <c r="E32" s="61"/>
    </row>
    <row r="33" spans="1:5" ht="18" customHeight="1" x14ac:dyDescent="0.4">
      <c r="A33" s="9" t="s">
        <v>91</v>
      </c>
      <c r="B33" s="10" t="s">
        <v>71</v>
      </c>
      <c r="C33" s="62" t="s">
        <v>112</v>
      </c>
      <c r="D33" s="60"/>
      <c r="E33" s="61"/>
    </row>
    <row r="34" spans="1:5" ht="18" customHeight="1" x14ac:dyDescent="0.4">
      <c r="A34" s="7" t="s">
        <v>93</v>
      </c>
      <c r="B34" s="8" t="s">
        <v>71</v>
      </c>
      <c r="C34" s="59" t="s">
        <v>113</v>
      </c>
      <c r="D34" s="60"/>
      <c r="E34" s="61"/>
    </row>
    <row r="35" spans="1:5" ht="18" customHeight="1" x14ac:dyDescent="0.4">
      <c r="A35" s="9" t="s">
        <v>114</v>
      </c>
      <c r="B35" s="10" t="s">
        <v>71</v>
      </c>
      <c r="C35" s="62" t="s">
        <v>115</v>
      </c>
      <c r="D35" s="60"/>
      <c r="E35" s="61"/>
    </row>
    <row r="36" spans="1:5" ht="20" customHeight="1" x14ac:dyDescent="0.45">
      <c r="A36" s="67" t="s">
        <v>116</v>
      </c>
      <c r="B36" s="56"/>
      <c r="C36" s="56"/>
      <c r="D36" s="56"/>
      <c r="E36" s="56"/>
    </row>
    <row r="37" spans="1:5" ht="16" customHeight="1" x14ac:dyDescent="0.35">
      <c r="A37" s="63" t="s">
        <v>117</v>
      </c>
      <c r="B37" s="56"/>
      <c r="C37" s="56"/>
      <c r="D37" s="56"/>
      <c r="E37" s="56"/>
    </row>
    <row r="38" spans="1:5" ht="20" customHeight="1" x14ac:dyDescent="0.35">
      <c r="A38" s="6" t="s">
        <v>64</v>
      </c>
      <c r="B38" s="6" t="s">
        <v>65</v>
      </c>
      <c r="C38" s="64" t="s">
        <v>66</v>
      </c>
      <c r="D38" s="65"/>
      <c r="E38" s="66"/>
    </row>
    <row r="39" spans="1:5" ht="18" customHeight="1" x14ac:dyDescent="0.4">
      <c r="A39" s="7" t="s">
        <v>67</v>
      </c>
      <c r="B39" s="8" t="s">
        <v>68</v>
      </c>
      <c r="C39" s="59" t="s">
        <v>69</v>
      </c>
      <c r="D39" s="60"/>
      <c r="E39" s="61"/>
    </row>
    <row r="40" spans="1:5" ht="18" customHeight="1" x14ac:dyDescent="0.4">
      <c r="A40" s="9" t="s">
        <v>70</v>
      </c>
      <c r="B40" s="10" t="s">
        <v>71</v>
      </c>
      <c r="C40" s="62" t="s">
        <v>118</v>
      </c>
      <c r="D40" s="60"/>
      <c r="E40" s="61"/>
    </row>
    <row r="41" spans="1:5" ht="18" customHeight="1" x14ac:dyDescent="0.4">
      <c r="A41" s="7" t="s">
        <v>119</v>
      </c>
      <c r="B41" s="8" t="s">
        <v>71</v>
      </c>
      <c r="C41" s="59" t="s">
        <v>120</v>
      </c>
      <c r="D41" s="60"/>
      <c r="E41" s="61"/>
    </row>
    <row r="42" spans="1:5" ht="18" customHeight="1" x14ac:dyDescent="0.4">
      <c r="A42" s="9" t="s">
        <v>121</v>
      </c>
      <c r="B42" s="10" t="s">
        <v>71</v>
      </c>
      <c r="C42" s="62" t="s">
        <v>122</v>
      </c>
      <c r="D42" s="60"/>
      <c r="E42" s="61"/>
    </row>
    <row r="43" spans="1:5" ht="18" customHeight="1" x14ac:dyDescent="0.4">
      <c r="A43" s="7" t="s">
        <v>123</v>
      </c>
      <c r="B43" s="8" t="s">
        <v>76</v>
      </c>
      <c r="C43" s="59" t="s">
        <v>124</v>
      </c>
      <c r="D43" s="60"/>
      <c r="E43" s="61"/>
    </row>
    <row r="44" spans="1:5" ht="18" customHeight="1" x14ac:dyDescent="0.4">
      <c r="A44" s="9" t="s">
        <v>125</v>
      </c>
      <c r="B44" s="10" t="s">
        <v>76</v>
      </c>
      <c r="C44" s="62" t="s">
        <v>126</v>
      </c>
      <c r="D44" s="60"/>
      <c r="E44" s="61"/>
    </row>
    <row r="45" spans="1:5" ht="20" customHeight="1" x14ac:dyDescent="0.45">
      <c r="A45" s="67" t="s">
        <v>127</v>
      </c>
      <c r="B45" s="56"/>
      <c r="C45" s="56"/>
      <c r="D45" s="56"/>
      <c r="E45" s="56"/>
    </row>
    <row r="46" spans="1:5" ht="16" customHeight="1" x14ac:dyDescent="0.35">
      <c r="A46" s="63" t="s">
        <v>128</v>
      </c>
      <c r="B46" s="56"/>
      <c r="C46" s="56"/>
      <c r="D46" s="56"/>
      <c r="E46" s="56"/>
    </row>
    <row r="47" spans="1:5" ht="20" customHeight="1" x14ac:dyDescent="0.35">
      <c r="A47" s="6" t="s">
        <v>64</v>
      </c>
      <c r="B47" s="6" t="s">
        <v>65</v>
      </c>
      <c r="C47" s="64" t="s">
        <v>66</v>
      </c>
      <c r="D47" s="65"/>
      <c r="E47" s="66"/>
    </row>
    <row r="48" spans="1:5" ht="18" customHeight="1" x14ac:dyDescent="0.4">
      <c r="A48" s="7" t="s">
        <v>129</v>
      </c>
      <c r="B48" s="8" t="s">
        <v>71</v>
      </c>
      <c r="C48" s="59" t="s">
        <v>130</v>
      </c>
      <c r="D48" s="60"/>
      <c r="E48" s="61"/>
    </row>
    <row r="49" spans="1:5" ht="18" customHeight="1" x14ac:dyDescent="0.4">
      <c r="A49" s="9" t="s">
        <v>131</v>
      </c>
      <c r="B49" s="10" t="s">
        <v>71</v>
      </c>
      <c r="C49" s="62" t="s">
        <v>132</v>
      </c>
      <c r="D49" s="60"/>
      <c r="E49" s="61"/>
    </row>
    <row r="50" spans="1:5" ht="18" customHeight="1" x14ac:dyDescent="0.4">
      <c r="A50" s="7" t="s">
        <v>133</v>
      </c>
      <c r="B50" s="8" t="s">
        <v>71</v>
      </c>
      <c r="C50" s="59" t="s">
        <v>134</v>
      </c>
      <c r="D50" s="60"/>
      <c r="E50" s="61"/>
    </row>
    <row r="51" spans="1:5" ht="18" customHeight="1" x14ac:dyDescent="0.4">
      <c r="A51" s="9" t="s">
        <v>135</v>
      </c>
      <c r="B51" s="10" t="s">
        <v>79</v>
      </c>
      <c r="C51" s="62" t="s">
        <v>136</v>
      </c>
      <c r="D51" s="60"/>
      <c r="E51" s="61"/>
    </row>
    <row r="52" spans="1:5" ht="18" customHeight="1" x14ac:dyDescent="0.4">
      <c r="A52" s="7" t="s">
        <v>137</v>
      </c>
      <c r="B52" s="8" t="s">
        <v>79</v>
      </c>
      <c r="C52" s="59" t="s">
        <v>138</v>
      </c>
      <c r="D52" s="60"/>
      <c r="E52" s="61"/>
    </row>
    <row r="53" spans="1:5" ht="18" customHeight="1" x14ac:dyDescent="0.4">
      <c r="A53" s="9" t="s">
        <v>91</v>
      </c>
      <c r="B53" s="10" t="s">
        <v>71</v>
      </c>
      <c r="C53" s="62" t="s">
        <v>139</v>
      </c>
      <c r="D53" s="60"/>
      <c r="E53" s="61"/>
    </row>
    <row r="54" spans="1:5" ht="18" customHeight="1" x14ac:dyDescent="0.4">
      <c r="A54" s="7" t="s">
        <v>140</v>
      </c>
      <c r="B54" s="8" t="s">
        <v>96</v>
      </c>
      <c r="C54" s="59" t="s">
        <v>141</v>
      </c>
      <c r="D54" s="60"/>
      <c r="E54" s="61"/>
    </row>
    <row r="55" spans="1:5" ht="18" customHeight="1" x14ac:dyDescent="0.4">
      <c r="A55" s="9" t="s">
        <v>142</v>
      </c>
      <c r="B55" s="10" t="s">
        <v>71</v>
      </c>
      <c r="C55" s="62" t="s">
        <v>143</v>
      </c>
      <c r="D55" s="60"/>
      <c r="E55" s="61"/>
    </row>
    <row r="56" spans="1:5" ht="18" customHeight="1" x14ac:dyDescent="0.4">
      <c r="A56" s="7" t="s">
        <v>144</v>
      </c>
      <c r="B56" s="8" t="s">
        <v>71</v>
      </c>
      <c r="C56" s="59" t="s">
        <v>145</v>
      </c>
      <c r="D56" s="60"/>
      <c r="E56" s="61"/>
    </row>
  </sheetData>
  <mergeCells count="54">
    <mergeCell ref="A2:E2"/>
    <mergeCell ref="C19:E19"/>
    <mergeCell ref="C53:E53"/>
    <mergeCell ref="C18:E18"/>
    <mergeCell ref="C49:E49"/>
    <mergeCell ref="A5:E5"/>
    <mergeCell ref="A23:E23"/>
    <mergeCell ref="A8:E8"/>
    <mergeCell ref="C30:E30"/>
    <mergeCell ref="C34:E34"/>
    <mergeCell ref="C15:E15"/>
    <mergeCell ref="C42:E42"/>
    <mergeCell ref="C33:E33"/>
    <mergeCell ref="A4:E4"/>
    <mergeCell ref="C14:E14"/>
    <mergeCell ref="C10:E10"/>
    <mergeCell ref="A1:E1"/>
    <mergeCell ref="A45:E45"/>
    <mergeCell ref="C56:E56"/>
    <mergeCell ref="A36:E36"/>
    <mergeCell ref="C21:E21"/>
    <mergeCell ref="C43:E43"/>
    <mergeCell ref="C12:E12"/>
    <mergeCell ref="C51:E51"/>
    <mergeCell ref="C11:E11"/>
    <mergeCell ref="C27:E27"/>
    <mergeCell ref="C52:E52"/>
    <mergeCell ref="A7:E7"/>
    <mergeCell ref="C39:E39"/>
    <mergeCell ref="C48:E48"/>
    <mergeCell ref="C17:E17"/>
    <mergeCell ref="A37:E37"/>
    <mergeCell ref="C55:E55"/>
    <mergeCell ref="C31:E31"/>
    <mergeCell ref="C22:E22"/>
    <mergeCell ref="C40:E40"/>
    <mergeCell ref="C9:E9"/>
    <mergeCell ref="A46:E46"/>
    <mergeCell ref="C32:E32"/>
    <mergeCell ref="C38:E38"/>
    <mergeCell ref="C28:E28"/>
    <mergeCell ref="C13:E13"/>
    <mergeCell ref="C26:E26"/>
    <mergeCell ref="C29:E29"/>
    <mergeCell ref="C20:E20"/>
    <mergeCell ref="C35:E35"/>
    <mergeCell ref="C25:E25"/>
    <mergeCell ref="C47:E47"/>
    <mergeCell ref="C16:E16"/>
    <mergeCell ref="C54:E54"/>
    <mergeCell ref="C50:E50"/>
    <mergeCell ref="C44:E44"/>
    <mergeCell ref="C41:E41"/>
    <mergeCell ref="A24:E24"/>
  </mergeCells>
  <hyperlinks>
    <hyperlink ref="C3" r:id="rId1" xr:uid="{00000000-0004-0000-0200-000000000000}"/>
    <hyperlink ref="D3" r:id="rId2" xr:uid="{00000000-0004-0000-0200-000001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
  <sheetViews>
    <sheetView workbookViewId="0"/>
  </sheetViews>
  <sheetFormatPr defaultRowHeight="14.5" x14ac:dyDescent="0.35"/>
  <cols>
    <col min="1" max="1" width="15.1796875" bestFit="1" customWidth="1"/>
    <col min="2" max="2" width="12.1796875" bestFit="1" customWidth="1"/>
    <col min="3" max="3" width="14" customWidth="1"/>
    <col min="4" max="4" width="21.6328125" bestFit="1" customWidth="1"/>
    <col min="5" max="5" width="16.1796875" bestFit="1" customWidth="1"/>
    <col min="6" max="6" width="15.08984375" bestFit="1" customWidth="1"/>
    <col min="7" max="7" width="29.81640625" bestFit="1" customWidth="1"/>
    <col min="8" max="8" width="13.453125" bestFit="1" customWidth="1"/>
    <col min="9" max="9" width="22.453125" bestFit="1" customWidth="1"/>
    <col min="10" max="10" width="21.54296875" bestFit="1" customWidth="1"/>
    <col min="11" max="11" width="13.90625" bestFit="1" customWidth="1"/>
    <col min="12" max="12" width="20.81640625" bestFit="1" customWidth="1"/>
    <col min="13" max="13" width="70.7265625" bestFit="1" customWidth="1"/>
  </cols>
  <sheetData>
    <row r="1" spans="1:13" ht="26" customHeight="1" x14ac:dyDescent="0.35">
      <c r="A1" s="70" t="s">
        <v>146</v>
      </c>
      <c r="B1" s="56"/>
      <c r="C1" s="56"/>
      <c r="D1" s="56"/>
      <c r="E1" s="56"/>
      <c r="F1" s="56"/>
      <c r="G1" s="56"/>
      <c r="H1" s="56"/>
      <c r="I1" s="56"/>
      <c r="J1" s="56"/>
      <c r="K1" s="56"/>
      <c r="L1" s="56"/>
      <c r="M1" s="56"/>
    </row>
    <row r="2" spans="1:13" ht="18" customHeight="1" x14ac:dyDescent="0.35">
      <c r="A2" s="69" t="s">
        <v>147</v>
      </c>
      <c r="B2" s="56"/>
      <c r="C2" s="56"/>
      <c r="D2" s="56"/>
      <c r="E2" s="56"/>
      <c r="F2" s="56"/>
      <c r="G2" s="56"/>
      <c r="H2" s="56"/>
      <c r="I2" s="56"/>
      <c r="J2" s="56"/>
      <c r="K2" s="56"/>
      <c r="L2" s="56"/>
      <c r="M2" s="56"/>
    </row>
    <row r="3" spans="1:13" ht="24" customHeight="1" thickBot="1" x14ac:dyDescent="0.4">
      <c r="A3" s="28" t="s">
        <v>100</v>
      </c>
      <c r="B3" s="28" t="s">
        <v>106</v>
      </c>
      <c r="C3" s="28" t="s">
        <v>67</v>
      </c>
      <c r="D3" s="28" t="s">
        <v>70</v>
      </c>
      <c r="E3" s="28" t="s">
        <v>148</v>
      </c>
      <c r="F3" s="28" t="s">
        <v>108</v>
      </c>
      <c r="G3" s="28" t="s">
        <v>110</v>
      </c>
      <c r="H3" s="28" t="s">
        <v>114</v>
      </c>
      <c r="I3" s="29" t="s">
        <v>149</v>
      </c>
      <c r="J3" s="29" t="s">
        <v>150</v>
      </c>
      <c r="K3" s="29" t="s">
        <v>151</v>
      </c>
      <c r="L3" s="29" t="s">
        <v>152</v>
      </c>
      <c r="M3" s="28" t="s">
        <v>153</v>
      </c>
    </row>
    <row r="4" spans="1:13" ht="20" customHeight="1" x14ac:dyDescent="0.4">
      <c r="A4" s="7" t="s">
        <v>154</v>
      </c>
      <c r="B4" s="11">
        <v>46082</v>
      </c>
      <c r="C4" s="8" t="s">
        <v>155</v>
      </c>
      <c r="D4" s="8" t="s">
        <v>156</v>
      </c>
      <c r="E4" s="8" t="s">
        <v>157</v>
      </c>
      <c r="F4" s="12">
        <v>8500</v>
      </c>
      <c r="G4" s="8" t="s">
        <v>158</v>
      </c>
      <c r="H4" s="8" t="s">
        <v>159</v>
      </c>
      <c r="I4" s="13">
        <f t="shared" ref="I4:I18" si="0">IF(OR(F4&lt;=0, ISBLANK(F4), NOT(ISNUMBER(F4)), ISBLANK(B4)), 0, COUNTIFS($C:$C, C4, $E:$E, E4, $B:$B, "&gt;="&amp;(B4-5), $B:$B, "&lt;="&amp;(B4+5), $F:$F, "&gt;0", $F:$F, "&lt;10000"))</f>
        <v>2</v>
      </c>
      <c r="J4" s="14">
        <f t="shared" ref="J4:J18" si="1">IF(OR(F4&lt;=0, ISBLANK(F4), NOT(ISNUMBER(F4)), ISBLANK(B4)), 0, SUMIFS($F:$F, $C:$C, C4, $E:$E, E4, $B:$B, "&gt;="&amp;(B4-5), $B:$B, "&lt;="&amp;(B4+5), $F:$F, "&gt;0", $F:$F, "&lt;10000"))</f>
        <v>17500</v>
      </c>
      <c r="K4" s="15" t="str">
        <f t="shared" ref="K4:K18" si="2">IF(AND(ISNUMBER(F4), F4&gt;0, F4&lt;10000, I4&gt;1, J4&gt;=10000), "FLAG: SPLIT PO", "OK")</f>
        <v>FLAG: SPLIT PO</v>
      </c>
      <c r="L4" s="16">
        <f t="shared" ref="L4:L18" si="3">IF(K4="FLAG: SPLIT PO", F4, 0)</f>
        <v>8500</v>
      </c>
      <c r="M4" s="54" t="s">
        <v>160</v>
      </c>
    </row>
    <row r="5" spans="1:13" ht="20" customHeight="1" x14ac:dyDescent="0.4">
      <c r="A5" s="7" t="s">
        <v>161</v>
      </c>
      <c r="B5" s="11">
        <v>46084</v>
      </c>
      <c r="C5" s="8" t="s">
        <v>155</v>
      </c>
      <c r="D5" s="8" t="s">
        <v>156</v>
      </c>
      <c r="E5" s="8" t="s">
        <v>157</v>
      </c>
      <c r="F5" s="12">
        <v>9000</v>
      </c>
      <c r="G5" s="8" t="s">
        <v>162</v>
      </c>
      <c r="H5" s="8" t="s">
        <v>159</v>
      </c>
      <c r="I5" s="13">
        <f t="shared" si="0"/>
        <v>2</v>
      </c>
      <c r="J5" s="14">
        <f t="shared" si="1"/>
        <v>17500</v>
      </c>
      <c r="K5" s="15" t="str">
        <f t="shared" si="2"/>
        <v>FLAG: SPLIT PO</v>
      </c>
      <c r="L5" s="16">
        <f t="shared" si="3"/>
        <v>9000</v>
      </c>
      <c r="M5" s="54" t="s">
        <v>163</v>
      </c>
    </row>
    <row r="6" spans="1:13" ht="20" customHeight="1" x14ac:dyDescent="0.4">
      <c r="A6" s="7" t="s">
        <v>164</v>
      </c>
      <c r="B6" s="11">
        <v>46091</v>
      </c>
      <c r="C6" s="8" t="s">
        <v>165</v>
      </c>
      <c r="D6" s="8" t="s">
        <v>166</v>
      </c>
      <c r="E6" s="8" t="s">
        <v>167</v>
      </c>
      <c r="F6" s="12">
        <v>4800</v>
      </c>
      <c r="G6" s="8" t="s">
        <v>168</v>
      </c>
      <c r="H6" s="8" t="s">
        <v>159</v>
      </c>
      <c r="I6" s="13">
        <f t="shared" si="0"/>
        <v>3</v>
      </c>
      <c r="J6" s="14">
        <f t="shared" si="1"/>
        <v>13500</v>
      </c>
      <c r="K6" s="15" t="str">
        <f t="shared" si="2"/>
        <v>FLAG: SPLIT PO</v>
      </c>
      <c r="L6" s="16">
        <f t="shared" si="3"/>
        <v>4800</v>
      </c>
      <c r="M6" s="54" t="s">
        <v>169</v>
      </c>
    </row>
    <row r="7" spans="1:13" ht="20" customHeight="1" x14ac:dyDescent="0.4">
      <c r="A7" s="7" t="s">
        <v>170</v>
      </c>
      <c r="B7" s="11">
        <v>46092</v>
      </c>
      <c r="C7" s="8" t="s">
        <v>165</v>
      </c>
      <c r="D7" s="8" t="s">
        <v>166</v>
      </c>
      <c r="E7" s="8" t="s">
        <v>167</v>
      </c>
      <c r="F7" s="12">
        <v>4500</v>
      </c>
      <c r="G7" s="8" t="s">
        <v>171</v>
      </c>
      <c r="H7" s="8" t="s">
        <v>159</v>
      </c>
      <c r="I7" s="13">
        <f t="shared" si="0"/>
        <v>3</v>
      </c>
      <c r="J7" s="14">
        <f t="shared" si="1"/>
        <v>13500</v>
      </c>
      <c r="K7" s="15" t="str">
        <f t="shared" si="2"/>
        <v>FLAG: SPLIT PO</v>
      </c>
      <c r="L7" s="16">
        <f t="shared" si="3"/>
        <v>4500</v>
      </c>
      <c r="M7" s="54" t="s">
        <v>172</v>
      </c>
    </row>
    <row r="8" spans="1:13" ht="20" customHeight="1" x14ac:dyDescent="0.4">
      <c r="A8" s="7" t="s">
        <v>173</v>
      </c>
      <c r="B8" s="11">
        <v>46094</v>
      </c>
      <c r="C8" s="8" t="s">
        <v>165</v>
      </c>
      <c r="D8" s="8" t="s">
        <v>166</v>
      </c>
      <c r="E8" s="8" t="s">
        <v>167</v>
      </c>
      <c r="F8" s="12">
        <v>4200</v>
      </c>
      <c r="G8" s="8" t="s">
        <v>174</v>
      </c>
      <c r="H8" s="8" t="s">
        <v>159</v>
      </c>
      <c r="I8" s="13">
        <f t="shared" si="0"/>
        <v>3</v>
      </c>
      <c r="J8" s="14">
        <f t="shared" si="1"/>
        <v>13500</v>
      </c>
      <c r="K8" s="15" t="str">
        <f t="shared" si="2"/>
        <v>FLAG: SPLIT PO</v>
      </c>
      <c r="L8" s="16">
        <f t="shared" si="3"/>
        <v>4200</v>
      </c>
      <c r="M8" s="54" t="s">
        <v>175</v>
      </c>
    </row>
    <row r="9" spans="1:13" ht="20" customHeight="1" x14ac:dyDescent="0.4">
      <c r="A9" s="7" t="s">
        <v>176</v>
      </c>
      <c r="B9" s="11">
        <v>46083</v>
      </c>
      <c r="C9" s="8" t="s">
        <v>177</v>
      </c>
      <c r="D9" s="8" t="s">
        <v>178</v>
      </c>
      <c r="E9" s="8" t="s">
        <v>157</v>
      </c>
      <c r="F9" s="12">
        <v>45000</v>
      </c>
      <c r="G9" s="8" t="s">
        <v>179</v>
      </c>
      <c r="H9" s="8" t="s">
        <v>159</v>
      </c>
      <c r="I9" s="13">
        <f t="shared" si="0"/>
        <v>0</v>
      </c>
      <c r="J9" s="14">
        <f t="shared" si="1"/>
        <v>0</v>
      </c>
      <c r="K9" s="15" t="str">
        <f t="shared" si="2"/>
        <v>OK</v>
      </c>
      <c r="L9" s="16">
        <f t="shared" si="3"/>
        <v>0</v>
      </c>
      <c r="M9" s="54" t="s">
        <v>180</v>
      </c>
    </row>
    <row r="10" spans="1:13" ht="20" customHeight="1" x14ac:dyDescent="0.4">
      <c r="A10" s="7" t="s">
        <v>181</v>
      </c>
      <c r="B10" s="11">
        <v>46063</v>
      </c>
      <c r="C10" s="8" t="s">
        <v>182</v>
      </c>
      <c r="D10" s="8" t="s">
        <v>183</v>
      </c>
      <c r="E10" s="8" t="s">
        <v>184</v>
      </c>
      <c r="F10" s="12">
        <v>3200</v>
      </c>
      <c r="G10" s="8" t="s">
        <v>185</v>
      </c>
      <c r="H10" s="8" t="s">
        <v>159</v>
      </c>
      <c r="I10" s="13">
        <f t="shared" si="0"/>
        <v>1</v>
      </c>
      <c r="J10" s="14">
        <f t="shared" si="1"/>
        <v>3200</v>
      </c>
      <c r="K10" s="15" t="str">
        <f t="shared" si="2"/>
        <v>OK</v>
      </c>
      <c r="L10" s="16">
        <f t="shared" si="3"/>
        <v>0</v>
      </c>
      <c r="M10" s="54" t="s">
        <v>186</v>
      </c>
    </row>
    <row r="11" spans="1:13" ht="20" customHeight="1" x14ac:dyDescent="0.4">
      <c r="A11" s="7" t="s">
        <v>187</v>
      </c>
      <c r="B11" s="11">
        <v>46103</v>
      </c>
      <c r="C11" s="8" t="s">
        <v>182</v>
      </c>
      <c r="D11" s="8" t="s">
        <v>183</v>
      </c>
      <c r="E11" s="8" t="s">
        <v>184</v>
      </c>
      <c r="F11" s="12">
        <v>4100</v>
      </c>
      <c r="G11" s="8" t="s">
        <v>188</v>
      </c>
      <c r="H11" s="8" t="s">
        <v>159</v>
      </c>
      <c r="I11" s="13">
        <f t="shared" si="0"/>
        <v>1</v>
      </c>
      <c r="J11" s="14">
        <f t="shared" si="1"/>
        <v>4100</v>
      </c>
      <c r="K11" s="15" t="str">
        <f t="shared" si="2"/>
        <v>OK</v>
      </c>
      <c r="L11" s="16">
        <f t="shared" si="3"/>
        <v>0</v>
      </c>
      <c r="M11" s="54" t="s">
        <v>189</v>
      </c>
    </row>
    <row r="12" spans="1:13" ht="20" customHeight="1" x14ac:dyDescent="0.4">
      <c r="A12" s="7" t="s">
        <v>190</v>
      </c>
      <c r="B12" s="11">
        <v>46086</v>
      </c>
      <c r="C12" s="8" t="s">
        <v>191</v>
      </c>
      <c r="D12" s="8" t="s">
        <v>192</v>
      </c>
      <c r="E12" s="8" t="s">
        <v>193</v>
      </c>
      <c r="F12" s="12">
        <v>2100</v>
      </c>
      <c r="G12" s="8" t="s">
        <v>194</v>
      </c>
      <c r="H12" s="8" t="s">
        <v>159</v>
      </c>
      <c r="I12" s="13">
        <f t="shared" si="0"/>
        <v>2</v>
      </c>
      <c r="J12" s="14">
        <f t="shared" si="1"/>
        <v>4300</v>
      </c>
      <c r="K12" s="15" t="str">
        <f t="shared" si="2"/>
        <v>OK</v>
      </c>
      <c r="L12" s="16">
        <f t="shared" si="3"/>
        <v>0</v>
      </c>
      <c r="M12" s="54" t="s">
        <v>195</v>
      </c>
    </row>
    <row r="13" spans="1:13" ht="20" customHeight="1" x14ac:dyDescent="0.4">
      <c r="A13" s="7" t="s">
        <v>196</v>
      </c>
      <c r="B13" s="11">
        <v>46087</v>
      </c>
      <c r="C13" s="8" t="s">
        <v>191</v>
      </c>
      <c r="D13" s="8" t="s">
        <v>192</v>
      </c>
      <c r="E13" s="8" t="s">
        <v>193</v>
      </c>
      <c r="F13" s="12">
        <v>2200</v>
      </c>
      <c r="G13" s="8" t="s">
        <v>197</v>
      </c>
      <c r="H13" s="8" t="s">
        <v>159</v>
      </c>
      <c r="I13" s="13">
        <f t="shared" si="0"/>
        <v>2</v>
      </c>
      <c r="J13" s="14">
        <f t="shared" si="1"/>
        <v>4300</v>
      </c>
      <c r="K13" s="15" t="str">
        <f t="shared" si="2"/>
        <v>OK</v>
      </c>
      <c r="L13" s="16">
        <f t="shared" si="3"/>
        <v>0</v>
      </c>
      <c r="M13" s="54" t="s">
        <v>198</v>
      </c>
    </row>
    <row r="14" spans="1:13" ht="20" customHeight="1" x14ac:dyDescent="0.4">
      <c r="A14" s="7" t="s">
        <v>199</v>
      </c>
      <c r="B14" s="11">
        <v>46089</v>
      </c>
      <c r="C14" s="8" t="s">
        <v>155</v>
      </c>
      <c r="D14" s="8" t="s">
        <v>156</v>
      </c>
      <c r="E14" s="8" t="s">
        <v>167</v>
      </c>
      <c r="F14" s="12">
        <v>6500</v>
      </c>
      <c r="G14" s="8" t="s">
        <v>200</v>
      </c>
      <c r="H14" s="8" t="s">
        <v>159</v>
      </c>
      <c r="I14" s="13">
        <f t="shared" si="0"/>
        <v>1</v>
      </c>
      <c r="J14" s="14">
        <f t="shared" si="1"/>
        <v>6500</v>
      </c>
      <c r="K14" s="15" t="str">
        <f t="shared" si="2"/>
        <v>OK</v>
      </c>
      <c r="L14" s="16">
        <f t="shared" si="3"/>
        <v>0</v>
      </c>
      <c r="M14" s="8" t="s">
        <v>201</v>
      </c>
    </row>
    <row r="15" spans="1:13" ht="20" customHeight="1" x14ac:dyDescent="0.4">
      <c r="A15" s="7" t="s">
        <v>202</v>
      </c>
      <c r="B15" s="11">
        <v>46096</v>
      </c>
      <c r="C15" s="8" t="s">
        <v>203</v>
      </c>
      <c r="D15" s="8" t="s">
        <v>204</v>
      </c>
      <c r="E15" s="8" t="s">
        <v>184</v>
      </c>
      <c r="F15" s="12">
        <v>9200</v>
      </c>
      <c r="G15" s="8" t="s">
        <v>205</v>
      </c>
      <c r="H15" s="8" t="s">
        <v>159</v>
      </c>
      <c r="I15" s="13">
        <f t="shared" si="0"/>
        <v>1</v>
      </c>
      <c r="J15" s="14">
        <f t="shared" si="1"/>
        <v>9200</v>
      </c>
      <c r="K15" s="15" t="str">
        <f t="shared" si="2"/>
        <v>OK</v>
      </c>
      <c r="L15" s="16">
        <f t="shared" si="3"/>
        <v>0</v>
      </c>
      <c r="M15" s="8" t="s">
        <v>206</v>
      </c>
    </row>
    <row r="16" spans="1:13" ht="20" customHeight="1" x14ac:dyDescent="0.4">
      <c r="A16" s="7" t="s">
        <v>207</v>
      </c>
      <c r="B16" s="11">
        <v>46106</v>
      </c>
      <c r="C16" s="8" t="s">
        <v>208</v>
      </c>
      <c r="D16" s="8" t="s">
        <v>209</v>
      </c>
      <c r="E16" s="8" t="s">
        <v>193</v>
      </c>
      <c r="F16" s="12">
        <v>7800</v>
      </c>
      <c r="G16" s="8" t="s">
        <v>210</v>
      </c>
      <c r="H16" s="8" t="s">
        <v>159</v>
      </c>
      <c r="I16" s="13">
        <f t="shared" si="0"/>
        <v>2</v>
      </c>
      <c r="J16" s="14">
        <f t="shared" si="1"/>
        <v>15600</v>
      </c>
      <c r="K16" s="15" t="str">
        <f t="shared" si="2"/>
        <v>FLAG: SPLIT PO</v>
      </c>
      <c r="L16" s="16">
        <f t="shared" si="3"/>
        <v>7800</v>
      </c>
      <c r="M16" s="8" t="s">
        <v>211</v>
      </c>
    </row>
    <row r="17" spans="1:13" ht="20" customHeight="1" x14ac:dyDescent="0.4">
      <c r="A17" s="7" t="s">
        <v>212</v>
      </c>
      <c r="B17" s="11">
        <v>46108</v>
      </c>
      <c r="C17" s="8" t="s">
        <v>208</v>
      </c>
      <c r="D17" s="8" t="s">
        <v>209</v>
      </c>
      <c r="E17" s="8" t="s">
        <v>193</v>
      </c>
      <c r="F17" s="12">
        <v>7800</v>
      </c>
      <c r="G17" s="8" t="s">
        <v>213</v>
      </c>
      <c r="H17" s="8" t="s">
        <v>159</v>
      </c>
      <c r="I17" s="13">
        <f t="shared" si="0"/>
        <v>2</v>
      </c>
      <c r="J17" s="14">
        <f t="shared" si="1"/>
        <v>15600</v>
      </c>
      <c r="K17" s="15" t="str">
        <f t="shared" si="2"/>
        <v>FLAG: SPLIT PO</v>
      </c>
      <c r="L17" s="16">
        <f t="shared" si="3"/>
        <v>7800</v>
      </c>
      <c r="M17" s="8" t="s">
        <v>214</v>
      </c>
    </row>
    <row r="18" spans="1:13" ht="20" customHeight="1" x14ac:dyDescent="0.4">
      <c r="A18" s="30" t="s">
        <v>215</v>
      </c>
      <c r="B18" s="31">
        <v>46110</v>
      </c>
      <c r="C18" s="32" t="s">
        <v>216</v>
      </c>
      <c r="D18" s="32" t="s">
        <v>217</v>
      </c>
      <c r="E18" s="32" t="s">
        <v>157</v>
      </c>
      <c r="F18" s="33">
        <v>9950</v>
      </c>
      <c r="G18" s="32" t="s">
        <v>218</v>
      </c>
      <c r="H18" s="32" t="s">
        <v>159</v>
      </c>
      <c r="I18" s="34">
        <f t="shared" si="0"/>
        <v>1</v>
      </c>
      <c r="J18" s="35">
        <f t="shared" si="1"/>
        <v>9950</v>
      </c>
      <c r="K18" s="36" t="str">
        <f t="shared" si="2"/>
        <v>OK</v>
      </c>
      <c r="L18" s="37">
        <f t="shared" si="3"/>
        <v>0</v>
      </c>
      <c r="M18" s="32" t="s">
        <v>219</v>
      </c>
    </row>
    <row r="19" spans="1:13" ht="15" customHeight="1" x14ac:dyDescent="0.4">
      <c r="A19" s="30" t="s">
        <v>220</v>
      </c>
      <c r="B19" s="32"/>
      <c r="C19" s="32"/>
      <c r="D19" s="32"/>
      <c r="E19" s="32" t="s">
        <v>221</v>
      </c>
      <c r="F19" s="33">
        <f>SUBTOTAL(109,Table_Split_POs[PO_Amount])</f>
        <v>128850</v>
      </c>
      <c r="G19" s="32"/>
      <c r="H19" s="32"/>
      <c r="I19" s="34"/>
      <c r="J19" s="38"/>
      <c r="K19" s="36"/>
      <c r="L19" s="37">
        <f>SUBTOTAL(109,Table_Split_POs[Financial_Exposure])</f>
        <v>46600</v>
      </c>
      <c r="M19" s="32">
        <f>SUBTOTAL(103,Table_Split_POs[Audit_Workpaper_Notes])</f>
        <v>15</v>
      </c>
    </row>
  </sheetData>
  <mergeCells count="2">
    <mergeCell ref="A2:M2"/>
    <mergeCell ref="A1:M1"/>
  </mergeCells>
  <conditionalFormatting sqref="K4:K18">
    <cfRule type="expression" dxfId="4" priority="1" stopIfTrue="1">
      <formula>LEFT(K4, 4)="FLAG"</formula>
    </cfRule>
  </conditionalFormatting>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4"/>
  <sheetViews>
    <sheetView workbookViewId="0"/>
  </sheetViews>
  <sheetFormatPr defaultRowHeight="14.5" x14ac:dyDescent="0.35"/>
  <cols>
    <col min="1" max="1" width="14" customWidth="1"/>
    <col min="2" max="2" width="25" bestFit="1" customWidth="1"/>
    <col min="3" max="3" width="16.90625" bestFit="1" customWidth="1"/>
    <col min="4" max="4" width="22.6328125" bestFit="1" customWidth="1"/>
    <col min="5" max="5" width="27.453125" bestFit="1" customWidth="1"/>
    <col min="6" max="6" width="19.90625" bestFit="1" customWidth="1"/>
    <col min="7" max="7" width="22.08984375" bestFit="1" customWidth="1"/>
    <col min="8" max="8" width="17.1796875" bestFit="1" customWidth="1"/>
    <col min="9" max="9" width="34.81640625" bestFit="1" customWidth="1"/>
    <col min="10" max="10" width="27.90625" bestFit="1" customWidth="1"/>
    <col min="11" max="11" width="20.81640625" bestFit="1" customWidth="1"/>
    <col min="12" max="12" width="73" bestFit="1" customWidth="1"/>
  </cols>
  <sheetData>
    <row r="1" spans="1:12" ht="26" customHeight="1" x14ac:dyDescent="0.35">
      <c r="A1" s="70" t="s">
        <v>222</v>
      </c>
      <c r="B1" s="56"/>
      <c r="C1" s="56"/>
      <c r="D1" s="56"/>
      <c r="E1" s="56"/>
      <c r="F1" s="56"/>
      <c r="G1" s="56"/>
      <c r="H1" s="56"/>
      <c r="I1" s="56"/>
      <c r="J1" s="56"/>
      <c r="K1" s="56"/>
      <c r="L1" s="56"/>
    </row>
    <row r="2" spans="1:12" ht="18" customHeight="1" x14ac:dyDescent="0.35">
      <c r="A2" s="69" t="s">
        <v>223</v>
      </c>
      <c r="B2" s="56"/>
      <c r="C2" s="56"/>
      <c r="D2" s="56"/>
      <c r="E2" s="56"/>
      <c r="F2" s="56"/>
      <c r="G2" s="56"/>
      <c r="H2" s="56"/>
      <c r="I2" s="56"/>
      <c r="J2" s="56"/>
      <c r="K2" s="56"/>
      <c r="L2" s="56"/>
    </row>
    <row r="3" spans="1:12" ht="24" customHeight="1" thickBot="1" x14ac:dyDescent="0.4">
      <c r="A3" s="28" t="s">
        <v>67</v>
      </c>
      <c r="B3" s="28" t="s">
        <v>70</v>
      </c>
      <c r="C3" s="28" t="s">
        <v>83</v>
      </c>
      <c r="D3" s="28" t="s">
        <v>125</v>
      </c>
      <c r="E3" s="28" t="s">
        <v>123</v>
      </c>
      <c r="F3" s="28" t="s">
        <v>224</v>
      </c>
      <c r="G3" s="28" t="s">
        <v>225</v>
      </c>
      <c r="H3" s="29" t="s">
        <v>226</v>
      </c>
      <c r="I3" s="29" t="s">
        <v>227</v>
      </c>
      <c r="J3" s="29" t="s">
        <v>151</v>
      </c>
      <c r="K3" s="29" t="s">
        <v>152</v>
      </c>
      <c r="L3" s="28" t="s">
        <v>153</v>
      </c>
    </row>
    <row r="4" spans="1:12" ht="20" customHeight="1" x14ac:dyDescent="0.4">
      <c r="A4" s="7" t="s">
        <v>228</v>
      </c>
      <c r="B4" s="8" t="s">
        <v>229</v>
      </c>
      <c r="C4" s="11">
        <v>46127</v>
      </c>
      <c r="D4" s="11">
        <v>45879</v>
      </c>
      <c r="E4" s="11">
        <v>46114</v>
      </c>
      <c r="F4" s="12">
        <v>94200</v>
      </c>
      <c r="G4" s="8" t="s">
        <v>230</v>
      </c>
      <c r="H4" s="13">
        <f t="shared" ref="H4:H13" si="0">IF(OR(ISBLANK(C4), ISBLANK(D4), D4=""), "", IF(ISNUMBER(C4), C4, IFERROR(DATEVALUE(C4), 0)) - IF(ISNUMBER(D4), D4, IFERROR(DATEVALUE(D4), 0)))</f>
        <v>248</v>
      </c>
      <c r="I4" s="13">
        <f t="shared" ref="I4:I13" si="1">IF(OR(ISBLANK(C4), ISBLANK(E4), E4=""), "", IF(ISNUMBER(C4), C4, IFERROR(DATEVALUE(C4), 0)) - IF(ISNUMBER(E4), E4, IFERROR(DATEVALUE(E4), 0)))</f>
        <v>13</v>
      </c>
      <c r="J4" s="15" t="str">
        <f t="shared" ref="J4:J13" si="2">IF(AND(H4&lt;&gt;"", I4&lt;&gt;"", H4&gt;180, I4&lt;=30, I4&gt;=0), "FLAG: DORMANT RESUSCITATION", "OK")</f>
        <v>FLAG: DORMANT RESUSCITATION</v>
      </c>
      <c r="K4" s="16">
        <f t="shared" ref="K4:K13" si="3">IF(J4="FLAG: DORMANT RESUSCITATION", IFERROR(VALUE(F4), F4), 0)</f>
        <v>94200</v>
      </c>
      <c r="L4" s="54" t="s">
        <v>231</v>
      </c>
    </row>
    <row r="5" spans="1:12" ht="20" customHeight="1" x14ac:dyDescent="0.4">
      <c r="A5" s="7" t="s">
        <v>232</v>
      </c>
      <c r="B5" s="8" t="s">
        <v>233</v>
      </c>
      <c r="C5" s="11">
        <v>46130</v>
      </c>
      <c r="D5" s="11">
        <v>45820</v>
      </c>
      <c r="E5" s="11">
        <v>46127</v>
      </c>
      <c r="F5" s="12">
        <v>145000</v>
      </c>
      <c r="G5" s="8" t="s">
        <v>234</v>
      </c>
      <c r="H5" s="13">
        <f t="shared" si="0"/>
        <v>310</v>
      </c>
      <c r="I5" s="13">
        <f t="shared" si="1"/>
        <v>3</v>
      </c>
      <c r="J5" s="15" t="str">
        <f t="shared" si="2"/>
        <v>FLAG: DORMANT RESUSCITATION</v>
      </c>
      <c r="K5" s="16">
        <f t="shared" si="3"/>
        <v>145000</v>
      </c>
      <c r="L5" s="54" t="s">
        <v>235</v>
      </c>
    </row>
    <row r="6" spans="1:12" ht="20" customHeight="1" x14ac:dyDescent="0.4">
      <c r="A6" s="7" t="s">
        <v>236</v>
      </c>
      <c r="B6" s="8" t="s">
        <v>237</v>
      </c>
      <c r="C6" s="11">
        <v>46134</v>
      </c>
      <c r="D6" s="11">
        <v>45939</v>
      </c>
      <c r="E6" s="11">
        <v>46106</v>
      </c>
      <c r="F6" s="12">
        <v>38500</v>
      </c>
      <c r="G6" s="8" t="s">
        <v>238</v>
      </c>
      <c r="H6" s="13">
        <f t="shared" si="0"/>
        <v>195</v>
      </c>
      <c r="I6" s="13">
        <f t="shared" si="1"/>
        <v>28</v>
      </c>
      <c r="J6" s="15" t="str">
        <f t="shared" si="2"/>
        <v>FLAG: DORMANT RESUSCITATION</v>
      </c>
      <c r="K6" s="16">
        <f t="shared" si="3"/>
        <v>38500</v>
      </c>
      <c r="L6" s="54" t="s">
        <v>239</v>
      </c>
    </row>
    <row r="7" spans="1:12" ht="20" customHeight="1" x14ac:dyDescent="0.4">
      <c r="A7" s="7" t="s">
        <v>240</v>
      </c>
      <c r="B7" s="8" t="s">
        <v>241</v>
      </c>
      <c r="C7" s="11">
        <v>46140</v>
      </c>
      <c r="D7" s="11">
        <v>45839</v>
      </c>
      <c r="E7" s="11">
        <v>46132</v>
      </c>
      <c r="F7" s="12">
        <v>62000</v>
      </c>
      <c r="G7" s="8" t="s">
        <v>242</v>
      </c>
      <c r="H7" s="13">
        <f t="shared" si="0"/>
        <v>301</v>
      </c>
      <c r="I7" s="13">
        <f t="shared" si="1"/>
        <v>8</v>
      </c>
      <c r="J7" s="15" t="str">
        <f t="shared" si="2"/>
        <v>FLAG: DORMANT RESUSCITATION</v>
      </c>
      <c r="K7" s="16">
        <f t="shared" si="3"/>
        <v>62000</v>
      </c>
      <c r="L7" s="54" t="s">
        <v>243</v>
      </c>
    </row>
    <row r="8" spans="1:12" ht="20" customHeight="1" x14ac:dyDescent="0.4">
      <c r="A8" s="7" t="s">
        <v>244</v>
      </c>
      <c r="B8" s="8" t="s">
        <v>245</v>
      </c>
      <c r="C8" s="11">
        <v>46122</v>
      </c>
      <c r="D8" s="11">
        <v>46106</v>
      </c>
      <c r="E8" s="11">
        <v>46101</v>
      </c>
      <c r="F8" s="12">
        <v>54000</v>
      </c>
      <c r="G8" s="8" t="s">
        <v>246</v>
      </c>
      <c r="H8" s="13">
        <f t="shared" si="0"/>
        <v>16</v>
      </c>
      <c r="I8" s="13">
        <f t="shared" si="1"/>
        <v>21</v>
      </c>
      <c r="J8" s="15" t="str">
        <f t="shared" si="2"/>
        <v>OK</v>
      </c>
      <c r="K8" s="16">
        <f t="shared" si="3"/>
        <v>0</v>
      </c>
      <c r="L8" s="54" t="s">
        <v>247</v>
      </c>
    </row>
    <row r="9" spans="1:12" ht="20" customHeight="1" x14ac:dyDescent="0.4">
      <c r="A9" s="7" t="s">
        <v>248</v>
      </c>
      <c r="B9" s="8" t="s">
        <v>249</v>
      </c>
      <c r="C9" s="11">
        <v>46124</v>
      </c>
      <c r="D9" s="11">
        <v>46113</v>
      </c>
      <c r="E9" s="11">
        <v>45672</v>
      </c>
      <c r="F9" s="12">
        <v>82500</v>
      </c>
      <c r="G9" s="8" t="s">
        <v>250</v>
      </c>
      <c r="H9" s="13">
        <f t="shared" si="0"/>
        <v>11</v>
      </c>
      <c r="I9" s="13">
        <f t="shared" si="1"/>
        <v>452</v>
      </c>
      <c r="J9" s="15" t="str">
        <f t="shared" si="2"/>
        <v>OK</v>
      </c>
      <c r="K9" s="16">
        <f t="shared" si="3"/>
        <v>0</v>
      </c>
      <c r="L9" s="54" t="s">
        <v>251</v>
      </c>
    </row>
    <row r="10" spans="1:12" ht="20" customHeight="1" x14ac:dyDescent="0.4">
      <c r="A10" s="7" t="s">
        <v>252</v>
      </c>
      <c r="B10" s="8" t="s">
        <v>253</v>
      </c>
      <c r="C10" s="11">
        <v>46126</v>
      </c>
      <c r="D10" s="11">
        <v>45858</v>
      </c>
      <c r="E10" s="11">
        <v>46006</v>
      </c>
      <c r="F10" s="12">
        <v>118000</v>
      </c>
      <c r="G10" s="8" t="s">
        <v>254</v>
      </c>
      <c r="H10" s="13">
        <f t="shared" si="0"/>
        <v>268</v>
      </c>
      <c r="I10" s="13">
        <f t="shared" si="1"/>
        <v>120</v>
      </c>
      <c r="J10" s="15" t="str">
        <f t="shared" si="2"/>
        <v>OK</v>
      </c>
      <c r="K10" s="16">
        <f t="shared" si="3"/>
        <v>0</v>
      </c>
      <c r="L10" s="54" t="s">
        <v>255</v>
      </c>
    </row>
    <row r="11" spans="1:12" ht="20" customHeight="1" x14ac:dyDescent="0.4">
      <c r="A11" s="7" t="s">
        <v>256</v>
      </c>
      <c r="B11" s="8" t="s">
        <v>257</v>
      </c>
      <c r="C11" s="11">
        <v>46128</v>
      </c>
      <c r="D11" s="11">
        <v>46091</v>
      </c>
      <c r="E11" s="11">
        <v>46117</v>
      </c>
      <c r="F11" s="12">
        <v>18900</v>
      </c>
      <c r="G11" s="8" t="s">
        <v>258</v>
      </c>
      <c r="H11" s="13">
        <f t="shared" si="0"/>
        <v>37</v>
      </c>
      <c r="I11" s="13">
        <f t="shared" si="1"/>
        <v>11</v>
      </c>
      <c r="J11" s="15" t="str">
        <f t="shared" si="2"/>
        <v>OK</v>
      </c>
      <c r="K11" s="16">
        <f t="shared" si="3"/>
        <v>0</v>
      </c>
      <c r="L11" s="8" t="s">
        <v>259</v>
      </c>
    </row>
    <row r="12" spans="1:12" ht="20" customHeight="1" x14ac:dyDescent="0.4">
      <c r="A12" s="7" t="s">
        <v>260</v>
      </c>
      <c r="B12" s="8" t="s">
        <v>261</v>
      </c>
      <c r="C12" s="11">
        <v>46137</v>
      </c>
      <c r="D12" s="11">
        <v>46068</v>
      </c>
      <c r="E12" s="11">
        <v>45422</v>
      </c>
      <c r="F12" s="12">
        <v>29400</v>
      </c>
      <c r="G12" s="8" t="s">
        <v>262</v>
      </c>
      <c r="H12" s="13">
        <f t="shared" si="0"/>
        <v>69</v>
      </c>
      <c r="I12" s="13">
        <f t="shared" si="1"/>
        <v>715</v>
      </c>
      <c r="J12" s="15" t="str">
        <f t="shared" si="2"/>
        <v>OK</v>
      </c>
      <c r="K12" s="16">
        <f t="shared" si="3"/>
        <v>0</v>
      </c>
      <c r="L12" s="8" t="s">
        <v>263</v>
      </c>
    </row>
    <row r="13" spans="1:12" ht="20" customHeight="1" x14ac:dyDescent="0.4">
      <c r="A13" s="30" t="s">
        <v>264</v>
      </c>
      <c r="B13" s="32" t="s">
        <v>265</v>
      </c>
      <c r="C13" s="31">
        <v>46138</v>
      </c>
      <c r="D13" s="31">
        <v>45787</v>
      </c>
      <c r="E13" s="31">
        <v>45981</v>
      </c>
      <c r="F13" s="33">
        <v>47000</v>
      </c>
      <c r="G13" s="32" t="s">
        <v>266</v>
      </c>
      <c r="H13" s="34">
        <f t="shared" si="0"/>
        <v>351</v>
      </c>
      <c r="I13" s="34">
        <f t="shared" si="1"/>
        <v>157</v>
      </c>
      <c r="J13" s="36" t="str">
        <f t="shared" si="2"/>
        <v>OK</v>
      </c>
      <c r="K13" s="37">
        <f t="shared" si="3"/>
        <v>0</v>
      </c>
      <c r="L13" s="32" t="s">
        <v>267</v>
      </c>
    </row>
    <row r="14" spans="1:12" ht="15" customHeight="1" x14ac:dyDescent="0.4">
      <c r="A14" s="30" t="s">
        <v>220</v>
      </c>
      <c r="B14" s="32"/>
      <c r="C14" s="32"/>
      <c r="D14" s="32"/>
      <c r="E14" s="32" t="s">
        <v>221</v>
      </c>
      <c r="F14" s="33">
        <f>SUBTOTAL(109,Table_Dormant_Vendors[Payment_Amount])</f>
        <v>689500</v>
      </c>
      <c r="G14" s="32"/>
      <c r="H14" s="34"/>
      <c r="I14" s="34"/>
      <c r="J14" s="36"/>
      <c r="K14" s="37">
        <f>SUBTOTAL(109,Table_Dormant_Vendors[Financial_Exposure])</f>
        <v>339700</v>
      </c>
      <c r="L14" s="32">
        <f>SUBTOTAL(103,Table_Dormant_Vendors[Audit_Workpaper_Notes])</f>
        <v>10</v>
      </c>
    </row>
  </sheetData>
  <mergeCells count="2">
    <mergeCell ref="A2:L2"/>
    <mergeCell ref="A1:L1"/>
  </mergeCells>
  <conditionalFormatting sqref="J4:J13">
    <cfRule type="expression" dxfId="3" priority="1" stopIfTrue="1">
      <formula>LEFT(J4, 4)="FLAG"</formula>
    </cfRule>
  </conditionalFormatting>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6"/>
  <sheetViews>
    <sheetView workbookViewId="0"/>
  </sheetViews>
  <sheetFormatPr defaultRowHeight="14.5" x14ac:dyDescent="0.35"/>
  <cols>
    <col min="1" max="1" width="14" customWidth="1"/>
    <col min="2" max="2" width="21.7265625" bestFit="1" customWidth="1"/>
    <col min="3" max="3" width="22.90625" bestFit="1" customWidth="1"/>
    <col min="4" max="4" width="24" customWidth="1"/>
    <col min="5" max="5" width="16.1796875" bestFit="1" customWidth="1"/>
    <col min="6" max="6" width="18.6328125" bestFit="1" customWidth="1"/>
    <col min="7" max="7" width="21.26953125" bestFit="1" customWidth="1"/>
    <col min="8" max="8" width="16.90625" bestFit="1" customWidth="1"/>
    <col min="9" max="9" width="24.6328125" bestFit="1" customWidth="1"/>
    <col min="10" max="10" width="21.90625" bestFit="1" customWidth="1"/>
    <col min="11" max="11" width="17.453125" bestFit="1" customWidth="1"/>
    <col min="12" max="12" width="78.81640625" bestFit="1" customWidth="1"/>
  </cols>
  <sheetData>
    <row r="1" spans="1:12" ht="26" customHeight="1" x14ac:dyDescent="0.35">
      <c r="A1" s="70" t="s">
        <v>268</v>
      </c>
      <c r="B1" s="56"/>
      <c r="C1" s="56"/>
      <c r="D1" s="56"/>
      <c r="E1" s="56"/>
      <c r="F1" s="56"/>
      <c r="G1" s="56"/>
      <c r="H1" s="56"/>
      <c r="I1" s="56"/>
      <c r="J1" s="56"/>
      <c r="K1" s="56"/>
      <c r="L1" s="56"/>
    </row>
    <row r="2" spans="1:12" ht="18" customHeight="1" x14ac:dyDescent="0.35">
      <c r="A2" s="69" t="s">
        <v>269</v>
      </c>
      <c r="B2" s="56"/>
      <c r="C2" s="56"/>
      <c r="D2" s="56"/>
      <c r="E2" s="56"/>
      <c r="F2" s="56"/>
      <c r="G2" s="56"/>
      <c r="H2" s="56"/>
      <c r="I2" s="56"/>
      <c r="J2" s="56"/>
      <c r="K2" s="56"/>
      <c r="L2" s="56"/>
    </row>
    <row r="3" spans="1:12" ht="24" customHeight="1" thickBot="1" x14ac:dyDescent="0.4">
      <c r="A3" s="28" t="s">
        <v>67</v>
      </c>
      <c r="B3" s="28" t="s">
        <v>70</v>
      </c>
      <c r="C3" s="28" t="s">
        <v>270</v>
      </c>
      <c r="D3" s="29" t="s">
        <v>271</v>
      </c>
      <c r="E3" s="28" t="s">
        <v>75</v>
      </c>
      <c r="F3" s="28" t="s">
        <v>78</v>
      </c>
      <c r="G3" s="28" t="s">
        <v>272</v>
      </c>
      <c r="H3" s="28" t="s">
        <v>83</v>
      </c>
      <c r="I3" s="29" t="s">
        <v>273</v>
      </c>
      <c r="J3" s="29" t="s">
        <v>151</v>
      </c>
      <c r="K3" s="29" t="s">
        <v>274</v>
      </c>
      <c r="L3" s="28" t="s">
        <v>153</v>
      </c>
    </row>
    <row r="4" spans="1:12" ht="20" customHeight="1" x14ac:dyDescent="0.4">
      <c r="A4" s="7" t="s">
        <v>275</v>
      </c>
      <c r="B4" s="8" t="s">
        <v>276</v>
      </c>
      <c r="C4" s="8" t="s">
        <v>277</v>
      </c>
      <c r="D4" s="13" t="str">
        <f t="shared" ref="D4:D15" si="0">SUBSTITUTE(SUBSTITUTE(SUBSTITUTE(SUBSTITUTE(SUBSTITUTE(SUBSTITUTE(SUBSTITUTE(LOWER(TRIM(C4)), "-", ""), "/", ""), " ", ""), ".", ""), "_", ""), "#", ""), ":", "")</f>
        <v>inv8842</v>
      </c>
      <c r="E4" s="11">
        <v>46086</v>
      </c>
      <c r="F4" s="12">
        <v>12850</v>
      </c>
      <c r="G4" s="8" t="s">
        <v>278</v>
      </c>
      <c r="H4" s="11">
        <v>46099</v>
      </c>
      <c r="I4" s="13">
        <f t="shared" ref="I4:I15" si="1">COUNTIFS($A:$A, A4, $D:$D, D4, $F:$F, F4)</f>
        <v>2</v>
      </c>
      <c r="J4" s="15" t="str">
        <f t="shared" ref="J4:J15" si="2">IF(I4&gt;1, "FLAG: DUPLICATE INVOICE", "OK")</f>
        <v>FLAG: DUPLICATE INVOICE</v>
      </c>
      <c r="K4" s="16">
        <f>IF(AND(J4="FLAG: DUPLICATE INVOICE", COUNTIFS($A$4:INDEX($A:$A, ROW()), A4, $D$4:INDEX($D:$D, ROW()), D4, $F$4:INDEX($F:$F, ROW()), F4)&gt;1), IFERROR(VALUE(F4), F4), 0)</f>
        <v>0</v>
      </c>
      <c r="L4" s="54" t="s">
        <v>279</v>
      </c>
    </row>
    <row r="5" spans="1:12" ht="20" customHeight="1" x14ac:dyDescent="0.4">
      <c r="A5" s="7" t="s">
        <v>275</v>
      </c>
      <c r="B5" s="8" t="s">
        <v>276</v>
      </c>
      <c r="C5" s="8" t="s">
        <v>280</v>
      </c>
      <c r="D5" s="13" t="str">
        <f t="shared" si="0"/>
        <v>inv8842</v>
      </c>
      <c r="E5" s="11">
        <v>46091</v>
      </c>
      <c r="F5" s="12">
        <v>12850</v>
      </c>
      <c r="G5" s="8" t="s">
        <v>281</v>
      </c>
      <c r="H5" s="11">
        <v>46106</v>
      </c>
      <c r="I5" s="13">
        <f t="shared" si="1"/>
        <v>2</v>
      </c>
      <c r="J5" s="15" t="str">
        <f t="shared" si="2"/>
        <v>FLAG: DUPLICATE INVOICE</v>
      </c>
      <c r="K5" s="16">
        <f>IF(AND(J5="FLAG: DUPLICATE INVOICE", COUNTIFS($A$4:INDEX($A:$A, ROW()), A5, $D$4:INDEX($D:$D, ROW()), D5, $F$4:INDEX($F:$F, ROW()), F5)&gt;1), IFERROR(VALUE(F5), F5), 0)</f>
        <v>12850</v>
      </c>
      <c r="L5" s="54" t="s">
        <v>282</v>
      </c>
    </row>
    <row r="6" spans="1:12" ht="20" customHeight="1" x14ac:dyDescent="0.4">
      <c r="A6" s="7" t="s">
        <v>283</v>
      </c>
      <c r="B6" s="8" t="s">
        <v>284</v>
      </c>
      <c r="C6" s="8" t="s">
        <v>285</v>
      </c>
      <c r="D6" s="13" t="str">
        <f t="shared" si="0"/>
        <v>2026mar091</v>
      </c>
      <c r="E6" s="11">
        <v>46093</v>
      </c>
      <c r="F6" s="12">
        <v>4750</v>
      </c>
      <c r="G6" s="8" t="s">
        <v>286</v>
      </c>
      <c r="H6" s="11">
        <v>46103</v>
      </c>
      <c r="I6" s="13">
        <f t="shared" si="1"/>
        <v>2</v>
      </c>
      <c r="J6" s="15" t="str">
        <f t="shared" si="2"/>
        <v>FLAG: DUPLICATE INVOICE</v>
      </c>
      <c r="K6" s="16">
        <f>IF(AND(J6="FLAG: DUPLICATE INVOICE", COUNTIFS($A$4:INDEX($A:$A, ROW()), A6, $D$4:INDEX($D:$D, ROW()), D6, $F$4:INDEX($F:$F, ROW()), F6)&gt;1), IFERROR(VALUE(F6), F6), 0)</f>
        <v>0</v>
      </c>
      <c r="L6" s="54" t="s">
        <v>287</v>
      </c>
    </row>
    <row r="7" spans="1:12" ht="20" customHeight="1" x14ac:dyDescent="0.4">
      <c r="A7" s="7" t="s">
        <v>283</v>
      </c>
      <c r="B7" s="8" t="s">
        <v>284</v>
      </c>
      <c r="C7" s="8" t="s">
        <v>288</v>
      </c>
      <c r="D7" s="13" t="str">
        <f t="shared" si="0"/>
        <v>2026mar091</v>
      </c>
      <c r="E7" s="11">
        <v>46096</v>
      </c>
      <c r="F7" s="12">
        <v>4750</v>
      </c>
      <c r="G7" s="8" t="s">
        <v>289</v>
      </c>
      <c r="H7" s="11">
        <v>46110</v>
      </c>
      <c r="I7" s="13">
        <f t="shared" si="1"/>
        <v>2</v>
      </c>
      <c r="J7" s="15" t="str">
        <f t="shared" si="2"/>
        <v>FLAG: DUPLICATE INVOICE</v>
      </c>
      <c r="K7" s="16">
        <f>IF(AND(J7="FLAG: DUPLICATE INVOICE", COUNTIFS($A$4:INDEX($A:$A, ROW()), A7, $D$4:INDEX($D:$D, ROW()), D7, $F$4:INDEX($F:$F, ROW()), F7)&gt;1), IFERROR(VALUE(F7), F7), 0)</f>
        <v>4750</v>
      </c>
      <c r="L7" s="54" t="s">
        <v>290</v>
      </c>
    </row>
    <row r="8" spans="1:12" ht="20" customHeight="1" x14ac:dyDescent="0.4">
      <c r="A8" s="7" t="s">
        <v>291</v>
      </c>
      <c r="B8" s="8" t="s">
        <v>292</v>
      </c>
      <c r="C8" s="8" t="s">
        <v>293</v>
      </c>
      <c r="D8" s="13" t="str">
        <f t="shared" si="0"/>
        <v>srv9004</v>
      </c>
      <c r="E8" s="11">
        <v>46095</v>
      </c>
      <c r="F8" s="12">
        <v>28000</v>
      </c>
      <c r="G8" s="8" t="s">
        <v>294</v>
      </c>
      <c r="H8" s="11">
        <v>46109</v>
      </c>
      <c r="I8" s="13">
        <f t="shared" si="1"/>
        <v>2</v>
      </c>
      <c r="J8" s="15" t="str">
        <f t="shared" si="2"/>
        <v>FLAG: DUPLICATE INVOICE</v>
      </c>
      <c r="K8" s="16">
        <f>IF(AND(J8="FLAG: DUPLICATE INVOICE", COUNTIFS($A$4:INDEX($A:$A, ROW()), A8, $D$4:INDEX($D:$D, ROW()), D8, $F$4:INDEX($F:$F, ROW()), F8)&gt;1), IFERROR(VALUE(F8), F8), 0)</f>
        <v>0</v>
      </c>
      <c r="L8" s="54" t="s">
        <v>295</v>
      </c>
    </row>
    <row r="9" spans="1:12" ht="20" customHeight="1" x14ac:dyDescent="0.4">
      <c r="A9" s="7" t="s">
        <v>291</v>
      </c>
      <c r="B9" s="8" t="s">
        <v>292</v>
      </c>
      <c r="C9" s="8" t="s">
        <v>296</v>
      </c>
      <c r="D9" s="13" t="str">
        <f t="shared" si="0"/>
        <v>srv9004</v>
      </c>
      <c r="E9" s="11">
        <v>46099</v>
      </c>
      <c r="F9" s="12">
        <v>28000</v>
      </c>
      <c r="G9" s="8" t="s">
        <v>297</v>
      </c>
      <c r="H9" s="11">
        <v>46117</v>
      </c>
      <c r="I9" s="13">
        <f t="shared" si="1"/>
        <v>2</v>
      </c>
      <c r="J9" s="15" t="str">
        <f t="shared" si="2"/>
        <v>FLAG: DUPLICATE INVOICE</v>
      </c>
      <c r="K9" s="16">
        <f>IF(AND(J9="FLAG: DUPLICATE INVOICE", COUNTIFS($A$4:INDEX($A:$A, ROW()), A9, $D$4:INDEX($D:$D, ROW()), D9, $F$4:INDEX($F:$F, ROW()), F9)&gt;1), IFERROR(VALUE(F9), F9), 0)</f>
        <v>28000</v>
      </c>
      <c r="L9" s="54" t="s">
        <v>298</v>
      </c>
    </row>
    <row r="10" spans="1:12" ht="20" customHeight="1" x14ac:dyDescent="0.4">
      <c r="A10" s="7" t="s">
        <v>275</v>
      </c>
      <c r="B10" s="8" t="s">
        <v>276</v>
      </c>
      <c r="C10" s="8" t="s">
        <v>299</v>
      </c>
      <c r="D10" s="13" t="str">
        <f t="shared" si="0"/>
        <v>inv8843</v>
      </c>
      <c r="E10" s="11">
        <v>46101</v>
      </c>
      <c r="F10" s="12">
        <v>12850</v>
      </c>
      <c r="G10" s="8" t="s">
        <v>300</v>
      </c>
      <c r="H10" s="11">
        <v>46114</v>
      </c>
      <c r="I10" s="13">
        <f t="shared" si="1"/>
        <v>1</v>
      </c>
      <c r="J10" s="15" t="str">
        <f t="shared" si="2"/>
        <v>OK</v>
      </c>
      <c r="K10" s="16">
        <f>IF(AND(J10="FLAG: DUPLICATE INVOICE", COUNTIFS($A$4:INDEX($A:$A, ROW()), A10, $D$4:INDEX($D:$D, ROW()), D10, $F$4:INDEX($F:$F, ROW()), F10)&gt;1), IFERROR(VALUE(F10), F10), 0)</f>
        <v>0</v>
      </c>
      <c r="L10" s="54" t="s">
        <v>301</v>
      </c>
    </row>
    <row r="11" spans="1:12" ht="20" customHeight="1" x14ac:dyDescent="0.4">
      <c r="A11" s="7" t="s">
        <v>302</v>
      </c>
      <c r="B11" s="8" t="s">
        <v>303</v>
      </c>
      <c r="C11" s="8" t="s">
        <v>304</v>
      </c>
      <c r="D11" s="13" t="str">
        <f t="shared" si="0"/>
        <v>dl4011</v>
      </c>
      <c r="E11" s="11">
        <v>46082</v>
      </c>
      <c r="F11" s="12">
        <v>6500</v>
      </c>
      <c r="G11" s="8" t="s">
        <v>305</v>
      </c>
      <c r="H11" s="11">
        <v>46096</v>
      </c>
      <c r="I11" s="13">
        <f t="shared" si="1"/>
        <v>1</v>
      </c>
      <c r="J11" s="15" t="str">
        <f t="shared" si="2"/>
        <v>OK</v>
      </c>
      <c r="K11" s="16">
        <f>IF(AND(J11="FLAG: DUPLICATE INVOICE", COUNTIFS($A$4:INDEX($A:$A, ROW()), A11, $D$4:INDEX($D:$D, ROW()), D11, $F$4:INDEX($F:$F, ROW()), F11)&gt;1), IFERROR(VALUE(F11), F11), 0)</f>
        <v>0</v>
      </c>
      <c r="L11" s="54" t="s">
        <v>306</v>
      </c>
    </row>
    <row r="12" spans="1:12" ht="20" customHeight="1" x14ac:dyDescent="0.4">
      <c r="A12" s="7" t="s">
        <v>302</v>
      </c>
      <c r="B12" s="8" t="s">
        <v>303</v>
      </c>
      <c r="C12" s="8" t="s">
        <v>307</v>
      </c>
      <c r="D12" s="13" t="str">
        <f t="shared" si="0"/>
        <v>dl4012</v>
      </c>
      <c r="E12" s="11">
        <v>46096</v>
      </c>
      <c r="F12" s="12">
        <v>6500</v>
      </c>
      <c r="G12" s="8" t="s">
        <v>308</v>
      </c>
      <c r="H12" s="11">
        <v>46111</v>
      </c>
      <c r="I12" s="13">
        <f t="shared" si="1"/>
        <v>1</v>
      </c>
      <c r="J12" s="15" t="str">
        <f t="shared" si="2"/>
        <v>OK</v>
      </c>
      <c r="K12" s="16">
        <f>IF(AND(J12="FLAG: DUPLICATE INVOICE", COUNTIFS($A$4:INDEX($A:$A, ROW()), A12, $D$4:INDEX($D:$D, ROW()), D12, $F$4:INDEX($F:$F, ROW()), F12)&gt;1), IFERROR(VALUE(F12), F12), 0)</f>
        <v>0</v>
      </c>
      <c r="L12" s="8" t="s">
        <v>309</v>
      </c>
    </row>
    <row r="13" spans="1:12" ht="20" customHeight="1" x14ac:dyDescent="0.4">
      <c r="A13" s="7" t="s">
        <v>310</v>
      </c>
      <c r="B13" s="8" t="s">
        <v>311</v>
      </c>
      <c r="C13" s="8" t="s">
        <v>277</v>
      </c>
      <c r="D13" s="13" t="str">
        <f t="shared" si="0"/>
        <v>inv8842</v>
      </c>
      <c r="E13" s="11">
        <v>46086</v>
      </c>
      <c r="F13" s="12">
        <v>12850</v>
      </c>
      <c r="G13" s="8" t="s">
        <v>312</v>
      </c>
      <c r="H13" s="11">
        <v>46101</v>
      </c>
      <c r="I13" s="13">
        <f t="shared" si="1"/>
        <v>1</v>
      </c>
      <c r="J13" s="15" t="str">
        <f t="shared" si="2"/>
        <v>OK</v>
      </c>
      <c r="K13" s="16">
        <f>IF(AND(J13="FLAG: DUPLICATE INVOICE", COUNTIFS($A$4:INDEX($A:$A, ROW()), A13, $D$4:INDEX($D:$D, ROW()), D13, $F$4:INDEX($F:$F, ROW()), F13)&gt;1), IFERROR(VALUE(F13), F13), 0)</f>
        <v>0</v>
      </c>
      <c r="L13" s="8" t="s">
        <v>313</v>
      </c>
    </row>
    <row r="14" spans="1:12" ht="20" customHeight="1" x14ac:dyDescent="0.4">
      <c r="A14" s="7" t="s">
        <v>283</v>
      </c>
      <c r="B14" s="8" t="s">
        <v>284</v>
      </c>
      <c r="C14" s="8" t="s">
        <v>314</v>
      </c>
      <c r="D14" s="13" t="str">
        <f t="shared" si="0"/>
        <v>2026mar092</v>
      </c>
      <c r="E14" s="11">
        <v>46101</v>
      </c>
      <c r="F14" s="12">
        <v>4750</v>
      </c>
      <c r="G14" s="8" t="s">
        <v>315</v>
      </c>
      <c r="H14" s="11">
        <v>46113</v>
      </c>
      <c r="I14" s="13">
        <f t="shared" si="1"/>
        <v>1</v>
      </c>
      <c r="J14" s="15" t="str">
        <f t="shared" si="2"/>
        <v>OK</v>
      </c>
      <c r="K14" s="16">
        <f>IF(AND(J14="FLAG: DUPLICATE INVOICE", COUNTIFS($A$4:INDEX($A:$A, ROW()), A14, $D$4:INDEX($D:$D, ROW()), D14, $F$4:INDEX($F:$F, ROW()), F14)&gt;1), IFERROR(VALUE(F14), F14), 0)</f>
        <v>0</v>
      </c>
      <c r="L14" s="8" t="s">
        <v>316</v>
      </c>
    </row>
    <row r="15" spans="1:12" ht="20" customHeight="1" x14ac:dyDescent="0.4">
      <c r="A15" s="30" t="s">
        <v>317</v>
      </c>
      <c r="B15" s="32" t="s">
        <v>318</v>
      </c>
      <c r="C15" s="32" t="s">
        <v>319</v>
      </c>
      <c r="D15" s="34" t="str">
        <f t="shared" si="0"/>
        <v>sec5501</v>
      </c>
      <c r="E15" s="31">
        <v>46091</v>
      </c>
      <c r="F15" s="33">
        <v>15200</v>
      </c>
      <c r="G15" s="32" t="s">
        <v>320</v>
      </c>
      <c r="H15" s="31">
        <v>46105</v>
      </c>
      <c r="I15" s="34">
        <f t="shared" si="1"/>
        <v>1</v>
      </c>
      <c r="J15" s="36" t="str">
        <f t="shared" si="2"/>
        <v>OK</v>
      </c>
      <c r="K15" s="37">
        <f>IF(AND(J15="FLAG: DUPLICATE INVOICE", COUNTIFS($A$4:INDEX($A:$A, ROW()), A15, $D$4:INDEX($D:$D, ROW()), D15, $F$4:INDEX($F:$F, ROW()), F15)&gt;1), IFERROR(VALUE(F15), F15), 0)</f>
        <v>0</v>
      </c>
      <c r="L15" s="32" t="s">
        <v>321</v>
      </c>
    </row>
    <row r="16" spans="1:12" ht="15" customHeight="1" x14ac:dyDescent="0.4">
      <c r="A16" s="30" t="s">
        <v>220</v>
      </c>
      <c r="B16" s="32"/>
      <c r="C16" s="32"/>
      <c r="D16" s="34"/>
      <c r="E16" s="32" t="s">
        <v>221</v>
      </c>
      <c r="F16" s="33">
        <f>SUBTOTAL(109,Table_Duplicate_Invoices[Invoice_Amount])</f>
        <v>149850</v>
      </c>
      <c r="G16" s="32"/>
      <c r="H16" s="32"/>
      <c r="I16" s="34"/>
      <c r="J16" s="36"/>
      <c r="K16" s="37">
        <f>SUBTOTAL(109,Table_Duplicate_Invoices[Cash_Exposure])</f>
        <v>45600</v>
      </c>
      <c r="L16" s="32">
        <f>SUBTOTAL(103,Table_Duplicate_Invoices[Audit_Workpaper_Notes])</f>
        <v>12</v>
      </c>
    </row>
  </sheetData>
  <mergeCells count="2">
    <mergeCell ref="A2:L2"/>
    <mergeCell ref="A1:L1"/>
  </mergeCells>
  <conditionalFormatting sqref="J4:J15">
    <cfRule type="expression" dxfId="2" priority="1" stopIfTrue="1">
      <formula>LEFT(J4, 4)="FLAG"</formula>
    </cfRule>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
  <sheetViews>
    <sheetView workbookViewId="0"/>
  </sheetViews>
  <sheetFormatPr defaultRowHeight="14.5" x14ac:dyDescent="0.35"/>
  <cols>
    <col min="1" max="1" width="14" bestFit="1" customWidth="1"/>
    <col min="2" max="2" width="17" bestFit="1" customWidth="1"/>
    <col min="3" max="3" width="29.54296875" bestFit="1" customWidth="1"/>
    <col min="4" max="4" width="17.08984375" bestFit="1" customWidth="1"/>
    <col min="5" max="5" width="17.7265625" bestFit="1" customWidth="1"/>
    <col min="6" max="6" width="14.36328125" bestFit="1" customWidth="1"/>
    <col min="7" max="7" width="18.54296875" bestFit="1" customWidth="1"/>
    <col min="8" max="8" width="16.1796875" bestFit="1" customWidth="1"/>
    <col min="9" max="9" width="15.54296875" bestFit="1" customWidth="1"/>
    <col min="10" max="10" width="15" bestFit="1" customWidth="1"/>
    <col min="11" max="11" width="15.6328125" bestFit="1" customWidth="1"/>
    <col min="12" max="12" width="20.90625" bestFit="1" customWidth="1"/>
    <col min="13" max="13" width="20.81640625" bestFit="1" customWidth="1"/>
    <col min="14" max="14" width="69.1796875" bestFit="1" customWidth="1"/>
  </cols>
  <sheetData>
    <row r="1" spans="1:14" ht="26" customHeight="1" x14ac:dyDescent="0.35">
      <c r="A1" s="70" t="s">
        <v>322</v>
      </c>
      <c r="B1" s="56"/>
      <c r="C1" s="56"/>
      <c r="D1" s="56"/>
      <c r="E1" s="56"/>
      <c r="F1" s="56"/>
      <c r="G1" s="56"/>
      <c r="H1" s="56"/>
      <c r="I1" s="56"/>
      <c r="J1" s="56"/>
      <c r="K1" s="56"/>
      <c r="L1" s="56"/>
      <c r="M1" s="56"/>
      <c r="N1" s="56"/>
    </row>
    <row r="2" spans="1:14" ht="18" customHeight="1" x14ac:dyDescent="0.35">
      <c r="A2" s="69" t="s">
        <v>323</v>
      </c>
      <c r="B2" s="56"/>
      <c r="C2" s="56"/>
      <c r="D2" s="56"/>
      <c r="E2" s="56"/>
      <c r="F2" s="56"/>
      <c r="G2" s="56"/>
      <c r="H2" s="56"/>
      <c r="I2" s="56"/>
      <c r="J2" s="56"/>
      <c r="K2" s="56"/>
      <c r="L2" s="56"/>
      <c r="M2" s="56"/>
      <c r="N2" s="56"/>
    </row>
    <row r="3" spans="1:14" ht="24" customHeight="1" thickBot="1" x14ac:dyDescent="0.4">
      <c r="A3" s="28" t="s">
        <v>129</v>
      </c>
      <c r="B3" s="28" t="s">
        <v>131</v>
      </c>
      <c r="C3" s="28" t="s">
        <v>133</v>
      </c>
      <c r="D3" s="28" t="s">
        <v>135</v>
      </c>
      <c r="E3" s="28" t="s">
        <v>137</v>
      </c>
      <c r="F3" s="28" t="s">
        <v>91</v>
      </c>
      <c r="G3" s="28" t="s">
        <v>140</v>
      </c>
      <c r="H3" s="29" t="s">
        <v>324</v>
      </c>
      <c r="I3" s="29" t="s">
        <v>325</v>
      </c>
      <c r="J3" s="29" t="s">
        <v>326</v>
      </c>
      <c r="K3" s="29" t="s">
        <v>327</v>
      </c>
      <c r="L3" s="29" t="s">
        <v>151</v>
      </c>
      <c r="M3" s="29" t="s">
        <v>152</v>
      </c>
      <c r="N3" s="28" t="s">
        <v>153</v>
      </c>
    </row>
    <row r="4" spans="1:14" ht="20" customHeight="1" x14ac:dyDescent="0.4">
      <c r="A4" s="7" t="s">
        <v>328</v>
      </c>
      <c r="B4" s="8" t="s">
        <v>329</v>
      </c>
      <c r="C4" s="8" t="s">
        <v>330</v>
      </c>
      <c r="D4" s="12">
        <v>0</v>
      </c>
      <c r="E4" s="12">
        <v>87500</v>
      </c>
      <c r="F4" s="8" t="s">
        <v>331</v>
      </c>
      <c r="G4" s="19">
        <v>46112.989699074067</v>
      </c>
      <c r="H4" s="13" t="str">
        <f t="shared" ref="H4:H15" si="0">IF(OR(ISBLANK(G4), G4=""), "", TEXT(G4, "dddd"))</f>
        <v>Tuesday</v>
      </c>
      <c r="I4" s="13" t="str">
        <f t="shared" ref="I4:I15" si="1">IF(OR(ISBLANK(G4), G4=""), "", TEXT(G4, "hh:mm:ss"))</f>
        <v>23:45:10</v>
      </c>
      <c r="J4" s="13" t="str">
        <f t="shared" ref="J4:J15" si="2">IF(OR(ISBLANK(G4), G4=""), "NO", IF(WEEKDAY(G4, 2)&gt;5, "YES", "NO"))</f>
        <v>NO</v>
      </c>
      <c r="K4" s="13" t="str">
        <f t="shared" ref="K4:K15" si="3">IF(OR(ISBLANK(G4), G4=""), "NO", IF(OR(MOD(G4, 1)&lt;TIME(7,0,0), MOD(G4, 1)&gt;TIME(19,0,0)), "YES", "NO"))</f>
        <v>YES</v>
      </c>
      <c r="L4" s="15" t="str">
        <f t="shared" ref="L4:L15" si="4">IF(OR(ISBLANK(G4), G4=""), "OK", IF(OR(WEEKDAY(G4, 2)&gt;5, MOD(G4, 1)&lt;TIME(7,0,0), MOD(G4, 1)&gt;TIME(19,0,0)), "FLAG: OFF-HOURS ENTRY", "OK"))</f>
        <v>FLAG: OFF-HOURS ENTRY</v>
      </c>
      <c r="M4" s="16">
        <f t="shared" ref="M4:M15" si="5">IF(L4="FLAG: OFF-HOURS ENTRY", MAX(IFERROR(VALUE(D4), 0), IFERROR(VALUE(E4), 0)), 0)</f>
        <v>87500</v>
      </c>
      <c r="N4" s="54" t="s">
        <v>332</v>
      </c>
    </row>
    <row r="5" spans="1:14" ht="20" customHeight="1" x14ac:dyDescent="0.4">
      <c r="A5" s="7" t="s">
        <v>333</v>
      </c>
      <c r="B5" s="8" t="s">
        <v>334</v>
      </c>
      <c r="C5" s="8" t="s">
        <v>335</v>
      </c>
      <c r="D5" s="12">
        <v>45000</v>
      </c>
      <c r="E5" s="12">
        <v>0</v>
      </c>
      <c r="F5" s="8" t="s">
        <v>336</v>
      </c>
      <c r="G5" s="19">
        <v>46110.594004629631</v>
      </c>
      <c r="H5" s="13" t="str">
        <f t="shared" si="0"/>
        <v>Sunday</v>
      </c>
      <c r="I5" s="13" t="str">
        <f t="shared" si="1"/>
        <v>14:15:22</v>
      </c>
      <c r="J5" s="13" t="str">
        <f t="shared" si="2"/>
        <v>YES</v>
      </c>
      <c r="K5" s="13" t="str">
        <f t="shared" si="3"/>
        <v>NO</v>
      </c>
      <c r="L5" s="15" t="str">
        <f t="shared" si="4"/>
        <v>FLAG: OFF-HOURS ENTRY</v>
      </c>
      <c r="M5" s="16">
        <f t="shared" si="5"/>
        <v>45000</v>
      </c>
      <c r="N5" s="54" t="s">
        <v>337</v>
      </c>
    </row>
    <row r="6" spans="1:14" ht="20" customHeight="1" x14ac:dyDescent="0.4">
      <c r="A6" s="7" t="s">
        <v>338</v>
      </c>
      <c r="B6" s="8" t="s">
        <v>339</v>
      </c>
      <c r="C6" s="8" t="s">
        <v>340</v>
      </c>
      <c r="D6" s="12">
        <v>62000</v>
      </c>
      <c r="E6" s="12">
        <v>0</v>
      </c>
      <c r="F6" s="8" t="s">
        <v>341</v>
      </c>
      <c r="G6" s="19">
        <v>46107.187673611108</v>
      </c>
      <c r="H6" s="13" t="str">
        <f t="shared" si="0"/>
        <v>Thursday</v>
      </c>
      <c r="I6" s="13" t="str">
        <f t="shared" si="1"/>
        <v>04:30:15</v>
      </c>
      <c r="J6" s="13" t="str">
        <f t="shared" si="2"/>
        <v>NO</v>
      </c>
      <c r="K6" s="13" t="str">
        <f t="shared" si="3"/>
        <v>YES</v>
      </c>
      <c r="L6" s="15" t="str">
        <f t="shared" si="4"/>
        <v>FLAG: OFF-HOURS ENTRY</v>
      </c>
      <c r="M6" s="16">
        <f t="shared" si="5"/>
        <v>62000</v>
      </c>
      <c r="N6" s="54" t="s">
        <v>342</v>
      </c>
    </row>
    <row r="7" spans="1:14" ht="20" customHeight="1" x14ac:dyDescent="0.4">
      <c r="A7" s="7" t="s">
        <v>343</v>
      </c>
      <c r="B7" s="8" t="s">
        <v>344</v>
      </c>
      <c r="C7" s="8" t="s">
        <v>345</v>
      </c>
      <c r="D7" s="12">
        <v>0</v>
      </c>
      <c r="E7" s="12">
        <v>53000</v>
      </c>
      <c r="F7" s="8" t="s">
        <v>331</v>
      </c>
      <c r="G7" s="19">
        <v>46109.431076388893</v>
      </c>
      <c r="H7" s="13" t="str">
        <f t="shared" si="0"/>
        <v>Saturday</v>
      </c>
      <c r="I7" s="13" t="str">
        <f t="shared" si="1"/>
        <v>10:20:45</v>
      </c>
      <c r="J7" s="13" t="str">
        <f t="shared" si="2"/>
        <v>YES</v>
      </c>
      <c r="K7" s="13" t="str">
        <f t="shared" si="3"/>
        <v>NO</v>
      </c>
      <c r="L7" s="15" t="str">
        <f t="shared" si="4"/>
        <v>FLAG: OFF-HOURS ENTRY</v>
      </c>
      <c r="M7" s="16">
        <f t="shared" si="5"/>
        <v>53000</v>
      </c>
      <c r="N7" s="54" t="s">
        <v>346</v>
      </c>
    </row>
    <row r="8" spans="1:14" ht="20" customHeight="1" x14ac:dyDescent="0.4">
      <c r="A8" s="7" t="s">
        <v>347</v>
      </c>
      <c r="B8" s="8" t="s">
        <v>348</v>
      </c>
      <c r="C8" s="8" t="s">
        <v>349</v>
      </c>
      <c r="D8" s="12">
        <v>35000</v>
      </c>
      <c r="E8" s="12">
        <v>0</v>
      </c>
      <c r="F8" s="8" t="s">
        <v>336</v>
      </c>
      <c r="G8" s="19">
        <v>46112.881944444453</v>
      </c>
      <c r="H8" s="13" t="str">
        <f t="shared" si="0"/>
        <v>Tuesday</v>
      </c>
      <c r="I8" s="13" t="str">
        <f t="shared" si="1"/>
        <v>21:10:00</v>
      </c>
      <c r="J8" s="13" t="str">
        <f t="shared" si="2"/>
        <v>NO</v>
      </c>
      <c r="K8" s="13" t="str">
        <f t="shared" si="3"/>
        <v>YES</v>
      </c>
      <c r="L8" s="15" t="str">
        <f t="shared" si="4"/>
        <v>FLAG: OFF-HOURS ENTRY</v>
      </c>
      <c r="M8" s="16">
        <f t="shared" si="5"/>
        <v>35000</v>
      </c>
      <c r="N8" s="54" t="s">
        <v>350</v>
      </c>
    </row>
    <row r="9" spans="1:14" ht="20" customHeight="1" x14ac:dyDescent="0.4">
      <c r="A9" s="7" t="s">
        <v>351</v>
      </c>
      <c r="B9" s="8" t="s">
        <v>352</v>
      </c>
      <c r="C9" s="8" t="s">
        <v>353</v>
      </c>
      <c r="D9" s="12">
        <v>124500</v>
      </c>
      <c r="E9" s="12">
        <v>0</v>
      </c>
      <c r="F9" s="8" t="s">
        <v>354</v>
      </c>
      <c r="G9" s="19">
        <v>46106.4375</v>
      </c>
      <c r="H9" s="13" t="str">
        <f t="shared" si="0"/>
        <v>Wednesday</v>
      </c>
      <c r="I9" s="13" t="str">
        <f t="shared" si="1"/>
        <v>10:30:00</v>
      </c>
      <c r="J9" s="13" t="str">
        <f t="shared" si="2"/>
        <v>NO</v>
      </c>
      <c r="K9" s="13" t="str">
        <f t="shared" si="3"/>
        <v>NO</v>
      </c>
      <c r="L9" s="15" t="str">
        <f t="shared" si="4"/>
        <v>OK</v>
      </c>
      <c r="M9" s="16">
        <f t="shared" si="5"/>
        <v>0</v>
      </c>
      <c r="N9" s="54" t="s">
        <v>355</v>
      </c>
    </row>
    <row r="10" spans="1:14" ht="20" customHeight="1" x14ac:dyDescent="0.4">
      <c r="A10" s="7" t="s">
        <v>356</v>
      </c>
      <c r="B10" s="8" t="s">
        <v>357</v>
      </c>
      <c r="C10" s="8" t="s">
        <v>358</v>
      </c>
      <c r="D10" s="12">
        <v>0</v>
      </c>
      <c r="E10" s="12">
        <v>124500</v>
      </c>
      <c r="F10" s="8" t="s">
        <v>354</v>
      </c>
      <c r="G10" s="19">
        <v>46106.4375</v>
      </c>
      <c r="H10" s="13" t="str">
        <f t="shared" si="0"/>
        <v>Wednesday</v>
      </c>
      <c r="I10" s="13" t="str">
        <f t="shared" si="1"/>
        <v>10:30:00</v>
      </c>
      <c r="J10" s="13" t="str">
        <f t="shared" si="2"/>
        <v>NO</v>
      </c>
      <c r="K10" s="13" t="str">
        <f t="shared" si="3"/>
        <v>NO</v>
      </c>
      <c r="L10" s="15" t="str">
        <f t="shared" si="4"/>
        <v>OK</v>
      </c>
      <c r="M10" s="16">
        <f t="shared" si="5"/>
        <v>0</v>
      </c>
      <c r="N10" s="54" t="s">
        <v>359</v>
      </c>
    </row>
    <row r="11" spans="1:14" ht="20" customHeight="1" x14ac:dyDescent="0.4">
      <c r="A11" s="7" t="s">
        <v>360</v>
      </c>
      <c r="B11" s="8" t="s">
        <v>361</v>
      </c>
      <c r="C11" s="8" t="s">
        <v>362</v>
      </c>
      <c r="D11" s="12">
        <v>14200</v>
      </c>
      <c r="E11" s="12">
        <v>0</v>
      </c>
      <c r="F11" s="8" t="s">
        <v>331</v>
      </c>
      <c r="G11" s="19">
        <v>46107.597222222219</v>
      </c>
      <c r="H11" s="13" t="str">
        <f t="shared" si="0"/>
        <v>Thursday</v>
      </c>
      <c r="I11" s="13" t="str">
        <f t="shared" si="1"/>
        <v>14:20:00</v>
      </c>
      <c r="J11" s="13" t="str">
        <f t="shared" si="2"/>
        <v>NO</v>
      </c>
      <c r="K11" s="13" t="str">
        <f t="shared" si="3"/>
        <v>NO</v>
      </c>
      <c r="L11" s="15" t="str">
        <f t="shared" si="4"/>
        <v>OK</v>
      </c>
      <c r="M11" s="16">
        <f t="shared" si="5"/>
        <v>0</v>
      </c>
      <c r="N11" s="8" t="s">
        <v>363</v>
      </c>
    </row>
    <row r="12" spans="1:14" ht="20" customHeight="1" x14ac:dyDescent="0.4">
      <c r="A12" s="7" t="s">
        <v>364</v>
      </c>
      <c r="B12" s="8" t="s">
        <v>365</v>
      </c>
      <c r="C12" s="8" t="s">
        <v>366</v>
      </c>
      <c r="D12" s="12">
        <v>0</v>
      </c>
      <c r="E12" s="12">
        <v>14200</v>
      </c>
      <c r="F12" s="8" t="s">
        <v>331</v>
      </c>
      <c r="G12" s="19">
        <v>46107.597222222219</v>
      </c>
      <c r="H12" s="13" t="str">
        <f t="shared" si="0"/>
        <v>Thursday</v>
      </c>
      <c r="I12" s="13" t="str">
        <f t="shared" si="1"/>
        <v>14:20:00</v>
      </c>
      <c r="J12" s="13" t="str">
        <f t="shared" si="2"/>
        <v>NO</v>
      </c>
      <c r="K12" s="13" t="str">
        <f t="shared" si="3"/>
        <v>NO</v>
      </c>
      <c r="L12" s="15" t="str">
        <f t="shared" si="4"/>
        <v>OK</v>
      </c>
      <c r="M12" s="16">
        <f t="shared" si="5"/>
        <v>0</v>
      </c>
      <c r="N12" s="8" t="s">
        <v>367</v>
      </c>
    </row>
    <row r="13" spans="1:14" ht="20" customHeight="1" x14ac:dyDescent="0.4">
      <c r="A13" s="7" t="s">
        <v>368</v>
      </c>
      <c r="B13" s="8" t="s">
        <v>369</v>
      </c>
      <c r="C13" s="8" t="s">
        <v>370</v>
      </c>
      <c r="D13" s="12">
        <v>8950</v>
      </c>
      <c r="E13" s="12">
        <v>0</v>
      </c>
      <c r="F13" s="8" t="s">
        <v>336</v>
      </c>
      <c r="G13" s="19">
        <v>46108.697916666657</v>
      </c>
      <c r="H13" s="13" t="str">
        <f t="shared" si="0"/>
        <v>Friday</v>
      </c>
      <c r="I13" s="13" t="str">
        <f t="shared" si="1"/>
        <v>16:45:00</v>
      </c>
      <c r="J13" s="13" t="str">
        <f t="shared" si="2"/>
        <v>NO</v>
      </c>
      <c r="K13" s="13" t="str">
        <f t="shared" si="3"/>
        <v>NO</v>
      </c>
      <c r="L13" s="15" t="str">
        <f t="shared" si="4"/>
        <v>OK</v>
      </c>
      <c r="M13" s="16">
        <f t="shared" si="5"/>
        <v>0</v>
      </c>
      <c r="N13" s="8" t="s">
        <v>371</v>
      </c>
    </row>
    <row r="14" spans="1:14" ht="20" customHeight="1" x14ac:dyDescent="0.4">
      <c r="A14" s="7" t="s">
        <v>372</v>
      </c>
      <c r="B14" s="8" t="s">
        <v>373</v>
      </c>
      <c r="C14" s="8" t="s">
        <v>374</v>
      </c>
      <c r="D14" s="12">
        <v>95000</v>
      </c>
      <c r="E14" s="12">
        <v>0</v>
      </c>
      <c r="F14" s="8" t="s">
        <v>354</v>
      </c>
      <c r="G14" s="19">
        <v>46111.46875</v>
      </c>
      <c r="H14" s="13" t="str">
        <f t="shared" si="0"/>
        <v>Monday</v>
      </c>
      <c r="I14" s="13" t="str">
        <f t="shared" si="1"/>
        <v>11:15:00</v>
      </c>
      <c r="J14" s="13" t="str">
        <f t="shared" si="2"/>
        <v>NO</v>
      </c>
      <c r="K14" s="13" t="str">
        <f t="shared" si="3"/>
        <v>NO</v>
      </c>
      <c r="L14" s="15" t="str">
        <f t="shared" si="4"/>
        <v>OK</v>
      </c>
      <c r="M14" s="16">
        <f t="shared" si="5"/>
        <v>0</v>
      </c>
      <c r="N14" s="8" t="s">
        <v>375</v>
      </c>
    </row>
    <row r="15" spans="1:14" ht="20" customHeight="1" x14ac:dyDescent="0.4">
      <c r="A15" s="30" t="s">
        <v>376</v>
      </c>
      <c r="B15" s="32" t="s">
        <v>377</v>
      </c>
      <c r="C15" s="32" t="s">
        <v>378</v>
      </c>
      <c r="D15" s="33">
        <v>0</v>
      </c>
      <c r="E15" s="33">
        <v>95000</v>
      </c>
      <c r="F15" s="32" t="s">
        <v>354</v>
      </c>
      <c r="G15" s="39">
        <v>46111.46875</v>
      </c>
      <c r="H15" s="34" t="str">
        <f t="shared" si="0"/>
        <v>Monday</v>
      </c>
      <c r="I15" s="34" t="str">
        <f t="shared" si="1"/>
        <v>11:15:00</v>
      </c>
      <c r="J15" s="34" t="str">
        <f t="shared" si="2"/>
        <v>NO</v>
      </c>
      <c r="K15" s="34" t="str">
        <f t="shared" si="3"/>
        <v>NO</v>
      </c>
      <c r="L15" s="36" t="str">
        <f t="shared" si="4"/>
        <v>OK</v>
      </c>
      <c r="M15" s="37">
        <f t="shared" si="5"/>
        <v>0</v>
      </c>
      <c r="N15" s="32" t="s">
        <v>379</v>
      </c>
    </row>
    <row r="16" spans="1:14" ht="15" customHeight="1" x14ac:dyDescent="0.4">
      <c r="A16" s="30" t="s">
        <v>220</v>
      </c>
      <c r="B16" s="32"/>
      <c r="C16" s="32" t="s">
        <v>221</v>
      </c>
      <c r="D16" s="33">
        <f>SUBTOTAL(109,Table_Off_Hours_GL[Debit_Amount])</f>
        <v>384650</v>
      </c>
      <c r="E16" s="33">
        <f>SUBTOTAL(109,Table_Off_Hours_GL[Credit_Amount])</f>
        <v>374200</v>
      </c>
      <c r="F16" s="32"/>
      <c r="G16" s="32"/>
      <c r="H16" s="34"/>
      <c r="I16" s="34"/>
      <c r="J16" s="34"/>
      <c r="K16" s="34"/>
      <c r="L16" s="36"/>
      <c r="M16" s="37">
        <f>SUBTOTAL(109,Table_Off_Hours_GL[Financial_Exposure])</f>
        <v>282500</v>
      </c>
      <c r="N16" s="32">
        <f>SUBTOTAL(103,Table_Off_Hours_GL[Audit_Workpaper_Notes])</f>
        <v>12</v>
      </c>
    </row>
  </sheetData>
  <mergeCells count="2">
    <mergeCell ref="A2:N2"/>
    <mergeCell ref="A1:N1"/>
  </mergeCells>
  <conditionalFormatting sqref="L4:L15">
    <cfRule type="expression" dxfId="1" priority="1" stopIfTrue="1">
      <formula>LEFT(L4, 4)="FLAG"</formula>
    </cfRule>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6"/>
  <sheetViews>
    <sheetView workbookViewId="0"/>
  </sheetViews>
  <sheetFormatPr defaultRowHeight="14.5" x14ac:dyDescent="0.35"/>
  <cols>
    <col min="1" max="1" width="13.7265625" bestFit="1" customWidth="1"/>
    <col min="2" max="2" width="22.08984375" bestFit="1" customWidth="1"/>
    <col min="3" max="3" width="20.54296875" bestFit="1" customWidth="1"/>
    <col min="4" max="4" width="18.6328125" bestFit="1" customWidth="1"/>
    <col min="5" max="5" width="37" bestFit="1" customWidth="1"/>
    <col min="6" max="6" width="14.36328125" bestFit="1" customWidth="1"/>
    <col min="7" max="8" width="19.6328125" bestFit="1" customWidth="1"/>
    <col min="9" max="9" width="18.26953125" bestFit="1" customWidth="1"/>
    <col min="10" max="10" width="26.08984375" bestFit="1" customWidth="1"/>
    <col min="11" max="11" width="20.81640625" bestFit="1" customWidth="1"/>
    <col min="12" max="12" width="78.81640625" bestFit="1" customWidth="1"/>
  </cols>
  <sheetData>
    <row r="1" spans="1:12" ht="26" customHeight="1" x14ac:dyDescent="0.35">
      <c r="A1" s="70" t="s">
        <v>380</v>
      </c>
      <c r="B1" s="56"/>
      <c r="C1" s="56"/>
      <c r="D1" s="56"/>
      <c r="E1" s="56"/>
      <c r="F1" s="56"/>
      <c r="G1" s="56"/>
      <c r="H1" s="56"/>
      <c r="I1" s="56"/>
      <c r="J1" s="56"/>
      <c r="K1" s="56"/>
      <c r="L1" s="56"/>
    </row>
    <row r="2" spans="1:12" ht="18" customHeight="1" x14ac:dyDescent="0.35">
      <c r="A2" s="69" t="s">
        <v>381</v>
      </c>
      <c r="B2" s="56"/>
      <c r="C2" s="56"/>
      <c r="D2" s="56"/>
      <c r="E2" s="56"/>
      <c r="F2" s="56"/>
      <c r="G2" s="56"/>
      <c r="H2" s="56"/>
      <c r="I2" s="56"/>
      <c r="J2" s="56"/>
      <c r="K2" s="56"/>
      <c r="L2" s="56"/>
    </row>
    <row r="3" spans="1:12" ht="24" customHeight="1" thickBot="1" x14ac:dyDescent="0.4">
      <c r="A3" s="28" t="s">
        <v>382</v>
      </c>
      <c r="B3" s="28" t="s">
        <v>70</v>
      </c>
      <c r="C3" s="28" t="s">
        <v>87</v>
      </c>
      <c r="D3" s="28" t="s">
        <v>78</v>
      </c>
      <c r="E3" s="28" t="s">
        <v>89</v>
      </c>
      <c r="F3" s="28" t="s">
        <v>91</v>
      </c>
      <c r="G3" s="29" t="s">
        <v>383</v>
      </c>
      <c r="H3" s="29" t="s">
        <v>384</v>
      </c>
      <c r="I3" s="29" t="s">
        <v>385</v>
      </c>
      <c r="J3" s="29" t="s">
        <v>151</v>
      </c>
      <c r="K3" s="29" t="s">
        <v>152</v>
      </c>
      <c r="L3" s="28" t="s">
        <v>153</v>
      </c>
    </row>
    <row r="4" spans="1:12" ht="20" customHeight="1" x14ac:dyDescent="0.4">
      <c r="A4" s="7" t="s">
        <v>386</v>
      </c>
      <c r="B4" s="8" t="s">
        <v>387</v>
      </c>
      <c r="C4" s="8" t="s">
        <v>388</v>
      </c>
      <c r="D4" s="12">
        <v>25000</v>
      </c>
      <c r="E4" s="8" t="s">
        <v>389</v>
      </c>
      <c r="F4" s="8" t="s">
        <v>390</v>
      </c>
      <c r="G4" s="13" t="str">
        <f t="shared" ref="G4:G15" si="0">IF(AND(ISNUMBER(D4), D4&gt;0), IF(MOD(D4, 1000)=0, "YES", "NO"), "NO")</f>
        <v>YES</v>
      </c>
      <c r="H4" s="13" t="str">
        <f t="shared" ref="H4:H15" si="1">IF(AND(ISNUMBER(D4), D4&gt;0), IF(MOD(D4, 2500)=0, "YES", "NO"), "NO")</f>
        <v>YES</v>
      </c>
      <c r="I4" s="13" t="str">
        <f t="shared" ref="I4:I15" si="2">IF(OR(ISNUMBER(SEARCH("consult", C4)), ISNUMBER(SEARCH("legal", C4)), ISNUMBER(SEARCH("advisory", C4)), ISNUMBER(SEARCH("marketing", C4)), ISNUMBER(SEARCH("professional", C4))), "YES", "NO")</f>
        <v>YES</v>
      </c>
      <c r="J4" s="15" t="str">
        <f t="shared" ref="J4:J15" si="3">IF(AND(ISNUMBER(D4), D4&gt;=5000, OR(G4="YES", H4="YES"), I4="YES"), "FLAG: SUSPICIOUS ROUND SUM", "OK")</f>
        <v>FLAG: SUSPICIOUS ROUND SUM</v>
      </c>
      <c r="K4" s="16">
        <f t="shared" ref="K4:K15" si="4">IF(J4="FLAG: SUSPICIOUS ROUND SUM", D4, 0)</f>
        <v>25000</v>
      </c>
      <c r="L4" s="54" t="s">
        <v>391</v>
      </c>
    </row>
    <row r="5" spans="1:12" ht="20" customHeight="1" x14ac:dyDescent="0.4">
      <c r="A5" s="7" t="s">
        <v>392</v>
      </c>
      <c r="B5" s="8" t="s">
        <v>393</v>
      </c>
      <c r="C5" s="8" t="s">
        <v>394</v>
      </c>
      <c r="D5" s="12">
        <v>17500</v>
      </c>
      <c r="E5" s="8" t="s">
        <v>395</v>
      </c>
      <c r="F5" s="8" t="s">
        <v>396</v>
      </c>
      <c r="G5" s="13" t="str">
        <f t="shared" si="0"/>
        <v>NO</v>
      </c>
      <c r="H5" s="13" t="str">
        <f t="shared" si="1"/>
        <v>YES</v>
      </c>
      <c r="I5" s="13" t="str">
        <f t="shared" si="2"/>
        <v>YES</v>
      </c>
      <c r="J5" s="15" t="str">
        <f t="shared" si="3"/>
        <v>FLAG: SUSPICIOUS ROUND SUM</v>
      </c>
      <c r="K5" s="16">
        <f t="shared" si="4"/>
        <v>17500</v>
      </c>
      <c r="L5" s="54" t="s">
        <v>397</v>
      </c>
    </row>
    <row r="6" spans="1:12" ht="20" customHeight="1" x14ac:dyDescent="0.4">
      <c r="A6" s="7" t="s">
        <v>398</v>
      </c>
      <c r="B6" s="8" t="s">
        <v>399</v>
      </c>
      <c r="C6" s="8" t="s">
        <v>400</v>
      </c>
      <c r="D6" s="12">
        <v>10000</v>
      </c>
      <c r="E6" s="8" t="s">
        <v>401</v>
      </c>
      <c r="F6" s="8" t="s">
        <v>402</v>
      </c>
      <c r="G6" s="13" t="str">
        <f t="shared" si="0"/>
        <v>YES</v>
      </c>
      <c r="H6" s="13" t="str">
        <f t="shared" si="1"/>
        <v>YES</v>
      </c>
      <c r="I6" s="13" t="str">
        <f t="shared" si="2"/>
        <v>YES</v>
      </c>
      <c r="J6" s="15" t="str">
        <f t="shared" si="3"/>
        <v>FLAG: SUSPICIOUS ROUND SUM</v>
      </c>
      <c r="K6" s="16">
        <f t="shared" si="4"/>
        <v>10000</v>
      </c>
      <c r="L6" s="54" t="s">
        <v>403</v>
      </c>
    </row>
    <row r="7" spans="1:12" ht="20" customHeight="1" x14ac:dyDescent="0.4">
      <c r="A7" s="7" t="s">
        <v>404</v>
      </c>
      <c r="B7" s="8" t="s">
        <v>405</v>
      </c>
      <c r="C7" s="8" t="s">
        <v>406</v>
      </c>
      <c r="D7" s="12">
        <v>45000</v>
      </c>
      <c r="E7" s="8" t="s">
        <v>407</v>
      </c>
      <c r="F7" s="8" t="s">
        <v>408</v>
      </c>
      <c r="G7" s="13" t="str">
        <f t="shared" si="0"/>
        <v>YES</v>
      </c>
      <c r="H7" s="13" t="str">
        <f t="shared" si="1"/>
        <v>YES</v>
      </c>
      <c r="I7" s="13" t="str">
        <f t="shared" si="2"/>
        <v>YES</v>
      </c>
      <c r="J7" s="15" t="str">
        <f t="shared" si="3"/>
        <v>FLAG: SUSPICIOUS ROUND SUM</v>
      </c>
      <c r="K7" s="16">
        <f t="shared" si="4"/>
        <v>45000</v>
      </c>
      <c r="L7" s="54" t="s">
        <v>409</v>
      </c>
    </row>
    <row r="8" spans="1:12" ht="20" customHeight="1" x14ac:dyDescent="0.4">
      <c r="A8" s="7" t="s">
        <v>410</v>
      </c>
      <c r="B8" s="8" t="s">
        <v>411</v>
      </c>
      <c r="C8" s="8" t="s">
        <v>412</v>
      </c>
      <c r="D8" s="12">
        <v>12000</v>
      </c>
      <c r="E8" s="8" t="s">
        <v>413</v>
      </c>
      <c r="F8" s="8" t="s">
        <v>414</v>
      </c>
      <c r="G8" s="13" t="str">
        <f t="shared" si="0"/>
        <v>YES</v>
      </c>
      <c r="H8" s="13" t="str">
        <f t="shared" si="1"/>
        <v>NO</v>
      </c>
      <c r="I8" s="13" t="str">
        <f t="shared" si="2"/>
        <v>YES</v>
      </c>
      <c r="J8" s="15" t="str">
        <f t="shared" si="3"/>
        <v>FLAG: SUSPICIOUS ROUND SUM</v>
      </c>
      <c r="K8" s="16">
        <f t="shared" si="4"/>
        <v>12000</v>
      </c>
      <c r="L8" s="54" t="s">
        <v>415</v>
      </c>
    </row>
    <row r="9" spans="1:12" ht="20" customHeight="1" x14ac:dyDescent="0.4">
      <c r="A9" s="7" t="s">
        <v>416</v>
      </c>
      <c r="B9" s="8" t="s">
        <v>417</v>
      </c>
      <c r="C9" s="8" t="s">
        <v>418</v>
      </c>
      <c r="D9" s="12">
        <v>25000</v>
      </c>
      <c r="E9" s="8" t="s">
        <v>419</v>
      </c>
      <c r="F9" s="8" t="s">
        <v>420</v>
      </c>
      <c r="G9" s="13" t="str">
        <f t="shared" si="0"/>
        <v>YES</v>
      </c>
      <c r="H9" s="13" t="str">
        <f t="shared" si="1"/>
        <v>YES</v>
      </c>
      <c r="I9" s="13" t="str">
        <f t="shared" si="2"/>
        <v>NO</v>
      </c>
      <c r="J9" s="15" t="str">
        <f t="shared" si="3"/>
        <v>OK</v>
      </c>
      <c r="K9" s="16">
        <f t="shared" si="4"/>
        <v>0</v>
      </c>
      <c r="L9" s="54" t="s">
        <v>421</v>
      </c>
    </row>
    <row r="10" spans="1:12" ht="20" customHeight="1" x14ac:dyDescent="0.4">
      <c r="A10" s="7" t="s">
        <v>422</v>
      </c>
      <c r="B10" s="8" t="s">
        <v>423</v>
      </c>
      <c r="C10" s="8" t="s">
        <v>424</v>
      </c>
      <c r="D10" s="12">
        <v>10000</v>
      </c>
      <c r="E10" s="8" t="s">
        <v>425</v>
      </c>
      <c r="F10" s="8" t="s">
        <v>426</v>
      </c>
      <c r="G10" s="13" t="str">
        <f t="shared" si="0"/>
        <v>YES</v>
      </c>
      <c r="H10" s="13" t="str">
        <f t="shared" si="1"/>
        <v>YES</v>
      </c>
      <c r="I10" s="13" t="str">
        <f t="shared" si="2"/>
        <v>NO</v>
      </c>
      <c r="J10" s="15" t="str">
        <f t="shared" si="3"/>
        <v>OK</v>
      </c>
      <c r="K10" s="16">
        <f t="shared" si="4"/>
        <v>0</v>
      </c>
      <c r="L10" s="54" t="s">
        <v>427</v>
      </c>
    </row>
    <row r="11" spans="1:12" ht="20" customHeight="1" x14ac:dyDescent="0.4">
      <c r="A11" s="7" t="s">
        <v>428</v>
      </c>
      <c r="B11" s="8" t="s">
        <v>429</v>
      </c>
      <c r="C11" s="8" t="s">
        <v>388</v>
      </c>
      <c r="D11" s="12">
        <v>38415.75</v>
      </c>
      <c r="E11" s="8" t="s">
        <v>430</v>
      </c>
      <c r="F11" s="8" t="s">
        <v>431</v>
      </c>
      <c r="G11" s="13" t="str">
        <f t="shared" si="0"/>
        <v>NO</v>
      </c>
      <c r="H11" s="13" t="str">
        <f t="shared" si="1"/>
        <v>NO</v>
      </c>
      <c r="I11" s="13" t="str">
        <f t="shared" si="2"/>
        <v>YES</v>
      </c>
      <c r="J11" s="15" t="str">
        <f t="shared" si="3"/>
        <v>OK</v>
      </c>
      <c r="K11" s="16">
        <f t="shared" si="4"/>
        <v>0</v>
      </c>
      <c r="L11" s="8" t="s">
        <v>432</v>
      </c>
    </row>
    <row r="12" spans="1:12" ht="20" customHeight="1" x14ac:dyDescent="0.4">
      <c r="A12" s="7" t="s">
        <v>433</v>
      </c>
      <c r="B12" s="8" t="s">
        <v>434</v>
      </c>
      <c r="C12" s="8" t="s">
        <v>394</v>
      </c>
      <c r="D12" s="12">
        <v>9420.5</v>
      </c>
      <c r="E12" s="8" t="s">
        <v>435</v>
      </c>
      <c r="F12" s="8" t="s">
        <v>396</v>
      </c>
      <c r="G12" s="13" t="str">
        <f t="shared" si="0"/>
        <v>NO</v>
      </c>
      <c r="H12" s="13" t="str">
        <f t="shared" si="1"/>
        <v>NO</v>
      </c>
      <c r="I12" s="13" t="str">
        <f t="shared" si="2"/>
        <v>YES</v>
      </c>
      <c r="J12" s="15" t="str">
        <f t="shared" si="3"/>
        <v>OK</v>
      </c>
      <c r="K12" s="16">
        <f t="shared" si="4"/>
        <v>0</v>
      </c>
      <c r="L12" s="8" t="s">
        <v>436</v>
      </c>
    </row>
    <row r="13" spans="1:12" ht="20" customHeight="1" x14ac:dyDescent="0.4">
      <c r="A13" s="7" t="s">
        <v>437</v>
      </c>
      <c r="B13" s="8" t="s">
        <v>438</v>
      </c>
      <c r="C13" s="8" t="s">
        <v>400</v>
      </c>
      <c r="D13" s="12">
        <v>2500</v>
      </c>
      <c r="E13" s="8" t="s">
        <v>439</v>
      </c>
      <c r="F13" s="8" t="s">
        <v>440</v>
      </c>
      <c r="G13" s="13" t="str">
        <f t="shared" si="0"/>
        <v>NO</v>
      </c>
      <c r="H13" s="13" t="str">
        <f t="shared" si="1"/>
        <v>YES</v>
      </c>
      <c r="I13" s="13" t="str">
        <f t="shared" si="2"/>
        <v>YES</v>
      </c>
      <c r="J13" s="15" t="str">
        <f t="shared" si="3"/>
        <v>OK</v>
      </c>
      <c r="K13" s="16">
        <f t="shared" si="4"/>
        <v>0</v>
      </c>
      <c r="L13" s="8" t="s">
        <v>441</v>
      </c>
    </row>
    <row r="14" spans="1:12" ht="20" customHeight="1" x14ac:dyDescent="0.4">
      <c r="A14" s="7" t="s">
        <v>442</v>
      </c>
      <c r="B14" s="8" t="s">
        <v>443</v>
      </c>
      <c r="C14" s="8" t="s">
        <v>388</v>
      </c>
      <c r="D14" s="12">
        <v>4000</v>
      </c>
      <c r="E14" s="8" t="s">
        <v>444</v>
      </c>
      <c r="F14" s="8" t="s">
        <v>445</v>
      </c>
      <c r="G14" s="13" t="str">
        <f t="shared" si="0"/>
        <v>YES</v>
      </c>
      <c r="H14" s="13" t="str">
        <f t="shared" si="1"/>
        <v>NO</v>
      </c>
      <c r="I14" s="13" t="str">
        <f t="shared" si="2"/>
        <v>YES</v>
      </c>
      <c r="J14" s="15" t="str">
        <f t="shared" si="3"/>
        <v>OK</v>
      </c>
      <c r="K14" s="16">
        <f t="shared" si="4"/>
        <v>0</v>
      </c>
      <c r="L14" s="8" t="s">
        <v>446</v>
      </c>
    </row>
    <row r="15" spans="1:12" ht="20" customHeight="1" x14ac:dyDescent="0.4">
      <c r="A15" s="30" t="s">
        <v>447</v>
      </c>
      <c r="B15" s="32" t="s">
        <v>448</v>
      </c>
      <c r="C15" s="32" t="s">
        <v>449</v>
      </c>
      <c r="D15" s="33">
        <v>15000</v>
      </c>
      <c r="E15" s="32" t="s">
        <v>450</v>
      </c>
      <c r="F15" s="32" t="s">
        <v>451</v>
      </c>
      <c r="G15" s="34" t="str">
        <f t="shared" si="0"/>
        <v>YES</v>
      </c>
      <c r="H15" s="34" t="str">
        <f t="shared" si="1"/>
        <v>YES</v>
      </c>
      <c r="I15" s="34" t="str">
        <f t="shared" si="2"/>
        <v>NO</v>
      </c>
      <c r="J15" s="36" t="str">
        <f t="shared" si="3"/>
        <v>OK</v>
      </c>
      <c r="K15" s="37">
        <f t="shared" si="4"/>
        <v>0</v>
      </c>
      <c r="L15" s="32" t="s">
        <v>452</v>
      </c>
    </row>
    <row r="16" spans="1:12" ht="15" customHeight="1" x14ac:dyDescent="0.4">
      <c r="A16" s="30" t="s">
        <v>220</v>
      </c>
      <c r="B16" s="32"/>
      <c r="C16" s="32" t="s">
        <v>221</v>
      </c>
      <c r="D16" s="33">
        <f>SUBTOTAL(109,Table_Round_Sum_Services[Invoice_Amount])</f>
        <v>213836.25</v>
      </c>
      <c r="E16" s="32"/>
      <c r="F16" s="32"/>
      <c r="G16" s="34"/>
      <c r="H16" s="34"/>
      <c r="I16" s="34"/>
      <c r="J16" s="36"/>
      <c r="K16" s="37">
        <f>SUBTOTAL(109,Table_Round_Sum_Services[Financial_Exposure])</f>
        <v>109500</v>
      </c>
      <c r="L16" s="32">
        <f>SUBTOTAL(103,Table_Round_Sum_Services[Audit_Workpaper_Notes])</f>
        <v>12</v>
      </c>
    </row>
  </sheetData>
  <mergeCells count="2">
    <mergeCell ref="A2:L2"/>
    <mergeCell ref="A1:L1"/>
  </mergeCells>
  <conditionalFormatting sqref="J4:J15">
    <cfRule type="expression" dxfId="0" priority="1" stopIfTrue="1">
      <formula>LEFT(J4, 4)="FLAG"</formula>
    </cfRule>
  </conditionalFormatting>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7"/>
  <sheetViews>
    <sheetView workbookViewId="0"/>
  </sheetViews>
  <sheetFormatPr defaultRowHeight="14.5" x14ac:dyDescent="0.35"/>
  <cols>
    <col min="1" max="1" width="15.36328125" bestFit="1" customWidth="1"/>
    <col min="2" max="2" width="26.7265625" bestFit="1" customWidth="1"/>
    <col min="3" max="3" width="89.1796875" bestFit="1" customWidth="1"/>
    <col min="4" max="4" width="16.81640625" bestFit="1" customWidth="1"/>
    <col min="5" max="5" width="33.36328125" bestFit="1" customWidth="1"/>
    <col min="6" max="6" width="11.36328125" bestFit="1" customWidth="1"/>
    <col min="7" max="7" width="18.81640625" bestFit="1" customWidth="1"/>
    <col min="8" max="8" width="81.26953125" bestFit="1" customWidth="1"/>
  </cols>
  <sheetData>
    <row r="1" spans="1:8" ht="26" customHeight="1" x14ac:dyDescent="0.35">
      <c r="A1" s="57" t="s">
        <v>453</v>
      </c>
      <c r="B1" s="56"/>
      <c r="C1" s="56"/>
      <c r="D1" s="56"/>
      <c r="E1" s="56"/>
      <c r="F1" s="56"/>
      <c r="G1" s="56"/>
      <c r="H1" s="56"/>
    </row>
    <row r="2" spans="1:8" ht="18" customHeight="1" x14ac:dyDescent="0.35">
      <c r="A2" s="55" t="s">
        <v>454</v>
      </c>
      <c r="B2" s="56"/>
      <c r="C2" s="56"/>
      <c r="D2" s="56"/>
      <c r="E2" s="56"/>
      <c r="F2" s="56"/>
      <c r="G2" s="56"/>
      <c r="H2" s="56"/>
    </row>
    <row r="3" spans="1:8" ht="20" customHeight="1" x14ac:dyDescent="0.45">
      <c r="A3" s="67" t="s">
        <v>455</v>
      </c>
      <c r="B3" s="56"/>
      <c r="C3" s="56"/>
      <c r="D3" s="56"/>
      <c r="E3" s="56"/>
      <c r="F3" s="56"/>
      <c r="G3" s="56"/>
      <c r="H3" s="56"/>
    </row>
    <row r="4" spans="1:8" ht="18" customHeight="1" x14ac:dyDescent="0.4">
      <c r="A4" s="20" t="s">
        <v>456</v>
      </c>
      <c r="B4" s="21" t="s">
        <v>457</v>
      </c>
      <c r="D4" s="20" t="s">
        <v>458</v>
      </c>
      <c r="E4" s="21" t="s">
        <v>459</v>
      </c>
    </row>
    <row r="5" spans="1:8" ht="18" customHeight="1" x14ac:dyDescent="0.4">
      <c r="A5" s="20" t="s">
        <v>460</v>
      </c>
      <c r="B5" s="21" t="s">
        <v>461</v>
      </c>
      <c r="D5" s="20" t="s">
        <v>462</v>
      </c>
      <c r="E5" s="21" t="s">
        <v>463</v>
      </c>
    </row>
    <row r="6" spans="1:8" x14ac:dyDescent="0.35">
      <c r="A6" s="40" t="s">
        <v>464</v>
      </c>
      <c r="B6" s="42" t="s">
        <v>465</v>
      </c>
      <c r="D6" s="40" t="s">
        <v>466</v>
      </c>
      <c r="E6" s="41" t="s">
        <v>3</v>
      </c>
      <c r="G6" s="41" t="s">
        <v>4</v>
      </c>
    </row>
    <row r="7" spans="1:8" ht="20" customHeight="1" x14ac:dyDescent="0.35">
      <c r="A7" s="72" t="s">
        <v>467</v>
      </c>
      <c r="B7" s="56"/>
      <c r="C7" s="56"/>
      <c r="D7" s="56"/>
      <c r="E7" s="56"/>
      <c r="F7" s="56"/>
      <c r="G7" s="56"/>
      <c r="H7" s="56"/>
    </row>
    <row r="8" spans="1:8" ht="18" customHeight="1" x14ac:dyDescent="0.35">
      <c r="A8" s="71" t="s">
        <v>468</v>
      </c>
      <c r="B8" s="61"/>
      <c r="C8" s="71" t="s">
        <v>469</v>
      </c>
      <c r="D8" s="61"/>
      <c r="E8" s="71" t="s">
        <v>470</v>
      </c>
      <c r="F8" s="61"/>
      <c r="G8" s="71" t="s">
        <v>471</v>
      </c>
      <c r="H8" s="61"/>
    </row>
    <row r="9" spans="1:8" ht="30" customHeight="1" x14ac:dyDescent="0.35">
      <c r="A9" s="74">
        <f>D18</f>
        <v>61</v>
      </c>
      <c r="B9" s="61"/>
      <c r="C9" s="74">
        <f>E18</f>
        <v>27</v>
      </c>
      <c r="D9" s="61"/>
      <c r="E9" s="75">
        <f>F18</f>
        <v>0.44262295081967212</v>
      </c>
      <c r="F9" s="61"/>
      <c r="G9" s="78">
        <f>G18</f>
        <v>823900</v>
      </c>
      <c r="H9" s="61"/>
    </row>
    <row r="11" spans="1:8" ht="20" customHeight="1" x14ac:dyDescent="0.45">
      <c r="A11" s="67" t="s">
        <v>472</v>
      </c>
      <c r="B11" s="56"/>
      <c r="C11" s="56"/>
      <c r="D11" s="56"/>
      <c r="E11" s="56"/>
      <c r="F11" s="56"/>
      <c r="G11" s="56"/>
      <c r="H11" s="56"/>
    </row>
    <row r="12" spans="1:8" ht="24" customHeight="1" x14ac:dyDescent="0.35">
      <c r="A12" s="1" t="s">
        <v>473</v>
      </c>
      <c r="B12" s="1" t="s">
        <v>474</v>
      </c>
      <c r="C12" s="1" t="s">
        <v>475</v>
      </c>
      <c r="D12" s="1" t="s">
        <v>476</v>
      </c>
      <c r="E12" s="1" t="s">
        <v>477</v>
      </c>
      <c r="F12" s="1" t="s">
        <v>478</v>
      </c>
      <c r="G12" s="1" t="s">
        <v>479</v>
      </c>
      <c r="H12" s="1" t="s">
        <v>480</v>
      </c>
    </row>
    <row r="13" spans="1:8" ht="24" customHeight="1" x14ac:dyDescent="0.4">
      <c r="A13" s="15" t="s">
        <v>481</v>
      </c>
      <c r="B13" s="7" t="s">
        <v>482</v>
      </c>
      <c r="C13" s="8" t="s">
        <v>483</v>
      </c>
      <c r="D13" s="22">
        <f>COUNTA(Table_Split_POs[PO_Number])</f>
        <v>15</v>
      </c>
      <c r="E13" s="22">
        <f>COUNTIF(Table_Split_POs[Audit_Flag], "FLAG*")</f>
        <v>7</v>
      </c>
      <c r="F13" s="23">
        <f t="shared" ref="F13:F18" si="0">E13/D13</f>
        <v>0.46666666666666667</v>
      </c>
      <c r="G13" s="24">
        <f>SUM(Table_Split_POs[Financial_Exposure])</f>
        <v>46600</v>
      </c>
      <c r="H13" s="8" t="s">
        <v>484</v>
      </c>
    </row>
    <row r="14" spans="1:8" ht="24" customHeight="1" x14ac:dyDescent="0.4">
      <c r="A14" s="15" t="s">
        <v>485</v>
      </c>
      <c r="B14" s="7" t="s">
        <v>486</v>
      </c>
      <c r="C14" s="8" t="s">
        <v>487</v>
      </c>
      <c r="D14" s="22">
        <f>COUNTA(Table_Dormant_Vendors[Vendor_ID])</f>
        <v>10</v>
      </c>
      <c r="E14" s="22">
        <f>COUNTIF(Table_Dormant_Vendors[Audit_Flag], "FLAG*")</f>
        <v>4</v>
      </c>
      <c r="F14" s="23">
        <f t="shared" si="0"/>
        <v>0.4</v>
      </c>
      <c r="G14" s="24">
        <f>SUM(Table_Dormant_Vendors[Financial_Exposure])</f>
        <v>339700</v>
      </c>
      <c r="H14" s="8" t="s">
        <v>488</v>
      </c>
    </row>
    <row r="15" spans="1:8" ht="24" customHeight="1" x14ac:dyDescent="0.4">
      <c r="A15" s="15" t="s">
        <v>489</v>
      </c>
      <c r="B15" s="7" t="s">
        <v>490</v>
      </c>
      <c r="C15" s="8" t="s">
        <v>491</v>
      </c>
      <c r="D15" s="22">
        <f>COUNTA(Table_Duplicate_Invoices[Vendor_ID])</f>
        <v>12</v>
      </c>
      <c r="E15" s="22">
        <f>COUNTIF(Table_Duplicate_Invoices[Audit_Flag], "FLAG*")</f>
        <v>6</v>
      </c>
      <c r="F15" s="23">
        <f t="shared" si="0"/>
        <v>0.5</v>
      </c>
      <c r="G15" s="24">
        <f>SUM(Table_Duplicate_Invoices[Cash_Exposure])</f>
        <v>45600</v>
      </c>
      <c r="H15" s="8" t="s">
        <v>492</v>
      </c>
    </row>
    <row r="16" spans="1:8" ht="24" customHeight="1" x14ac:dyDescent="0.4">
      <c r="A16" s="15" t="s">
        <v>493</v>
      </c>
      <c r="B16" s="7" t="s">
        <v>494</v>
      </c>
      <c r="C16" s="8" t="s">
        <v>495</v>
      </c>
      <c r="D16" s="22">
        <f>COUNTA(Table_Off_Hours_GL[Journal_ID])</f>
        <v>12</v>
      </c>
      <c r="E16" s="22">
        <f>COUNTIF(Table_Off_Hours_GL[Audit_Flag], "FLAG*")</f>
        <v>5</v>
      </c>
      <c r="F16" s="23">
        <f t="shared" si="0"/>
        <v>0.41666666666666669</v>
      </c>
      <c r="G16" s="24">
        <f>SUM(Table_Off_Hours_GL[Financial_Exposure])</f>
        <v>282500</v>
      </c>
      <c r="H16" s="8" t="s">
        <v>496</v>
      </c>
    </row>
    <row r="17" spans="1:8" ht="24" customHeight="1" x14ac:dyDescent="0.4">
      <c r="A17" s="15" t="s">
        <v>497</v>
      </c>
      <c r="B17" s="7" t="s">
        <v>498</v>
      </c>
      <c r="C17" s="8" t="s">
        <v>499</v>
      </c>
      <c r="D17" s="22">
        <f>COUNTA(Table_Round_Sum_Services[Invoice_ID])</f>
        <v>12</v>
      </c>
      <c r="E17" s="22">
        <f>COUNTIF(Table_Round_Sum_Services[Audit_Flag], "FLAG*")</f>
        <v>5</v>
      </c>
      <c r="F17" s="23">
        <f t="shared" si="0"/>
        <v>0.41666666666666669</v>
      </c>
      <c r="G17" s="24">
        <f>SUM(Table_Round_Sum_Services[Financial_Exposure])</f>
        <v>109500</v>
      </c>
      <c r="H17" s="8" t="s">
        <v>500</v>
      </c>
    </row>
    <row r="18" spans="1:8" ht="24" customHeight="1" x14ac:dyDescent="0.35">
      <c r="A18" s="17"/>
      <c r="B18" s="17"/>
      <c r="C18" s="18" t="s">
        <v>501</v>
      </c>
      <c r="D18" s="25">
        <f>SUM(D13:D17)</f>
        <v>61</v>
      </c>
      <c r="E18" s="25">
        <f>SUM(E13:E17)</f>
        <v>27</v>
      </c>
      <c r="F18" s="26">
        <f t="shared" si="0"/>
        <v>0.44262295081967212</v>
      </c>
      <c r="G18" s="27">
        <f>SUM(G13:G17)</f>
        <v>823900</v>
      </c>
      <c r="H18" s="17"/>
    </row>
    <row r="20" spans="1:8" ht="20" customHeight="1" x14ac:dyDescent="0.35">
      <c r="A20" s="72" t="s">
        <v>502</v>
      </c>
      <c r="B20" s="56"/>
      <c r="C20" s="56"/>
      <c r="D20" s="56"/>
      <c r="E20" s="56"/>
      <c r="F20" s="56"/>
      <c r="G20" s="56"/>
      <c r="H20" s="56"/>
    </row>
    <row r="21" spans="1:8" ht="22" customHeight="1" x14ac:dyDescent="0.35">
      <c r="A21" s="77" t="s">
        <v>503</v>
      </c>
      <c r="B21" s="56"/>
      <c r="C21" s="56"/>
      <c r="D21" s="56"/>
      <c r="E21" s="56"/>
      <c r="F21" s="56"/>
      <c r="G21" s="56"/>
      <c r="H21" s="56"/>
    </row>
    <row r="22" spans="1:8" ht="55" customHeight="1" x14ac:dyDescent="0.35">
      <c r="A22" s="73" t="s">
        <v>504</v>
      </c>
      <c r="B22" s="56"/>
      <c r="C22" s="56"/>
      <c r="D22" s="56"/>
      <c r="E22" s="56"/>
      <c r="F22" s="56"/>
      <c r="G22" s="56"/>
      <c r="H22" s="56"/>
    </row>
    <row r="23" spans="1:8" ht="28" customHeight="1" x14ac:dyDescent="0.35">
      <c r="A23" s="76" t="s">
        <v>505</v>
      </c>
      <c r="B23" s="56"/>
      <c r="C23" s="56"/>
      <c r="D23" s="56"/>
      <c r="E23" s="56"/>
      <c r="F23" s="56"/>
      <c r="G23" s="56"/>
      <c r="H23" s="56"/>
    </row>
    <row r="24" spans="1:8" x14ac:dyDescent="0.35">
      <c r="A24" s="45" t="s">
        <v>506</v>
      </c>
    </row>
    <row r="25" spans="1:8" ht="50" customHeight="1" x14ac:dyDescent="0.35">
      <c r="A25" s="73" t="s">
        <v>507</v>
      </c>
      <c r="B25" s="56"/>
      <c r="C25" s="56"/>
      <c r="D25" s="56"/>
      <c r="E25" s="56"/>
      <c r="F25" s="56"/>
      <c r="G25" s="56"/>
      <c r="H25" s="56"/>
    </row>
    <row r="26" spans="1:8" ht="28" customHeight="1" x14ac:dyDescent="0.35">
      <c r="A26" s="76"/>
      <c r="B26" s="56"/>
      <c r="C26" s="56"/>
      <c r="D26" s="56"/>
      <c r="E26" s="56"/>
      <c r="F26" s="56"/>
      <c r="G26" s="56"/>
      <c r="H26" s="56"/>
    </row>
    <row r="27" spans="1:8" ht="28" customHeight="1" x14ac:dyDescent="0.35">
      <c r="A27" s="76"/>
      <c r="B27" s="56"/>
      <c r="C27" s="56"/>
      <c r="D27" s="56"/>
      <c r="E27" s="56"/>
      <c r="F27" s="56"/>
      <c r="G27" s="56"/>
      <c r="H27" s="56"/>
    </row>
  </sheetData>
  <mergeCells count="20">
    <mergeCell ref="A25:H25"/>
    <mergeCell ref="C9:D9"/>
    <mergeCell ref="E9:F9"/>
    <mergeCell ref="A27:H27"/>
    <mergeCell ref="A3:H3"/>
    <mergeCell ref="A21:H21"/>
    <mergeCell ref="A26:H26"/>
    <mergeCell ref="A23:H23"/>
    <mergeCell ref="A8:B8"/>
    <mergeCell ref="C8:D8"/>
    <mergeCell ref="A22:H22"/>
    <mergeCell ref="A20:H20"/>
    <mergeCell ref="A9:B9"/>
    <mergeCell ref="G9:H9"/>
    <mergeCell ref="A11:H11"/>
    <mergeCell ref="A1:H1"/>
    <mergeCell ref="G8:H8"/>
    <mergeCell ref="E8:F8"/>
    <mergeCell ref="A7:H7"/>
    <mergeCell ref="A2:H2"/>
  </mergeCells>
  <hyperlinks>
    <hyperlink ref="E6" r:id="rId1" xr:uid="{00000000-0004-0000-0800-000000000000}"/>
    <hyperlink ref="G6" r:id="rId2" xr:uid="{00000000-0004-0000-0800-000001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00_Field_Guide</vt:lpstr>
      <vt:lpstr>01_Field_CheatSheet</vt:lpstr>
      <vt:lpstr>02_IT_Data_Request</vt:lpstr>
      <vt:lpstr>Test1_Split_POs</vt:lpstr>
      <vt:lpstr>Test2_Dormant_Vendors</vt:lpstr>
      <vt:lpstr>Test3_Duplicate_Invoices</vt:lpstr>
      <vt:lpstr>Test4_Off_Hours_GL</vt:lpstr>
      <vt:lpstr>Test5_Round_Sum_Services</vt:lpstr>
      <vt:lpstr>99_Audit_Exceptions_Summary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Majid Mumtaz</cp:lastModifiedBy>
  <dcterms:created xsi:type="dcterms:W3CDTF">2026-10-27T08:34:14Z</dcterms:created>
  <dcterms:modified xsi:type="dcterms:W3CDTF">2026-10-27T11:02:32Z</dcterms:modified>
</cp:coreProperties>
</file>