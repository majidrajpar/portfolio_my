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00_Instructions" sheetId="1" state="visible" r:id="rId1"/>
    <sheet xmlns:r="http://schemas.openxmlformats.org/officeDocument/2006/relationships" name="01_Triage_Rubric" sheetId="2" state="visible" r:id="rId2"/>
    <sheet xmlns:r="http://schemas.openxmlformats.org/officeDocument/2006/relationships" name="02_IT_Data_Request" sheetId="3" state="visible" r:id="rId3"/>
    <sheet xmlns:r="http://schemas.openxmlformats.org/officeDocument/2006/relationships" name="Test1_Split_POs" sheetId="4" state="visible" r:id="rId4"/>
    <sheet xmlns:r="http://schemas.openxmlformats.org/officeDocument/2006/relationships" name="Test2_Dormant_Vendors" sheetId="5" state="visible" r:id="rId5"/>
    <sheet xmlns:r="http://schemas.openxmlformats.org/officeDocument/2006/relationships" name="Test3_Duplicate_Invoices" sheetId="6" state="visible" r:id="rId6"/>
    <sheet xmlns:r="http://schemas.openxmlformats.org/officeDocument/2006/relationships" name="Test4_Off_Hours_GL" sheetId="7" state="visible" r:id="rId7"/>
    <sheet xmlns:r="http://schemas.openxmlformats.org/officeDocument/2006/relationships" name="Test5_Round_Sum_Services" sheetId="8" state="visible" r:id="rId8"/>
    <sheet xmlns:r="http://schemas.openxmlformats.org/officeDocument/2006/relationships" name="99_Summary" sheetId="9" state="visible" r:id="rId9"/>
  </sheets>
  <definedNames/>
  <calcPr calcId="181029" fullCalcOnLoad="1"/>
</workbook>
</file>

<file path=xl/styles.xml><?xml version="1.0" encoding="utf-8"?>
<styleSheet xmlns="http://schemas.openxmlformats.org/spreadsheetml/2006/main">
  <numFmts count="4">
    <numFmt numFmtId="164" formatCode="yyyy\-mm\-dd"/>
    <numFmt numFmtId="165" formatCode="\$#,##0.00"/>
    <numFmt numFmtId="166" formatCode="yyyy\-mm\-dd\ hh:mm:ss"/>
    <numFmt numFmtId="167" formatCode="0.0%"/>
  </numFmts>
  <fonts count="29">
    <font>
      <name val="Calibri"/>
      <family val="2"/>
      <color theme="1"/>
      <sz val="11"/>
      <scheme val="minor"/>
    </font>
    <font>
      <name val="Segoe UI"/>
      <b val="1"/>
      <color rgb="FFFFFFFF"/>
      <sz val="14"/>
    </font>
    <font>
      <name val="Segoe UI"/>
      <i val="1"/>
      <color rgb="FFD9E1F2"/>
      <sz val="9.5"/>
    </font>
    <font>
      <name val="Segoe UI"/>
      <b val="1"/>
      <color rgb="FF1F4E78"/>
      <sz val="11"/>
    </font>
    <font>
      <name val="Segoe UI"/>
      <color rgb="FF1F2937"/>
      <sz val="9"/>
    </font>
    <font>
      <name val="Segoe UI"/>
      <b val="1"/>
      <color rgb="FFFFFFFF"/>
      <sz val="9.5"/>
    </font>
    <font>
      <name val="Segoe UI"/>
      <b val="1"/>
      <color rgb="FF1F2937"/>
      <sz val="9"/>
    </font>
    <font>
      <name val="Segoe UI"/>
      <i val="1"/>
      <color rgb="FF566573"/>
      <sz val="8.5"/>
    </font>
    <font>
      <name val="Segoe UI"/>
      <b val="1"/>
      <color rgb="FF1F4E78"/>
      <sz val="9.5"/>
    </font>
    <font>
      <name val="Segoe UI"/>
      <b val="1"/>
      <color rgb="FF566573"/>
      <sz val="8.5"/>
    </font>
    <font>
      <name val="Segoe UI"/>
      <b val="1"/>
      <color rgb="FF1F4E78"/>
      <sz val="15"/>
    </font>
    <font>
      <name val="Calibri"/>
      <b val="1"/>
      <color rgb="FF002060"/>
      <sz val="10"/>
    </font>
    <font>
      <name val="Calibri"/>
      <b val="1"/>
      <color rgb="FF000000"/>
      <sz val="10"/>
    </font>
    <font>
      <name val="Calibri"/>
      <color rgb="FF0563C1"/>
      <sz val="10"/>
      <u val="single"/>
    </font>
    <font>
      <name val="Calibri"/>
      <b val="1"/>
      <color rgb="FFFFFFFF"/>
      <sz val="14"/>
    </font>
    <font>
      <name val="Calibri"/>
      <i val="1"/>
      <color rgb="FFE2E8F0"/>
      <sz val="10"/>
    </font>
    <font>
      <name val="Calibri"/>
      <b val="1"/>
      <color rgb="FF1B365D"/>
      <sz val="11"/>
    </font>
    <font>
      <name val="Calibri"/>
      <color rgb="FF0F172A"/>
      <sz val="10"/>
    </font>
    <font>
      <name val="Calibri"/>
      <b val="1"/>
      <color rgb="FF0F172A"/>
      <sz val="10"/>
    </font>
    <font>
      <name val="Calibri"/>
      <color rgb="FF0A58CA"/>
      <sz val="10"/>
      <u val="single"/>
    </font>
    <font>
      <name val="Calibri"/>
      <b val="1"/>
      <color rgb="00FFFFFF"/>
      <sz val="13"/>
    </font>
    <font>
      <name val="Calibri"/>
      <i val="1"/>
      <color rgb="00E2E8F0"/>
      <sz val="10"/>
    </font>
    <font>
      <name val="Calibri"/>
      <b val="1"/>
      <color rgb="001B365D"/>
      <sz val="11"/>
    </font>
    <font>
      <name val="Calibri"/>
      <b val="1"/>
      <color rgb="000F172A"/>
      <sz val="10"/>
    </font>
    <font>
      <name val="Calibri"/>
      <color rgb="000A58CA"/>
      <sz val="10"/>
      <u val="single"/>
    </font>
    <font>
      <name val="Calibri"/>
      <color rgb="000F172A"/>
      <sz val="10"/>
    </font>
    <font>
      <name val="Calibri"/>
      <b val="1"/>
      <color rgb="00FFFFFF"/>
      <sz val="10"/>
    </font>
    <font>
      <name val="Calibri"/>
      <b val="1"/>
      <color rgb="001E293B"/>
      <sz val="9"/>
    </font>
    <font>
      <name val="Segoe UI"/>
      <b val="1"/>
      <color rgb="000563C1"/>
      <sz val="9.5"/>
      <u val="single"/>
    </font>
  </fonts>
  <fills count="16">
    <fill>
      <patternFill/>
    </fill>
    <fill>
      <patternFill patternType="gray125"/>
    </fill>
    <fill>
      <patternFill patternType="solid">
        <fgColor rgb="FF1F4E78"/>
        <bgColor rgb="FF1F4E78"/>
      </patternFill>
    </fill>
    <fill>
      <patternFill patternType="solid">
        <fgColor rgb="FFD9E1F2"/>
        <bgColor rgb="FFD9E1F2"/>
      </patternFill>
    </fill>
    <fill>
      <patternFill patternType="solid">
        <fgColor rgb="FFF9FAFB"/>
        <bgColor rgb="FFF9FAFB"/>
      </patternFill>
    </fill>
    <fill>
      <patternFill patternType="solid">
        <fgColor rgb="FFEDF2F8"/>
        <bgColor rgb="FFEDF2F8"/>
      </patternFill>
    </fill>
    <fill>
      <patternFill patternType="solid">
        <fgColor rgb="FF2F5597"/>
        <bgColor rgb="FF2F5597"/>
      </patternFill>
    </fill>
    <fill>
      <patternFill patternType="solid">
        <fgColor rgb="FFF2F4F8"/>
        <bgColor rgb="FFF2F4F8"/>
      </patternFill>
    </fill>
    <fill>
      <patternFill patternType="solid">
        <fgColor rgb="FF1B365D"/>
        <bgColor rgb="FF1B365D"/>
      </patternFill>
    </fill>
    <fill>
      <patternFill patternType="solid">
        <fgColor rgb="FF24416B"/>
        <bgColor rgb="FF24416B"/>
      </patternFill>
    </fill>
    <fill>
      <patternFill patternType="solid">
        <fgColor rgb="FFE2E8F0"/>
        <bgColor rgb="FFE2E8F0"/>
      </patternFill>
    </fill>
    <fill>
      <patternFill patternType="solid">
        <fgColor rgb="001B365D"/>
        <bgColor rgb="001B365D"/>
      </patternFill>
    </fill>
    <fill>
      <patternFill patternType="solid">
        <fgColor rgb="0024416B"/>
        <bgColor rgb="0024416B"/>
      </patternFill>
    </fill>
    <fill>
      <patternFill patternType="solid">
        <fgColor rgb="00EFF6FF"/>
        <bgColor rgb="00EFF6FF"/>
      </patternFill>
    </fill>
    <fill>
      <patternFill patternType="solid">
        <fgColor rgb="00F1F5F9"/>
        <bgColor rgb="00F1F5F9"/>
      </patternFill>
    </fill>
    <fill>
      <patternFill patternType="solid">
        <fgColor rgb="00475569"/>
        <bgColor rgb="00475569"/>
      </patternFill>
    </fill>
  </fills>
  <borders count="15">
    <border>
      <left/>
      <right/>
      <top/>
      <bottom/>
      <diagonal/>
    </border>
    <border>
      <left style="thin">
        <color rgb="FF1F4E78"/>
      </left>
      <right style="thin">
        <color rgb="FF1F4E78"/>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1F4E78"/>
      </top>
      <bottom style="double">
        <color rgb="FF1F4E78"/>
      </bottom>
      <diagonal/>
    </border>
    <border>
      <left style="thin">
        <color rgb="FF1F4E78"/>
      </left>
      <right style="thin">
        <color rgb="FF1F4E78"/>
      </right>
      <top/>
      <bottom style="medium">
        <color rgb="FF1F4E78"/>
      </bottom>
      <diagonal/>
    </border>
    <border>
      <left style="thin">
        <color rgb="FFD9D9D9"/>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1F4E78"/>
      </right>
      <top style="medium">
        <color rgb="FF1F4E78"/>
      </top>
      <bottom style="medium">
        <color rgb="FF1F4E78"/>
      </bottom>
      <diagonal/>
    </border>
    <border>
      <left/>
      <right/>
      <top style="thin">
        <color rgb="FFD9D9D9"/>
      </top>
      <bottom/>
      <diagonal/>
    </border>
    <border>
      <left/>
      <right style="thin">
        <color rgb="FFD9D9D9"/>
      </right>
      <top style="thin">
        <color rgb="FFD9D9D9"/>
      </top>
      <bottom/>
      <diagonal/>
    </border>
    <border>
      <left/>
      <right/>
      <top style="medium">
        <color rgb="FF1F4E78"/>
      </top>
      <bottom/>
      <diagonal/>
    </border>
    <border>
      <left/>
      <right style="thin">
        <color rgb="FF1F4E78"/>
      </right>
      <top style="medium">
        <color rgb="FF1F4E78"/>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0">
    <xf numFmtId="0" fontId="0" fillId="0" borderId="0" pivotButton="0" quotePrefix="0" xfId="0"/>
    <xf numFmtId="0" fontId="5" fillId="2" borderId="1" applyAlignment="1" pivotButton="0" quotePrefix="0" xfId="0">
      <alignment horizontal="center" vertical="center" wrapText="1"/>
    </xf>
    <xf numFmtId="0" fontId="6" fillId="0" borderId="2" applyAlignment="1" pivotButton="0" quotePrefix="0" xfId="0">
      <alignment horizontal="left" vertical="center" wrapText="1"/>
    </xf>
    <xf numFmtId="0" fontId="4" fillId="0" borderId="2" applyAlignment="1" pivotButton="0" quotePrefix="0" xfId="0">
      <alignment horizontal="left" vertical="center" wrapText="1"/>
    </xf>
    <xf numFmtId="0" fontId="6" fillId="4" borderId="2" applyAlignment="1" pivotButton="0" quotePrefix="0" xfId="0">
      <alignment horizontal="left" vertical="center" wrapText="1"/>
    </xf>
    <xf numFmtId="0" fontId="4" fillId="4" borderId="2" applyAlignment="1" pivotButton="0" quotePrefix="0" xfId="0">
      <alignment horizontal="left" vertical="center" wrapText="1"/>
    </xf>
    <xf numFmtId="0" fontId="5" fillId="2" borderId="1" pivotButton="0" quotePrefix="0" xfId="0"/>
    <xf numFmtId="0" fontId="6" fillId="0" borderId="2" pivotButton="0" quotePrefix="0" xfId="0"/>
    <xf numFmtId="0" fontId="4" fillId="0" borderId="2" pivotButton="0" quotePrefix="0" xfId="0"/>
    <xf numFmtId="0" fontId="6" fillId="4" borderId="2" pivotButton="0" quotePrefix="0" xfId="0"/>
    <xf numFmtId="0" fontId="4" fillId="4" borderId="2" pivotButton="0" quotePrefix="0" xfId="0"/>
    <xf numFmtId="164" fontId="4" fillId="0" borderId="2" pivotButton="0" quotePrefix="0" xfId="0"/>
    <xf numFmtId="165" fontId="4" fillId="0" borderId="2" pivotButton="0" quotePrefix="0" xfId="0"/>
    <xf numFmtId="0" fontId="4" fillId="5" borderId="2" applyAlignment="1" pivotButton="0" quotePrefix="0" xfId="0">
      <alignment horizontal="center" vertical="center"/>
    </xf>
    <xf numFmtId="165" fontId="4" fillId="5" borderId="2" pivotButton="0" quotePrefix="0" xfId="0"/>
    <xf numFmtId="0" fontId="6" fillId="0" borderId="2" applyAlignment="1" pivotButton="0" quotePrefix="0" xfId="0">
      <alignment horizontal="center" vertical="center"/>
    </xf>
    <xf numFmtId="165" fontId="6" fillId="0" borderId="2" pivotButton="0" quotePrefix="0" xfId="0"/>
    <xf numFmtId="0" fontId="0" fillId="0" borderId="3" pivotButton="0" quotePrefix="0" xfId="0"/>
    <xf numFmtId="0" fontId="8" fillId="0" borderId="3" applyAlignment="1" pivotButton="0" quotePrefix="0" xfId="0">
      <alignment horizontal="right" vertical="center"/>
    </xf>
    <xf numFmtId="166" fontId="4" fillId="0" borderId="2" pivotButton="0" quotePrefix="0" xfId="0"/>
    <xf numFmtId="0" fontId="6" fillId="0" borderId="0" pivotButton="0" quotePrefix="0" xfId="0"/>
    <xf numFmtId="0" fontId="4" fillId="0" borderId="0" pivotButton="0" quotePrefix="0" xfId="0"/>
    <xf numFmtId="3" fontId="6" fillId="0" borderId="2" applyAlignment="1" pivotButton="0" quotePrefix="0" xfId="0">
      <alignment horizontal="center" vertical="center"/>
    </xf>
    <xf numFmtId="167" fontId="6" fillId="0" borderId="2" applyAlignment="1" pivotButton="0" quotePrefix="0" xfId="0">
      <alignment horizontal="center" vertical="center"/>
    </xf>
    <xf numFmtId="165" fontId="6" fillId="0" borderId="2" applyAlignment="1" pivotButton="0" quotePrefix="0" xfId="0">
      <alignment horizontal="right" vertical="center"/>
    </xf>
    <xf numFmtId="3" fontId="8" fillId="0" borderId="3" applyAlignment="1" pivotButton="0" quotePrefix="0" xfId="0">
      <alignment horizontal="center" vertical="center"/>
    </xf>
    <xf numFmtId="167" fontId="8" fillId="0" borderId="3" applyAlignment="1" pivotButton="0" quotePrefix="0" xfId="0">
      <alignment horizontal="center" vertical="center"/>
    </xf>
    <xf numFmtId="165" fontId="8" fillId="0" borderId="3" applyAlignment="1" pivotButton="0" quotePrefix="0" xfId="0">
      <alignment horizontal="right" vertical="center"/>
    </xf>
    <xf numFmtId="0" fontId="5" fillId="2" borderId="4" applyAlignment="1" pivotButton="0" quotePrefix="0" xfId="0">
      <alignment horizontal="center" vertical="center" wrapText="1"/>
    </xf>
    <xf numFmtId="0" fontId="5" fillId="6" borderId="4" applyAlignment="1" pivotButton="0" quotePrefix="0" xfId="0">
      <alignment horizontal="center" vertical="center" wrapText="1"/>
    </xf>
    <xf numFmtId="0" fontId="6" fillId="0" borderId="5" pivotButton="0" quotePrefix="0" xfId="0"/>
    <xf numFmtId="164" fontId="4" fillId="0" borderId="5" pivotButton="0" quotePrefix="0" xfId="0"/>
    <xf numFmtId="0" fontId="4" fillId="0" borderId="5" pivotButton="0" quotePrefix="0" xfId="0"/>
    <xf numFmtId="165" fontId="4" fillId="0" borderId="5" pivotButton="0" quotePrefix="0" xfId="0"/>
    <xf numFmtId="0" fontId="4" fillId="5" borderId="5" applyAlignment="1" pivotButton="0" quotePrefix="0" xfId="0">
      <alignment horizontal="center" vertical="center"/>
    </xf>
    <xf numFmtId="165" fontId="4" fillId="5" borderId="5" pivotButton="0" quotePrefix="0" xfId="0"/>
    <xf numFmtId="0" fontId="6" fillId="0" borderId="5" applyAlignment="1" pivotButton="0" quotePrefix="0" xfId="0">
      <alignment horizontal="center" vertical="center"/>
    </xf>
    <xf numFmtId="165" fontId="6" fillId="0" borderId="5" pivotButton="0" quotePrefix="0" xfId="0"/>
    <xf numFmtId="0" fontId="4" fillId="5" borderId="5" pivotButton="0" quotePrefix="0" xfId="0"/>
    <xf numFmtId="166" fontId="4" fillId="0" borderId="5" pivotButton="0" quotePrefix="0" xfId="0"/>
    <xf numFmtId="0" fontId="11" fillId="0" borderId="0" pivotButton="0" quotePrefix="0" xfId="0"/>
    <xf numFmtId="0" fontId="13" fillId="0" borderId="0" pivotButton="0" quotePrefix="0" xfId="0"/>
    <xf numFmtId="0" fontId="12" fillId="0" borderId="0" pivotButton="0" quotePrefix="0" xfId="0"/>
    <xf numFmtId="0" fontId="4" fillId="0" borderId="0" applyAlignment="1" pivotButton="0" quotePrefix="0" xfId="0">
      <alignment horizontal="left" vertical="center" wrapText="1"/>
    </xf>
    <xf numFmtId="0" fontId="3" fillId="3" borderId="0" applyAlignment="1" pivotButton="0" quotePrefix="0" xfId="0">
      <alignment horizontal="left" vertical="center" wrapText="1"/>
    </xf>
    <xf numFmtId="0" fontId="18" fillId="0" borderId="0" pivotButton="0" quotePrefix="0" xfId="0"/>
    <xf numFmtId="0" fontId="19" fillId="0" borderId="0" pivotButton="0" quotePrefix="0" xfId="0"/>
    <xf numFmtId="0" fontId="16" fillId="3" borderId="0" applyAlignment="1" pivotButton="0" quotePrefix="0" xfId="0">
      <alignment horizontal="left" vertical="center" wrapText="1"/>
    </xf>
    <xf numFmtId="0" fontId="17" fillId="0" borderId="0" applyAlignment="1" pivotButton="0" quotePrefix="0" xfId="0">
      <alignment vertical="top" wrapText="1"/>
    </xf>
    <xf numFmtId="0" fontId="16" fillId="0" borderId="0" applyAlignment="1" pivotButton="0" quotePrefix="0" xfId="0">
      <alignment horizontal="left" vertical="center" wrapText="1"/>
    </xf>
    <xf numFmtId="0" fontId="16" fillId="0" borderId="0" pivotButton="0" quotePrefix="0" xfId="0"/>
    <xf numFmtId="0" fontId="17" fillId="3" borderId="0" applyAlignment="1" pivotButton="0" quotePrefix="0" xfId="0">
      <alignment vertical="top" wrapText="1"/>
    </xf>
    <xf numFmtId="0" fontId="17" fillId="0" borderId="2" applyAlignment="1" pivotButton="0" quotePrefix="0" xfId="0">
      <alignment vertical="top" wrapText="1"/>
    </xf>
    <xf numFmtId="0" fontId="17" fillId="4" borderId="2" applyAlignment="1" pivotButton="0" quotePrefix="0" xfId="0">
      <alignment vertical="top" wrapText="1"/>
    </xf>
    <xf numFmtId="0" fontId="17" fillId="0" borderId="2" applyAlignment="1" pivotButton="0" quotePrefix="0" xfId="0">
      <alignment vertical="center" wrapText="1"/>
    </xf>
    <xf numFmtId="0" fontId="15" fillId="9" borderId="0" applyAlignment="1" pivotButton="0" quotePrefix="0" xfId="0">
      <alignment horizontal="left" vertical="center" indent="1"/>
    </xf>
    <xf numFmtId="0" fontId="0" fillId="0" borderId="0" pivotButton="0" quotePrefix="0" xfId="0"/>
    <xf numFmtId="0" fontId="14" fillId="8" borderId="0" applyAlignment="1" pivotButton="0" quotePrefix="0" xfId="0">
      <alignment horizontal="left" vertical="center" indent="1"/>
    </xf>
    <xf numFmtId="0" fontId="18" fillId="10" borderId="0" applyAlignment="1" pivotButton="0" quotePrefix="0" xfId="0">
      <alignment horizontal="center" vertical="center"/>
    </xf>
    <xf numFmtId="0" fontId="4" fillId="0" borderId="2" pivotButton="0" quotePrefix="0" xfId="0"/>
    <xf numFmtId="0" fontId="0" fillId="0" borderId="6" pivotButton="0" quotePrefix="0" xfId="0"/>
    <xf numFmtId="0" fontId="0" fillId="0" borderId="7" pivotButton="0" quotePrefix="0" xfId="0"/>
    <xf numFmtId="0" fontId="4" fillId="4" borderId="2" pivotButton="0" quotePrefix="0" xfId="0"/>
    <xf numFmtId="0" fontId="7" fillId="5" borderId="0" pivotButton="0" quotePrefix="0" xfId="0"/>
    <xf numFmtId="0" fontId="5" fillId="2" borderId="1" pivotButton="0" quotePrefix="0" xfId="0"/>
    <xf numFmtId="0" fontId="0" fillId="0" borderId="8" pivotButton="0" quotePrefix="0" xfId="0"/>
    <xf numFmtId="0" fontId="0" fillId="0" borderId="9" pivotButton="0" quotePrefix="0" xfId="0"/>
    <xf numFmtId="0" fontId="3" fillId="3" borderId="0" pivotButton="0" quotePrefix="0" xfId="0"/>
    <xf numFmtId="0" fontId="17" fillId="5" borderId="2" applyAlignment="1" pivotButton="0" quotePrefix="0" xfId="0">
      <alignment vertical="top" wrapText="1"/>
    </xf>
    <xf numFmtId="0" fontId="2" fillId="2" borderId="0" applyAlignment="1" pivotButton="0" quotePrefix="0" xfId="0">
      <alignment horizontal="left" vertical="center" indent="1"/>
    </xf>
    <xf numFmtId="0" fontId="1" fillId="2" borderId="0" applyAlignment="1" pivotButton="0" quotePrefix="0" xfId="0">
      <alignment horizontal="left" vertical="center" indent="1"/>
    </xf>
    <xf numFmtId="0" fontId="9" fillId="7" borderId="2" applyAlignment="1" pivotButton="0" quotePrefix="0" xfId="0">
      <alignment horizontal="center" vertical="center"/>
    </xf>
    <xf numFmtId="0" fontId="16" fillId="3" borderId="0" pivotButton="0" quotePrefix="0" xfId="0"/>
    <xf numFmtId="0" fontId="17" fillId="0" borderId="0" applyAlignment="1" pivotButton="0" quotePrefix="0" xfId="0">
      <alignment vertical="top" wrapText="1"/>
    </xf>
    <xf numFmtId="3" fontId="10" fillId="7" borderId="2" applyAlignment="1" pivotButton="0" quotePrefix="0" xfId="0">
      <alignment horizontal="center" vertical="center"/>
    </xf>
    <xf numFmtId="167" fontId="10" fillId="7" borderId="2" applyAlignment="1" pivotButton="0" quotePrefix="0" xfId="0">
      <alignment horizontal="center" vertical="center"/>
    </xf>
    <xf numFmtId="0" fontId="4" fillId="0" borderId="0" applyAlignment="1" pivotButton="0" quotePrefix="0" xfId="0">
      <alignment horizontal="left" vertical="center" wrapText="1"/>
    </xf>
    <xf numFmtId="0" fontId="18" fillId="0" borderId="0" applyAlignment="1" pivotButton="0" quotePrefix="0" xfId="0">
      <alignment horizontal="left" vertical="center" wrapText="1"/>
    </xf>
    <xf numFmtId="165" fontId="10" fillId="7" borderId="2" applyAlignment="1" pivotButton="0" quotePrefix="0" xfId="0">
      <alignment horizontal="center" vertical="center"/>
    </xf>
    <xf numFmtId="0" fontId="20" fillId="11" borderId="0" applyAlignment="1" pivotButton="0" quotePrefix="0" xfId="0">
      <alignment horizontal="center" vertical="center"/>
    </xf>
    <xf numFmtId="0" fontId="21" fillId="12" borderId="0" applyAlignment="1" pivotButton="0" quotePrefix="0" xfId="0">
      <alignment horizontal="center" vertical="center"/>
    </xf>
    <xf numFmtId="0" fontId="22" fillId="0" borderId="0" pivotButton="0" quotePrefix="0" xfId="0"/>
    <xf numFmtId="0" fontId="23" fillId="0" borderId="0" pivotButton="0" quotePrefix="0" xfId="0"/>
    <xf numFmtId="0" fontId="24" fillId="0" borderId="0" pivotButton="0" quotePrefix="0" xfId="0"/>
    <xf numFmtId="0" fontId="25" fillId="0" borderId="0" applyAlignment="1" pivotButton="0" quotePrefix="0" xfId="0">
      <alignment vertical="top" wrapText="1"/>
    </xf>
    <xf numFmtId="0" fontId="26" fillId="11" borderId="14" applyAlignment="1" pivotButton="0" quotePrefix="0" xfId="0">
      <alignment horizontal="center" vertical="center"/>
    </xf>
    <xf numFmtId="0" fontId="23" fillId="0" borderId="14" pivotButton="0" quotePrefix="0" xfId="0"/>
    <xf numFmtId="0" fontId="25" fillId="0" borderId="14" pivotButton="0" quotePrefix="0" xfId="0"/>
    <xf numFmtId="0" fontId="23" fillId="13" borderId="14" pivotButton="0" quotePrefix="0" xfId="0"/>
    <xf numFmtId="0" fontId="25" fillId="14" borderId="14" pivotButton="0" quotePrefix="0" xfId="0"/>
    <xf numFmtId="0" fontId="20" fillId="11" borderId="0" applyAlignment="1" pivotButton="0" quotePrefix="0" xfId="0">
      <alignment horizontal="left" vertical="center" indent="1"/>
    </xf>
    <xf numFmtId="0" fontId="21" fillId="12" borderId="0" applyAlignment="1" pivotButton="0" quotePrefix="0" xfId="0">
      <alignment horizontal="left" vertical="center" indent="1"/>
    </xf>
    <xf numFmtId="0" fontId="23" fillId="14" borderId="0" applyAlignment="1" pivotButton="0" quotePrefix="0" xfId="0">
      <alignment horizontal="center" vertical="center"/>
    </xf>
    <xf numFmtId="0" fontId="27" fillId="14" borderId="0" applyAlignment="1" pivotButton="0" quotePrefix="0" xfId="0">
      <alignment horizontal="left" vertical="center"/>
    </xf>
    <xf numFmtId="0" fontId="26" fillId="11" borderId="4" applyAlignment="1" pivotButton="0" quotePrefix="0" xfId="0">
      <alignment horizontal="center" vertical="center" wrapText="1"/>
    </xf>
    <xf numFmtId="0" fontId="26" fillId="15" borderId="4" applyAlignment="1" pivotButton="0" quotePrefix="0" xfId="0">
      <alignment horizontal="center" vertical="center" wrapText="1"/>
    </xf>
    <xf numFmtId="0" fontId="22" fillId="3" borderId="0" pivotButton="0" quotePrefix="0" xfId="0"/>
    <xf numFmtId="0" fontId="25" fillId="0" borderId="0" pivotButton="0" quotePrefix="0" xfId="0"/>
    <xf numFmtId="0" fontId="23" fillId="0" borderId="0" applyAlignment="1" pivotButton="0" quotePrefix="0" xfId="0">
      <alignment horizontal="left" vertical="center" wrapText="1"/>
    </xf>
    <xf numFmtId="0" fontId="28" fillId="0" borderId="0" pivotButton="0" quotePrefix="0" xfId="0"/>
  </cellXfs>
  <cellStyles count="1">
    <cellStyle name="Normal" xfId="0" builtinId="0"/>
  </cellStyles>
  <dxfs count="151">
    <dxf>
      <font>
        <name val="Segoe UI"/>
        <b val="1"/>
        <color rgb="FF78281F"/>
        <sz val="9"/>
      </font>
      <fill>
        <patternFill patternType="solid">
          <fgColor rgb="FFFADBD8"/>
          <bgColor rgb="FFFADBD8"/>
        </patternFill>
      </fill>
    </dxf>
    <dxf>
      <font>
        <name val="Segoe UI"/>
        <b val="1"/>
        <color rgb="FF78281F"/>
        <sz val="9"/>
      </font>
      <fill>
        <patternFill patternType="solid">
          <fgColor rgb="FFFADBD8"/>
          <bgColor rgb="FFFADBD8"/>
        </patternFill>
      </fill>
    </dxf>
    <dxf>
      <font>
        <name val="Segoe UI"/>
        <b val="1"/>
        <color rgb="FF78281F"/>
        <sz val="9"/>
      </font>
      <fill>
        <patternFill patternType="solid">
          <fgColor rgb="FFFADBD8"/>
          <bgColor rgb="FFFADBD8"/>
        </patternFill>
      </fill>
    </dxf>
    <dxf>
      <font>
        <name val="Segoe UI"/>
        <b val="1"/>
        <color rgb="FF78281F"/>
        <sz val="9"/>
      </font>
      <fill>
        <patternFill patternType="solid">
          <fgColor rgb="FFFADBD8"/>
          <bgColor rgb="FFFADBD8"/>
        </patternFill>
      </fill>
    </dxf>
    <dxf>
      <font>
        <name val="Segoe UI"/>
        <b val="1"/>
        <color rgb="FF78281F"/>
        <sz val="9"/>
      </font>
      <fill>
        <patternFill patternType="solid">
          <fgColor rgb="FFFADBD8"/>
          <bgColor rgb="FFFADBD8"/>
        </patternFill>
      </fill>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alignment horizontal="center" vertical="center"/>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border outline="0">
        <top style="thin">
          <color rgb="FFD9D9D9"/>
        </top>
      </border>
    </dxf>
    <dxf>
      <border outline="0">
        <top style="medium">
          <color rgb="FF1F4E78"/>
        </top>
        <bottom style="thin">
          <color rgb="FFD9D9D9"/>
        </bottom>
      </border>
    </dxf>
    <dxf>
      <border outline="0">
        <bottom style="medium">
          <color rgb="FF1F4E78"/>
        </bottom>
      </border>
    </dxf>
    <dxf>
      <font>
        <name val="Segoe UI"/>
        <b val="1"/>
        <strike val="0"/>
        <outline val="0"/>
        <shadow val="0"/>
        <condense val="0"/>
        <color rgb="FFFFFFFF"/>
        <extend val="0"/>
        <sz val="9.5"/>
        <vertAlign val="baseline"/>
      </font>
      <fill>
        <patternFill patternType="solid">
          <fgColor rgb="FF2F5597"/>
          <bgColor rgb="FF2F5597"/>
        </patternFill>
      </fill>
      <alignment horizontal="center" vertical="center" wrapText="1"/>
      <border outline="0">
        <left style="thin">
          <color rgb="FF1F4E78"/>
        </left>
        <right style="thin">
          <color rgb="FF1F4E78"/>
        </right>
        <top/>
        <bottom/>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alignment horizontal="center" vertical="center"/>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6" formatCode="yyyy\-mm\-dd\ hh:mm:ss"/>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border outline="0">
        <top style="thin">
          <color rgb="FFD9D9D9"/>
        </top>
      </border>
    </dxf>
    <dxf>
      <border outline="0">
        <top style="medium">
          <color rgb="FF1F4E78"/>
        </top>
        <bottom style="thin">
          <color rgb="FFD9D9D9"/>
        </bottom>
      </border>
    </dxf>
    <dxf>
      <border outline="0">
        <bottom style="medium">
          <color rgb="FF1F4E78"/>
        </bottom>
      </border>
    </dxf>
    <dxf>
      <font>
        <name val="Segoe UI"/>
        <b val="1"/>
        <strike val="0"/>
        <outline val="0"/>
        <shadow val="0"/>
        <condense val="0"/>
        <color rgb="FFFFFFFF"/>
        <extend val="0"/>
        <sz val="9.5"/>
        <vertAlign val="baseline"/>
      </font>
      <fill>
        <patternFill patternType="solid">
          <fgColor rgb="FF2F5597"/>
          <bgColor rgb="FF2F5597"/>
        </patternFill>
      </fill>
      <alignment horizontal="center" vertical="center" wrapText="1"/>
      <border outline="0">
        <left style="thin">
          <color rgb="FF1F4E78"/>
        </left>
        <right style="thin">
          <color rgb="FF1F4E78"/>
        </right>
        <top/>
        <bottom/>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alignment horizontal="center" vertical="center"/>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4" formatCode="yyyy\-mm\-dd"/>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4" formatCode="yyyy\-mm\-dd"/>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border outline="0">
        <top style="thin">
          <color rgb="FFD9D9D9"/>
        </top>
      </border>
    </dxf>
    <dxf>
      <border outline="0">
        <top style="medium">
          <color rgb="FF1F4E78"/>
        </top>
        <bottom style="thin">
          <color rgb="FFD9D9D9"/>
        </bottom>
      </border>
    </dxf>
    <dxf>
      <border outline="0">
        <bottom style="medium">
          <color rgb="FF1F4E78"/>
        </bottom>
      </border>
    </dxf>
    <dxf>
      <font>
        <name val="Segoe UI"/>
        <b val="1"/>
        <strike val="0"/>
        <outline val="0"/>
        <shadow val="0"/>
        <condense val="0"/>
        <color rgb="FFFFFFFF"/>
        <extend val="0"/>
        <sz val="9.5"/>
        <vertAlign val="baseline"/>
      </font>
      <fill>
        <patternFill patternType="solid">
          <fgColor rgb="FF2F5597"/>
          <bgColor rgb="FF2F5597"/>
        </patternFill>
      </fill>
      <alignment horizontal="center" vertical="center" wrapText="1"/>
      <border outline="0">
        <left style="thin">
          <color rgb="FF1F4E78"/>
        </left>
        <right style="thin">
          <color rgb="FF1F4E78"/>
        </right>
        <top/>
        <bottom/>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alignment horizontal="center" vertical="center"/>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4" formatCode="yyyy\-mm\-dd"/>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4" formatCode="yyyy\-mm\-dd"/>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4" formatCode="yyyy\-mm\-dd"/>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border outline="0">
        <top style="thin">
          <color rgb="FFD9D9D9"/>
        </top>
      </border>
    </dxf>
    <dxf>
      <border outline="0">
        <top style="medium">
          <color rgb="FF1F4E78"/>
        </top>
        <bottom style="thin">
          <color rgb="FFD9D9D9"/>
        </bottom>
      </border>
    </dxf>
    <dxf>
      <border outline="0">
        <bottom style="medium">
          <color rgb="FF1F4E78"/>
        </bottom>
      </border>
    </dxf>
    <dxf>
      <font>
        <name val="Segoe UI"/>
        <b val="1"/>
        <strike val="0"/>
        <outline val="0"/>
        <shadow val="0"/>
        <condense val="0"/>
        <color rgb="FFFFFFFF"/>
        <extend val="0"/>
        <sz val="9.5"/>
        <vertAlign val="baseline"/>
      </font>
      <fill>
        <patternFill patternType="solid">
          <fgColor rgb="FF2F5597"/>
          <bgColor rgb="FF2F5597"/>
        </patternFill>
      </fill>
      <alignment horizontal="center" vertical="center" wrapText="1"/>
      <border outline="0">
        <left style="thin">
          <color rgb="FF1F4E78"/>
        </left>
        <right style="thin">
          <color rgb="FF1F4E78"/>
        </right>
        <top/>
        <bottom/>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alignment horizontal="center" vertical="center"/>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5" formatCode="\$#,##0.00"/>
      <fill>
        <patternFill patternType="solid">
          <fgColor rgb="FFEDF2F8"/>
          <bgColor rgb="FFEDF2F8"/>
        </patternFill>
      </fill>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fill>
        <patternFill patternType="solid">
          <fgColor rgb="FFEDF2F8"/>
          <bgColor rgb="FFEDF2F8"/>
        </patternFill>
      </fill>
      <alignment horizontal="center" vertical="center"/>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numFmt numFmtId="165" formatCode="\$#,##0.00"/>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5" formatCode="\$#,##0.00"/>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font>
        <name val="Segoe UI"/>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strike val="0"/>
        <outline val="0"/>
        <shadow val="0"/>
        <condense val="0"/>
        <color rgb="FF1F2937"/>
        <extend val="0"/>
        <sz val="9"/>
        <vertAlign val="baseline"/>
      </font>
      <numFmt numFmtId="164" formatCode="yyyy\-mm\-dd"/>
      <border>
        <left style="thin">
          <color rgb="FFD9D9D9"/>
        </left>
        <right style="thin">
          <color rgb="FFD9D9D9"/>
        </right>
        <top style="thin">
          <color rgb="FFD9D9D9"/>
        </top>
        <bottom style="thin">
          <color rgb="FFD9D9D9"/>
        </bottom>
        <vertical/>
        <horizontal/>
      </border>
    </dxf>
    <dxf>
      <font>
        <name val="Segoe UI"/>
        <b val="1"/>
        <strike val="0"/>
        <outline val="0"/>
        <shadow val="0"/>
        <condense val="0"/>
        <color rgb="FF1F2937"/>
        <extend val="0"/>
        <sz val="9"/>
        <vertAlign val="baseline"/>
      </font>
      <border outline="0">
        <left style="thin">
          <color rgb="FFD9D9D9"/>
        </left>
        <right style="thin">
          <color rgb="FFD9D9D9"/>
        </right>
        <top style="thin">
          <color rgb="FFD9D9D9"/>
        </top>
        <bottom/>
      </border>
    </dxf>
    <dxf>
      <font>
        <name val="Segoe UI"/>
        <b val="1"/>
        <strike val="0"/>
        <outline val="0"/>
        <shadow val="0"/>
        <condense val="0"/>
        <color rgb="FF1F2937"/>
        <extend val="0"/>
        <sz val="9"/>
        <vertAlign val="baseline"/>
      </font>
      <border>
        <left style="thin">
          <color rgb="FFD9D9D9"/>
        </left>
        <right style="thin">
          <color rgb="FFD9D9D9"/>
        </right>
        <top style="thin">
          <color rgb="FFD9D9D9"/>
        </top>
        <bottom style="thin">
          <color rgb="FFD9D9D9"/>
        </bottom>
        <vertical/>
        <horizontal/>
      </border>
    </dxf>
    <dxf>
      <border outline="0">
        <top style="thin">
          <color rgb="FFD9D9D9"/>
        </top>
      </border>
    </dxf>
    <dxf>
      <border outline="0">
        <top style="medium">
          <color rgb="FF1F4E78"/>
        </top>
        <bottom style="thin">
          <color rgb="FFD9D9D9"/>
        </bottom>
      </border>
    </dxf>
    <dxf>
      <border outline="0">
        <bottom style="medium">
          <color rgb="FF1F4E78"/>
        </bottom>
      </border>
    </dxf>
    <dxf>
      <font>
        <name val="Segoe UI"/>
        <b val="1"/>
        <strike val="0"/>
        <outline val="0"/>
        <shadow val="0"/>
        <condense val="0"/>
        <color rgb="FFFFFFFF"/>
        <extend val="0"/>
        <sz val="9.5"/>
        <vertAlign val="baseline"/>
      </font>
      <fill>
        <patternFill patternType="solid">
          <fgColor rgb="FF2F5597"/>
          <bgColor rgb="FF2F5597"/>
        </patternFill>
      </fill>
      <alignment horizontal="center" vertical="center" wrapText="1"/>
      <border outline="0">
        <left style="thin">
          <color rgb="FF1F4E78"/>
        </left>
        <right style="thin">
          <color rgb="FF1F4E78"/>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able_Split_POs" displayName="Table_Split_POs" ref="A3:M19" headerRowCount="1" totalsRowCount="1" headerRowDxfId="150" headerRowBorderDxfId="149" tableBorderDxfId="148" totalsRowBorderDxfId="147">
  <autoFilter ref="A3:M18"/>
  <tableColumns count="13">
    <tableColumn id="1" name="PO_Number" totalsRowLabel="Total" dataDxfId="146" totalsRowDxfId="145"/>
    <tableColumn id="2" name="PO_Date" dataDxfId="144" totalsRowDxfId="143"/>
    <tableColumn id="3" name="Vendor_ID" dataDxfId="142" totalsRowDxfId="141"/>
    <tableColumn id="4" name="Vendor_Name" dataDxfId="140" totalsRowDxfId="139"/>
    <tableColumn id="5" name="Buyer_ID" totalsRowLabel="TOTAL PORTFOLIO:" dataDxfId="138" totalsRowDxfId="137"/>
    <tableColumn id="6" name="PO_Amount" totalsRowFunction="sum" dataDxfId="136" totalsRowDxfId="135"/>
    <tableColumn id="7" name="PO_Description" dataDxfId="134" totalsRowDxfId="133"/>
    <tableColumn id="8" name="PO_Status" dataDxfId="132" totalsRowDxfId="131"/>
    <tableColumn id="9" name="Split_Window_Count" dataDxfId="130" totalsRowDxfId="129">
      <calculatedColumnFormula>IF(OR(F4&lt;=0, ISBLANK(F4), NOT(ISNUMBER(F4)), ISBLANK(B4)), 0, COUNTIFS($C:$C, C4, $E:$E, E4, $B:$B, "&gt;="&amp;(B4-5), $B:$B, "&lt;="&amp;(B4+5), $F:$F, "&gt;0", $F:$F, "&lt;10000"))</calculatedColumnFormula>
    </tableColumn>
    <tableColumn id="10" name="Split_Window_Total" dataDxfId="128" totalsRowDxfId="127">
      <calculatedColumnFormula>IF(OR(F4&lt;=0, ISBLANK(F4), NOT(ISNUMBER(F4)), ISBLANK(B4)), 0, SUMIFS($F:$F, $C:$C, C4, $E:$E, E4, $B:$B, "&gt;="&amp;(B4-5), $B:$B, "&lt;="&amp;(B4+5), $F:$F, "&gt;0", $F:$F, "&lt;10000"))</calculatedColumnFormula>
    </tableColumn>
    <tableColumn id="11" name="Audit_Flag" dataDxfId="126" totalsRowDxfId="125">
      <calculatedColumnFormula>IF(AND(ISNUMBER(F4), F4&gt;0, F4&lt;10000, I4&gt;1, J4&gt;=10000), "FLAG: SPLIT PO", "OK")</calculatedColumnFormula>
    </tableColumn>
    <tableColumn id="12" name="Financial_Exposure" totalsRowFunction="sum" dataDxfId="124" totalsRowDxfId="123">
      <calculatedColumnFormula>IF(K4="FLAG: SPLIT PO", F4, 0)</calculatedColumnFormula>
    </tableColumn>
    <tableColumn id="13" name="Audit_Workpaper_Notes" totalsRowFunction="count" dataDxfId="122" totalsRowDxfId="121"/>
  </tableColumns>
  <tableStyleInfo name="TableStyleMedium2" showFirstColumn="0" showLastColumn="0" showRowStripes="1" showColumnStripes="0"/>
</table>
</file>

<file path=xl/tables/table2.xml><?xml version="1.0" encoding="utf-8"?>
<table xmlns="http://schemas.openxmlformats.org/spreadsheetml/2006/main" id="2" name="Table_Dormant_Vendors" displayName="Table_Dormant_Vendors" ref="A3:L14" headerRowCount="1" totalsRowCount="1" headerRowDxfId="120" headerRowBorderDxfId="119" tableBorderDxfId="118" totalsRowBorderDxfId="117">
  <autoFilter ref="A3:L13"/>
  <tableColumns count="12">
    <tableColumn id="1" name="Vendor_ID" totalsRowLabel="Total" dataDxfId="116" totalsRowDxfId="115"/>
    <tableColumn id="2" name="Vendor_Name" dataDxfId="114" totalsRowDxfId="113"/>
    <tableColumn id="3" name="Payment_Date" dataDxfId="112" totalsRowDxfId="111"/>
    <tableColumn id="4" name="Previous_Active_Date" dataDxfId="110" totalsRowDxfId="109"/>
    <tableColumn id="5" name="Bank_Details_Last_Updated" totalsRowLabel="TOTAL PORTFOLIO:" dataDxfId="108" totalsRowDxfId="107"/>
    <tableColumn id="6" name="Payment_Amount" totalsRowFunction="sum" dataDxfId="106" totalsRowDxfId="105"/>
    <tableColumn id="7" name="Bank_Account_IBAN" dataDxfId="104" totalsRowDxfId="103"/>
    <tableColumn id="8" name="Days_Dormant" dataDxfId="102" totalsRowDxfId="101">
      <calculatedColumnFormula>IF(OR(ISBLANK(C4), ISBLANK(D4), D4=""), "", IF(ISNUMBER(C4), C4, IFERROR(DATEVALUE(C4), 0)) - IF(ISNUMBER(D4), D4, IFERROR(DATEVALUE(D4), 0)))</calculatedColumnFormula>
    </tableColumn>
    <tableColumn id="9" name="Days_Bank_Updated_Prior_Payment" dataDxfId="100" totalsRowDxfId="99">
      <calculatedColumnFormula>IF(OR(ISBLANK(C4), ISBLANK(E4), E4=""), "", IF(ISNUMBER(C4), C4, IFERROR(DATEVALUE(C4), 0)) - IF(ISNUMBER(E4), E4, IFERROR(DATEVALUE(E4), 0)))</calculatedColumnFormula>
    </tableColumn>
    <tableColumn id="10" name="Audit_Flag" dataDxfId="98" totalsRowDxfId="97">
      <calculatedColumnFormula>IF(AND(H4&lt;&gt;"", I4&lt;&gt;"", H4&gt;180, I4&lt;=30, I4&gt;=0), "FLAG: DORMANT RESUSCITATION", "OK")</calculatedColumnFormula>
    </tableColumn>
    <tableColumn id="11" name="Financial_Exposure" totalsRowFunction="sum" dataDxfId="96" totalsRowDxfId="95">
      <calculatedColumnFormula>IF(J4="FLAG: DORMANT RESUSCITATION", IFERROR(VALUE(F4), F4), 0)</calculatedColumnFormula>
    </tableColumn>
    <tableColumn id="12" name="Audit_Workpaper_Notes" totalsRowFunction="count" dataDxfId="94" totalsRowDxfId="93"/>
  </tableColumns>
  <tableStyleInfo name="TableStyleMedium2" showFirstColumn="0" showLastColumn="0" showRowStripes="1" showColumnStripes="0"/>
</table>
</file>

<file path=xl/tables/table3.xml><?xml version="1.0" encoding="utf-8"?>
<table xmlns="http://schemas.openxmlformats.org/spreadsheetml/2006/main" id="3" name="Table_Duplicate_Invoices" displayName="Table_Duplicate_Invoices" ref="A3:L16" headerRowCount="1" totalsRowCount="1" headerRowDxfId="92" headerRowBorderDxfId="91" tableBorderDxfId="90" totalsRowBorderDxfId="89">
  <autoFilter ref="A3:L15"/>
  <tableColumns count="12">
    <tableColumn id="1" name="Vendor_ID" totalsRowLabel="Total" dataDxfId="88" totalsRowDxfId="87"/>
    <tableColumn id="2" name="Vendor_Name" dataDxfId="86" totalsRowDxfId="85"/>
    <tableColumn id="3" name="Raw_Invoice_Number" dataDxfId="84" totalsRowDxfId="83"/>
    <tableColumn id="4" name="Clean_Invoice_Number" dataDxfId="82" totalsRowDxfId="81">
      <calculatedColumnFormula>SUBSTITUTE(SUBSTITUTE(SUBSTITUTE(SUBSTITUTE(SUBSTITUTE(SUBSTITUTE(SUBSTITUTE(LOWER(TRIM(C4)), "-", ""), "/", ""), " ", ""), ".", ""), "_", ""), "#", ""), ":", "")</calculatedColumnFormula>
    </tableColumn>
    <tableColumn id="5" name="Invoice_Date" totalsRowLabel="TOTAL PORTFOLIO:" dataDxfId="80" totalsRowDxfId="79"/>
    <tableColumn id="6" name="Invoice_Amount" totalsRowFunction="sum" dataDxfId="78" totalsRowDxfId="77"/>
    <tableColumn id="7" name="Payment_Reference" dataDxfId="76" totalsRowDxfId="75"/>
    <tableColumn id="8" name="Payment_Date" dataDxfId="74" totalsRowDxfId="73"/>
    <tableColumn id="9" name="Duplicate_Match_Count" dataDxfId="72" totalsRowDxfId="71">
      <calculatedColumnFormula>COUNTIFS($A:$A, A4, $D:$D, D4, $F:$F, F4)</calculatedColumnFormula>
    </tableColumn>
    <tableColumn id="10" name="Audit_Flag" dataDxfId="70" totalsRowDxfId="69">
      <calculatedColumnFormula>IF(I4&gt;1, "FLAG: DUPLICATE INVOICE", "OK")</calculatedColumnFormula>
    </tableColumn>
    <tableColumn id="11" name="Cash_Exposure" totalsRowFunction="sum" dataDxfId="68" totalsRowDxfId="67">
      <calculatedColumnFormula>IF(AND(J4="FLAG: DUPLICATE INVOICE", COUNTIFS($A$4:INDEX($A:$A, ROW()), A4, $D$4:INDEX($D:$D, ROW()), D4, $F$4:INDEX($F:$F, ROW()), F4)&gt;1), IFERROR(VALUE(F4), F4), 0)</calculatedColumnFormula>
    </tableColumn>
    <tableColumn id="12" name="Audit_Workpaper_Notes" totalsRowFunction="count" dataDxfId="66" totalsRowDxfId="65"/>
  </tableColumns>
  <tableStyleInfo name="TableStyleMedium2" showFirstColumn="0" showLastColumn="0" showRowStripes="1" showColumnStripes="0"/>
</table>
</file>

<file path=xl/tables/table4.xml><?xml version="1.0" encoding="utf-8"?>
<table xmlns="http://schemas.openxmlformats.org/spreadsheetml/2006/main" id="4" name="Table_Off_Hours_GL" displayName="Table_Off_Hours_GL" ref="A3:N16" headerRowCount="1" totalsRowCount="1" headerRowDxfId="64" headerRowBorderDxfId="63" tableBorderDxfId="62" totalsRowBorderDxfId="61">
  <autoFilter ref="A3:N15"/>
  <tableColumns count="14">
    <tableColumn id="1" name="Journal_ID" totalsRowLabel="Total" dataDxfId="60" totalsRowDxfId="59"/>
    <tableColumn id="2" name="Account_Code" dataDxfId="58" totalsRowDxfId="57"/>
    <tableColumn id="3" name="Account_Name" totalsRowLabel="TOTAL PORTFOLIO:" dataDxfId="56" totalsRowDxfId="55"/>
    <tableColumn id="4" name="Debit_Amount" totalsRowFunction="sum" dataDxfId="54" totalsRowDxfId="53"/>
    <tableColumn id="5" name="Credit_Amount" totalsRowFunction="sum" dataDxfId="52" totalsRowDxfId="51"/>
    <tableColumn id="6" name="Created_By" dataDxfId="50" totalsRowDxfId="49"/>
    <tableColumn id="7" name="Post_Timestamp" dataDxfId="48" totalsRowDxfId="47"/>
    <tableColumn id="8" name="Day_of_Week" dataDxfId="46" totalsRowDxfId="45">
      <calculatedColumnFormula>IF(OR(ISBLANK(G4), G4=""), "", TEXT(G4, "dddd"))</calculatedColumnFormula>
    </tableColumn>
    <tableColumn id="9" name="Time_of_Day" dataDxfId="44" totalsRowDxfId="43">
      <calculatedColumnFormula>IF(OR(ISBLANK(G4), G4=""), "", TEXT(G4, "hh:mm:ss"))</calculatedColumnFormula>
    </tableColumn>
    <tableColumn id="10" name="Is_Weekend" dataDxfId="42" totalsRowDxfId="41">
      <calculatedColumnFormula>IF(OR(ISBLANK(G4), G4=""), "NO", IF(WEEKDAY(G4, 2)&gt;5, "YES", "NO"))</calculatedColumnFormula>
    </tableColumn>
    <tableColumn id="11" name="Is_Off_Hours" dataDxfId="40" totalsRowDxfId="39">
      <calculatedColumnFormula>IF(OR(ISBLANK(G4), G4=""), "NO", IF(OR(MOD(G4, 1)&lt;TIME(7,0,0), MOD(G4, 1)&gt;TIME(19,0,0)), "YES", "NO"))</calculatedColumnFormula>
    </tableColumn>
    <tableColumn id="12" name="Audit_Flag" dataDxfId="38" totalsRowDxfId="37">
      <calculatedColumnFormula>IF(OR(ISBLANK(G4), G4=""), "OK", IF(OR(WEEKDAY(G4, 2)&gt;5, MOD(G4, 1)&lt;TIME(7,0,0), MOD(G4, 1)&gt;TIME(19,0,0)), "FLAG: OFF-HOURS ENTRY", "OK"))</calculatedColumnFormula>
    </tableColumn>
    <tableColumn id="13" name="Financial_Exposure" totalsRowFunction="sum" dataDxfId="36" totalsRowDxfId="35">
      <calculatedColumnFormula>IF(L4="FLAG: OFF-HOURS ENTRY", MAX(IFERROR(VALUE(D4), 0), IFERROR(VALUE(E4), 0)), 0)</calculatedColumnFormula>
    </tableColumn>
    <tableColumn id="14" name="Audit_Workpaper_Notes" totalsRowFunction="count" dataDxfId="34" totalsRowDxfId="33"/>
  </tableColumns>
  <tableStyleInfo name="TableStyleMedium2" showFirstColumn="0" showLastColumn="0" showRowStripes="1" showColumnStripes="0"/>
</table>
</file>

<file path=xl/tables/table5.xml><?xml version="1.0" encoding="utf-8"?>
<table xmlns="http://schemas.openxmlformats.org/spreadsheetml/2006/main" id="5" name="Table_Round_Sum_Services" displayName="Table_Round_Sum_Services" ref="A3:L16" headerRowCount="1" totalsRowCount="1" headerRowDxfId="32" headerRowBorderDxfId="31" tableBorderDxfId="30" totalsRowBorderDxfId="29">
  <autoFilter ref="A3:L15"/>
  <tableColumns count="12">
    <tableColumn id="1" name="Invoice_ID" totalsRowLabel="Total" dataDxfId="28" totalsRowDxfId="27"/>
    <tableColumn id="2" name="Vendor_Name" dataDxfId="26" totalsRowDxfId="25"/>
    <tableColumn id="3" name="GL_Account_Name" totalsRowLabel="TOTAL PORTFOLIO:" dataDxfId="24" totalsRowDxfId="23"/>
    <tableColumn id="4" name="Invoice_Amount" totalsRowFunction="sum" dataDxfId="22" totalsRowDxfId="21"/>
    <tableColumn id="5" name="Line_Description" dataDxfId="20" totalsRowDxfId="19"/>
    <tableColumn id="6" name="Created_By" dataDxfId="18" totalsRowDxfId="17"/>
    <tableColumn id="7" name="Divisible_By_1000" dataDxfId="16" totalsRowDxfId="15">
      <calculatedColumnFormula>IF(AND(ISNUMBER(D4), D4&gt;0), IF(MOD(D4, 1000)=0, "YES", "NO"), "NO")</calculatedColumnFormula>
    </tableColumn>
    <tableColumn id="8" name="Divisible_By_2500" dataDxfId="14" totalsRowDxfId="13">
      <calculatedColumnFormula>IF(AND(ISNUMBER(D4), D4&gt;0), IF(MOD(D4, 2500)=0, "YES", "NO"), "NO")</calculatedColumnFormula>
    </tableColumn>
    <tableColumn id="9" name="Is_High_Risk_GL" dataDxfId="12" totalsRowDxfId="11">
      <calculatedColumnFormula>IF(OR(ISNUMBER(SEARCH("consult", C4)), ISNUMBER(SEARCH("legal", C4)), ISNUMBER(SEARCH("advisory", C4)), ISNUMBER(SEARCH("marketing", C4)), ISNUMBER(SEARCH("professional", C4))), "YES", "NO")</calculatedColumnFormula>
    </tableColumn>
    <tableColumn id="10" name="Audit_Flag" dataDxfId="10" totalsRowDxfId="9">
      <calculatedColumnFormula>IF(AND(ISNUMBER(D4), D4&gt;=5000, OR(G4="YES", H4="YES"), I4="YES"), "FLAG: SUSPICIOUS ROUND SUM", "OK")</calculatedColumnFormula>
    </tableColumn>
    <tableColumn id="11" name="Financial_Exposure" totalsRowFunction="sum" dataDxfId="8" totalsRowDxfId="7">
      <calculatedColumnFormula>IF(J4="FLAG: SUSPICIOUS ROUND SUM", D4, 0)</calculatedColumnFormula>
    </tableColumn>
    <tableColumn id="12" name="Audit_Workpaper_Notes" totalsRowFunction="count" dataDxfId="6" totalsRow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newsletters/the-audit-signal-7339153291630510080/" TargetMode="External" Id="rId1"/><Relationship Type="http://schemas.openxmlformats.org/officeDocument/2006/relationships/hyperlink" Target="https://majidrajpar.github.io/portfolio_my" TargetMode="External" Id="rId2"/><Relationship Type="http://schemas.openxmlformats.org/officeDocument/2006/relationships/hyperlink" Target="https://www.linkedin.com/in/majid-m-4b097118/" TargetMode="External" Id="rId3"/></Relationships>
</file>

<file path=xl/worksheets/_rels/sheet2.xml.rels><Relationships xmlns="http://schemas.openxmlformats.org/package/2006/relationships"><Relationship Type="http://schemas.openxmlformats.org/officeDocument/2006/relationships/hyperlink" Target="https://majidrajpar.github.io/portfolio_my" TargetMode="External" Id="rId1"/><Relationship Type="http://schemas.openxmlformats.org/officeDocument/2006/relationships/hyperlink" Target="https://www.linkedin.com/in/majid-m-4b097118/" TargetMode="External" Id="rId2"/></Relationships>
</file>

<file path=xl/worksheets/_rels/sheet3.xml.rels><Relationships xmlns="http://schemas.openxmlformats.org/package/2006/relationships"><Relationship Type="http://schemas.openxmlformats.org/officeDocument/2006/relationships/hyperlink" Target="https://majidrajpar.github.io/portfolio_my" TargetMode="External" Id="rId1"/><Relationship Type="http://schemas.openxmlformats.org/officeDocument/2006/relationships/hyperlink" Target="https://www.linkedin.com/in/majid-m-4b097118/" TargetMode="External" Id="rId2"/></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hyperlink" Target="https://majidrajpar.github.io/portfolio_my" TargetMode="External" Id="rId1"/><Relationship Type="http://schemas.openxmlformats.org/officeDocument/2006/relationships/hyperlink" Target="https://www.linkedin.com/newsletters/the-audit-signal-7339153291630510080/" TargetMode="External" Id="rId2"/><Relationship Type="http://schemas.openxmlformats.org/officeDocument/2006/relationships/hyperlink" Target="https://www.linkedin.com/in/majid-m-4b097118/" TargetMode="External" Id="rId3"/></Relationships>
</file>

<file path=xl/worksheets/sheet1.xml><?xml version="1.0" encoding="utf-8"?>
<worksheet xmlns="http://schemas.openxmlformats.org/spreadsheetml/2006/main">
  <sheetPr>
    <outlinePr summaryBelow="1" summaryRight="1"/>
    <pageSetUpPr/>
  </sheetPr>
  <dimension ref="A1:F37"/>
  <sheetViews>
    <sheetView showGridLines="1" tabSelected="1" workbookViewId="0">
      <selection activeCell="A1" sqref="A1:F1"/>
    </sheetView>
  </sheetViews>
  <sheetFormatPr baseColWidth="8" defaultRowHeight="14.5"/>
  <cols>
    <col width="6" customWidth="1" style="56" min="1" max="1"/>
    <col width="24" customWidth="1" style="56" min="2" max="2"/>
    <col width="30" customWidth="1" style="56" min="3" max="3"/>
    <col width="22" customWidth="1" style="56" min="4" max="4"/>
    <col width="22" customWidth="1" style="56" min="5" max="5"/>
    <col width="32" customWidth="1" style="56" min="6" max="6"/>
  </cols>
  <sheetData>
    <row r="1" ht="28" customHeight="1" s="56">
      <c r="A1" s="79" t="inlineStr">
        <is>
          <t>INTERNAL AUDIT CONTINUOUS CONTROL TESTING TEMPLATE</t>
        </is>
      </c>
    </row>
    <row r="2" ht="20" customHeight="1" s="56">
      <c r="A2" s="80" t="inlineStr">
        <is>
          <t>Automated Population Exception Testing: Procurement, Accounts Payable &amp; General Ledger</t>
        </is>
      </c>
    </row>
    <row r="3" ht="22" customHeight="1" s="56">
      <c r="A3" s="45" t="n"/>
      <c r="B3" s="81" t="inlineStr">
        <is>
          <t>Framework Architect:</t>
        </is>
      </c>
      <c r="C3" s="82" t="inlineStr">
        <is>
          <t>Majid Mumtaz | CIA, ACA, FCCA, GRCP, GRCA, COSO ERM</t>
        </is>
      </c>
      <c r="D3" s="99" t="inlineStr">
        <is>
          <t>The Audit Signal</t>
        </is>
      </c>
      <c r="E3" s="99" t="inlineStr">
        <is>
          <t>Portfolio &amp; Tools</t>
        </is>
      </c>
      <c r="F3" s="99" t="inlineStr">
        <is>
          <t>LinkedIn Profile</t>
        </is>
      </c>
    </row>
    <row r="4" ht="24" customHeight="1" s="56">
      <c r="A4" s="47" t="n"/>
    </row>
    <row r="5" ht="32" customHeight="1" s="56">
      <c r="A5" s="73" t="n"/>
      <c r="B5" s="81" t="inlineStr">
        <is>
          <t>1. PURPOSE &amp; SCOPE</t>
        </is>
      </c>
    </row>
    <row r="6" ht="42" customHeight="1" s="56">
      <c r="A6" s="73" t="n"/>
      <c r="B6" s="84" t="inlineStr">
        <is>
          <t>This workbook executes automated exception testing across 100% of transaction populations in Procurement, Accounts Payable, and General Ledger. It identifies potential policy circumventions (split orders below delegation limits), master data changes (dormant vendor payment redirection), duplicate invoice disbursements, cutoff timing manipulations, and unsubstantiated round-sum service fees.</t>
        </is>
      </c>
    </row>
    <row r="7" ht="32" customHeight="1" s="56">
      <c r="A7" s="73" t="n"/>
    </row>
    <row r="8" ht="18" customHeight="1" s="56">
      <c r="A8" s="76" t="n"/>
      <c r="B8" s="81" t="inlineStr">
        <is>
          <t>2. HOW TO INPUT CLIENT DATA (STEP-BY-STEP)</t>
        </is>
      </c>
    </row>
    <row r="9" ht="28" customHeight="1" s="56">
      <c r="A9" s="49" t="n"/>
      <c r="B9" s="82" t="inlineStr">
        <is>
          <t>Step 1: Obtain Data</t>
        </is>
      </c>
      <c r="C9" s="84" t="inlineStr">
        <is>
          <t>Request the required flat-file CSV extracts from IT/Finance using the exact column specifications in Tab '02_IT_Data_Request'.</t>
        </is>
      </c>
    </row>
    <row r="10" ht="28" customHeight="1" s="56">
      <c r="A10" s="73" t="n"/>
      <c r="B10" s="82" t="inlineStr">
        <is>
          <t>Step 2: Clear Sample Data</t>
        </is>
      </c>
      <c r="C10" s="84" t="inlineStr">
        <is>
          <t>Go to the target test tab (e.g. 'Test1_Split_POs'). Select the sample data cells in the INPUT columns (Columns with Navy Headers, Row 4 downward) and press Delete. IMPORTANT: Do NOT delete or clear the FORMULA columns (Columns with Slate Headers).</t>
        </is>
      </c>
    </row>
    <row r="11" ht="28" customHeight="1" s="56">
      <c r="B11" s="82" t="inlineStr">
        <is>
          <t>Step 3: Paste Raw Data</t>
        </is>
      </c>
      <c r="C11" s="84" t="inlineStr">
        <is>
          <t>Copy your client's raw CSV extract, select Cell A4 in the target test tab, and paste (Ctrl + V). The Excel Table will expand automatically, and all formulas in adjacent columns will calculate instantly.</t>
        </is>
      </c>
    </row>
    <row r="12" ht="28" customHeight="1" s="56">
      <c r="A12" s="47" t="n"/>
      <c r="B12" s="82" t="inlineStr">
        <is>
          <t>Step 4: Filter Exceptions</t>
        </is>
      </c>
      <c r="C12" s="84" t="inlineStr">
        <is>
          <t>Filter the 'Audit_Flag' column for 'FLAG: ...'. Every flagged row is an exception requiring review.</t>
        </is>
      </c>
    </row>
    <row r="13" ht="28" customHeight="1" s="56">
      <c r="A13" s="49" t="n"/>
      <c r="B13" s="82" t="inlineStr">
        <is>
          <t>Step 5: Review Summary</t>
        </is>
      </c>
      <c r="C13" s="84" t="inlineStr">
        <is>
          <t>Navigate to Tab '99_Summary'. The executive dashboard updates dynamically via structured table references, displaying total exceptions and calculated financial exposure.</t>
        </is>
      </c>
    </row>
    <row r="14" ht="18" customHeight="1" s="56">
      <c r="A14" s="76" t="n"/>
    </row>
    <row r="15" ht="24" customHeight="1" s="56">
      <c r="A15" s="49" t="n"/>
      <c r="B15" s="81" t="inlineStr">
        <is>
          <t>3. DATA INPUT &amp; COLUMN MAPPING MATRIX</t>
        </is>
      </c>
    </row>
    <row r="16" ht="24" customHeight="1" s="56">
      <c r="A16" s="73" t="n"/>
      <c r="B16" s="85" t="inlineStr">
        <is>
          <t>Testing Tab</t>
        </is>
      </c>
      <c r="C16" s="85" t="inlineStr">
        <is>
          <t>Source Data Required</t>
        </is>
      </c>
      <c r="D16" s="85" t="inlineStr">
        <is>
          <t>Data Input Columns (Paste Here)</t>
        </is>
      </c>
      <c r="E16" s="85" t="inlineStr">
        <is>
          <t>Formula Columns (Do Not Overwrite)</t>
        </is>
      </c>
      <c r="F16" s="85" t="inlineStr">
        <is>
          <t>Primary Exception Tested</t>
        </is>
      </c>
    </row>
    <row r="17" ht="24" customHeight="1" s="56">
      <c r="A17" s="76" t="n"/>
      <c r="B17" s="86" t="inlineStr">
        <is>
          <t>Test1_Split_POs</t>
        </is>
      </c>
      <c r="C17" s="87" t="inlineStr">
        <is>
          <t>PO Line Items Extract</t>
        </is>
      </c>
      <c r="D17" s="88" t="inlineStr">
        <is>
          <t>Cols A – H (PO_Number to PO_Status)</t>
        </is>
      </c>
      <c r="E17" s="89" t="inlineStr">
        <is>
          <t>Cols I – M (Window Count, Total, Flag, Exposure)</t>
        </is>
      </c>
      <c r="F17" s="87" t="inlineStr">
        <is>
          <t>POs split &lt; $10k limit within 5 days</t>
        </is>
      </c>
    </row>
    <row r="18" ht="24" customHeight="1" s="56">
      <c r="A18" s="50" t="n"/>
      <c r="B18" s="86" t="inlineStr">
        <is>
          <t>Test2_Dormant_Vendors</t>
        </is>
      </c>
      <c r="C18" s="87" t="inlineStr">
        <is>
          <t>Vendor Master &amp; AP Payments</t>
        </is>
      </c>
      <c r="D18" s="88" t="inlineStr">
        <is>
          <t>Cols A – G (Vendor_ID to Bank_Account_IBAN)</t>
        </is>
      </c>
      <c r="E18" s="89" t="inlineStr">
        <is>
          <t>Cols H – L (Days Dormant, Bank Update, Flag, Exposure)</t>
        </is>
      </c>
      <c r="F18" s="87" t="inlineStr">
        <is>
          <t>Dormant &gt;180 days with recent bank change &lt;=30d</t>
        </is>
      </c>
    </row>
    <row r="19" ht="24" customHeight="1" s="56">
      <c r="A19" s="51" t="n"/>
      <c r="B19" s="86" t="inlineStr">
        <is>
          <t>Test3_Duplicate_Invoices</t>
        </is>
      </c>
      <c r="C19" s="87" t="inlineStr">
        <is>
          <t>AP Invoices Register</t>
        </is>
      </c>
      <c r="D19" s="88" t="inlineStr">
        <is>
          <t>Cols A – C &amp; Cols E – H</t>
        </is>
      </c>
      <c r="E19" s="89" t="inlineStr">
        <is>
          <t>Col D (Clean String) &amp; Cols I – L (Match, Flag, Exposure)</t>
        </is>
      </c>
      <c r="F19" s="87" t="inlineStr">
        <is>
          <t>Near-duplicate invoices bypassing ERP punctuation checks</t>
        </is>
      </c>
    </row>
    <row r="20" ht="24" customHeight="1" s="56">
      <c r="A20" s="73" t="n"/>
      <c r="B20" s="86" t="inlineStr">
        <is>
          <t>Test4_Off_Hours_GL</t>
        </is>
      </c>
      <c r="C20" s="87" t="inlineStr">
        <is>
          <t>General Ledger Journal Lines</t>
        </is>
      </c>
      <c r="D20" s="88" t="inlineStr">
        <is>
          <t>Cols A – G (Journal_ID to Post_Timestamp)</t>
        </is>
      </c>
      <c r="E20" s="89" t="inlineStr">
        <is>
          <t>Cols H – N (Weekend/Time calculations, Flag, Exposure)</t>
        </is>
      </c>
      <c r="F20" s="87" t="inlineStr">
        <is>
          <t>Manual adjustments posted weekends or 19:00 - 07:00</t>
        </is>
      </c>
    </row>
    <row r="21" ht="24" customHeight="1" s="56">
      <c r="A21" s="76" t="n"/>
      <c r="B21" s="86" t="inlineStr">
        <is>
          <t>Test5_Round_Sum_Services</t>
        </is>
      </c>
      <c r="C21" s="87" t="inlineStr">
        <is>
          <t>AP Invoice Line Items</t>
        </is>
      </c>
      <c r="D21" s="88" t="inlineStr">
        <is>
          <t>Cols A – F (Invoice_ID to Created_By)</t>
        </is>
      </c>
      <c r="E21" s="89" t="inlineStr">
        <is>
          <t>Cols G – L (Divisibility checks, High-Risk GL, Flag, Exposure)</t>
        </is>
      </c>
      <c r="F21" s="87" t="inlineStr">
        <is>
          <t>Round fees &gt;= $5k divisible by $1k/$2.5k in Consulting/Legal</t>
        </is>
      </c>
    </row>
    <row r="22" ht="18" customHeight="1" s="56">
      <c r="A22" s="76" t="n"/>
    </row>
    <row r="23" ht="18" customHeight="1" s="56">
      <c r="A23" s="76" t="n"/>
      <c r="B23" s="81" t="inlineStr">
        <is>
          <t>4. WORKPAPER STANDARDS &amp; REPORTING</t>
        </is>
      </c>
    </row>
    <row r="24" ht="55" customHeight="1" s="56">
      <c r="A24" s="76" t="n"/>
      <c r="B24" s="84" t="inlineStr">
        <is>
          <t>• Trace Exceptions to Root Cause: An exception flag represents an audit anomaly, not automatic misconduct. Distinguish between operational coping mechanisms (e.g. buyers splitting orders to prevent delivery shutdowns) and intentional policy evasion.
• Quantify Financial Exposure: Report findings using annualized exposure and price variance estimates rather than reporting sample defect percentages.
• Remediation Focus: Recommend automated ERP system controls (such as requisition consolidation checks and dual-approval bank change gates) rather than mandating additional manual paper checklists.</t>
        </is>
      </c>
    </row>
    <row r="25" ht="18" customHeight="1" s="56">
      <c r="A25" s="76" t="n"/>
    </row>
    <row r="26" ht="18" customHeight="1" s="56">
      <c r="A26" s="76" t="n"/>
    </row>
    <row r="28" ht="22" customHeight="1" s="56">
      <c r="A28" s="44" t="n"/>
    </row>
    <row r="29" ht="18" customHeight="1" s="56">
      <c r="A29" s="76" t="n"/>
    </row>
    <row r="30" ht="18" customHeight="1" s="56">
      <c r="A30" s="76" t="n"/>
    </row>
    <row r="31" ht="18" customHeight="1" s="56">
      <c r="A31" s="76" t="n"/>
    </row>
    <row r="32" ht="18" customHeight="1" s="56">
      <c r="A32" s="76" t="n"/>
    </row>
    <row r="33" ht="18" customHeight="1" s="56">
      <c r="A33" s="76" t="n"/>
    </row>
    <row r="35" ht="22" customHeight="1" s="56">
      <c r="A35" s="44" t="n"/>
    </row>
    <row r="36" ht="18" customHeight="1" s="56">
      <c r="A36" s="76" t="n"/>
    </row>
    <row r="37" ht="18" customHeight="1" s="56">
      <c r="A37" s="76" t="n"/>
    </row>
  </sheetData>
  <mergeCells count="9">
    <mergeCell ref="C13:F13"/>
    <mergeCell ref="A2:F2"/>
    <mergeCell ref="C9:F9"/>
    <mergeCell ref="B6:F6"/>
    <mergeCell ref="B24:F24"/>
    <mergeCell ref="A1:F1"/>
    <mergeCell ref="C12:F12"/>
    <mergeCell ref="C11:F11"/>
    <mergeCell ref="C10:F10"/>
  </mergeCells>
  <hyperlinks>
    <hyperlink xmlns:r="http://schemas.openxmlformats.org/officeDocument/2006/relationships" ref="D3" r:id="rId1"/>
    <hyperlink xmlns:r="http://schemas.openxmlformats.org/officeDocument/2006/relationships" ref="E3" r:id="rId2"/>
    <hyperlink xmlns:r="http://schemas.openxmlformats.org/officeDocument/2006/relationships" ref="F3"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4.5"/>
  <cols>
    <col width="20.7265625" bestFit="1" customWidth="1" style="56" min="1" max="1"/>
    <col width="34.08984375" bestFit="1" customWidth="1" style="56" min="2" max="2"/>
    <col width="33.453125" bestFit="1" customWidth="1" style="56" min="3" max="3"/>
    <col width="34.26953125" bestFit="1" customWidth="1" style="56" min="4" max="4"/>
    <col width="34.54296875" bestFit="1" customWidth="1" style="56" min="5" max="5"/>
    <col width="34.90625" bestFit="1" customWidth="1" style="56" min="6" max="6"/>
  </cols>
  <sheetData>
    <row r="1" ht="26" customHeight="1" s="56">
      <c r="A1" s="90" t="inlineStr">
        <is>
          <t>FIELDWORK AUDIT PROCEDURES &amp; INQUIRY RUBRIC</t>
        </is>
      </c>
    </row>
    <row r="2" ht="18" customHeight="1" s="56">
      <c r="A2" s="91" t="inlineStr">
        <is>
          <t>Substantive Verification Standards &amp; Resolution Criteria for Flagged Exceptions</t>
        </is>
      </c>
    </row>
    <row r="3">
      <c r="A3" s="40" t="inlineStr">
        <is>
          <t>Framework Architect: Majid Mumtaz | CIA, ACA, FCCA, GRCP, GRCA, COSO ERM | The Audit Signal: https://www.linkedin.com/newsletters/the-audit-signal-7339153291630510080/ | Portfolio: https://majidrajpar.github.io/portfolio_my</t>
        </is>
      </c>
      <c r="C3" s="41" t="inlineStr">
        <is>
          <t>Portfolio &amp; Tools</t>
        </is>
      </c>
      <c r="D3" s="41" t="inlineStr">
        <is>
          <t>LinkedIn Profile</t>
        </is>
      </c>
    </row>
    <row r="4" ht="26" customHeight="1" s="56">
      <c r="A4" s="1" t="inlineStr">
        <is>
          <t>Test ID &amp; Risk Category</t>
        </is>
      </c>
      <c r="B4" s="1" t="inlineStr">
        <is>
          <t>Plain-English Detection Logic</t>
        </is>
      </c>
      <c r="C4" s="1" t="inlineStr">
        <is>
          <t>Mandatory Evidence to Pull</t>
        </is>
      </c>
      <c r="D4" s="1" t="inlineStr">
        <is>
          <t>Targeted Auditee Interview Question</t>
        </is>
      </c>
      <c r="E4" s="1" t="inlineStr">
        <is>
          <t>Confirmed Finding vs. False Positive Rule</t>
        </is>
      </c>
      <c r="F4" s="1" t="inlineStr">
        <is>
          <t>Immediate Audit Workpaper Action</t>
        </is>
      </c>
    </row>
    <row r="5" ht="70" customHeight="1" s="56">
      <c r="A5" s="2" t="inlineStr">
        <is>
          <t>Test 1: Split POs
(DOA Limit Evasion)</t>
        </is>
      </c>
      <c r="B5" s="3" t="inlineStr">
        <is>
          <t>Same vendor, same buyer, individual POs &lt; $10k, dated within 5 days, combined sum &gt;= $10k.</t>
        </is>
      </c>
      <c r="C5" s="3" t="inlineStr">
        <is>
          <t>Both PO line item requisitions, underlying vendor quotations, scope of work contracts.</t>
        </is>
      </c>
      <c r="D5" s="52" t="inlineStr">
        <is>
          <t>"Can you walk me through the operational rationale for issuing these two separate orders on [Date 1] and [Date 2] rather than a single consolidated requisition?"</t>
        </is>
      </c>
      <c r="E5" s="52" t="inlineStr">
        <is>
          <t>Confirmed Finding if work scope is contiguous (e.g. Phase 1/Phase 2) or part of a single project commitment. False positive only if items represent unrelated emergency orders.</t>
        </is>
      </c>
      <c r="F5" s="3" t="inlineStr">
        <is>
          <t>Quantify total spend bypassing DOA. Test whether prices paid exceeded negotiated master contract rates.</t>
        </is>
      </c>
    </row>
    <row r="6" ht="70" customHeight="1" s="56">
      <c r="A6" s="4" t="inlineStr">
        <is>
          <t>Test 2: Dormant Vendors
(Cash Redirection)</t>
        </is>
      </c>
      <c r="B6" s="5" t="inlineStr">
        <is>
          <t>Zero activity for &gt;180 days, bank details updated &lt;= 30 days prior to payment disbursement.</t>
        </is>
      </c>
      <c r="C6" s="5" t="inlineStr">
        <is>
          <t>Vendor change log (SAP CDHDR/CDPOS), formal bank letter on vendor letterhead, call-back verification log.</t>
        </is>
      </c>
      <c r="D6" s="53" t="inlineStr">
        <is>
          <t>"Can we review the independent call-back verification log and source bank confirmation letter supporting this bank account update on [Date]?"</t>
        </is>
      </c>
      <c r="E6" s="53" t="inlineStr">
        <is>
          <t>Confirmed Finding if bank change was executed via email alone without independent out-of-band telephone verification to the supplier's registered finance team.</t>
        </is>
      </c>
      <c r="F6" s="5" t="inlineStr">
        <is>
          <t>Issue immediate freeze recommendation on pending disbursements to this vendor. Reconcile bank beneficiary name.</t>
        </is>
      </c>
    </row>
    <row r="7" ht="70" customHeight="1" s="56">
      <c r="A7" s="2" t="inlineStr">
        <is>
          <t>Test 3: Duplicate Invoices
(Double Payment)</t>
        </is>
      </c>
      <c r="B7" s="3" t="inlineStr">
        <is>
          <t>Same vendor, same gross amount, identical alphanumeric string after stripping punctuation ('INV-1099' vs 'INV 1099').</t>
        </is>
      </c>
      <c r="C7" s="3" t="inlineStr">
        <is>
          <t>Both bank payment clearing vouchers, remittance advices, vendor accounts statement.</t>
        </is>
      </c>
      <c r="D7" s="52" t="inlineStr">
        <is>
          <t>"Can we pull the bank settlement confirmations for both vouchers to confirm whether two independent disbursements cleared?"</t>
        </is>
      </c>
      <c r="E7" s="52" t="inlineStr">
        <is>
          <t>Confirmed Finding if two distinct bank transactions cleared. If reversed, determine whether the company caught the double payment or if the supplier notified AP months later.</t>
        </is>
      </c>
      <c r="F7" s="3" t="inlineStr">
        <is>
          <t>Initiate immediate clawback demand for the overpaid amount. Review AP duplicate-invoice detection control settings in ERP.</t>
        </is>
      </c>
    </row>
    <row r="8" ht="70" customHeight="1" s="56">
      <c r="A8" s="4" t="inlineStr">
        <is>
          <t>Test 4: Off-Hours GL
(Cutoff Manipulation)</t>
        </is>
      </c>
      <c r="B8" s="5" t="inlineStr">
        <is>
          <t>Manual journals posted on Saturday/Sunday, or between 7:00 PM and 7:00 AM.</t>
        </is>
      </c>
      <c r="C8" s="5" t="inlineStr">
        <is>
          <t>Journal voucher narration, supporting spreadsheet calculation, manager sign-off timestamp.</t>
        </is>
      </c>
      <c r="D8" s="53" t="inlineStr">
        <is>
          <t>"What operational bottleneck or reporting delay required this journal to be drafted and posted at [Time] on [Date]?"</t>
        </is>
      </c>
      <c r="E8" s="53" t="inlineStr">
        <is>
          <t>Confirmed Finding if manual entries adjust revenue cutoff or inventory provisions without controller pre-approval. Operational note if part of routine scheduled month-end shift.</t>
        </is>
      </c>
      <c r="F8" s="5" t="inlineStr">
        <is>
          <t>Inspect downstream financial statement impact. Verify if the entry reversed an earlier entry posted in the same cycle.</t>
        </is>
      </c>
    </row>
    <row r="9" ht="70" customHeight="1" s="56">
      <c r="A9" s="2" t="inlineStr">
        <is>
          <t>Test 5: Round-Sum Fees
(Unsubstantiated Spend)</t>
        </is>
      </c>
      <c r="B9" s="3" t="inlineStr">
        <is>
          <t>Gross amount &gt;= $5,000, divisible by $1,000 or $2,500, coded to Consulting, Legal, Advisory, or Marketing.</t>
        </is>
      </c>
      <c r="C9" s="3" t="inlineStr">
        <is>
          <t>Signed contract, detailed consultant timesheets, formal written deliverable (deck, memo, report).</t>
        </is>
      </c>
      <c r="D9" s="52" t="inlineStr">
        <is>
          <t>"Can we inspect the formal contract deliverables, project milestone sign-offs, or timesheets supporting this retainer invoice?"</t>
        </is>
      </c>
      <c r="E9" s="52" t="inlineStr">
        <is>
          <t>Confirmed Finding if the voucher contains only a 1-page generic invoice stating 'for services rendered' without work product, contract milestone, or committee sign-off.</t>
        </is>
      </c>
      <c r="F9" s="3" t="inlineStr">
        <is>
          <t>Recommend immediate suspension of recurring retainer until independent verification of work delivered is completed.</t>
        </is>
      </c>
    </row>
    <row r="11" ht="28" customHeight="1" s="56">
      <c r="A11" s="92" t="inlineStr">
        <is>
          <t>PROCEDURE STANDARD: Test full transaction populations deterministically, isolate exceptions, and verify underlying documentation.</t>
        </is>
      </c>
    </row>
  </sheetData>
  <mergeCells count="3">
    <mergeCell ref="A2:F2"/>
    <mergeCell ref="A11:F11"/>
    <mergeCell ref="A1:F1"/>
  </mergeCells>
  <hyperlinks>
    <hyperlink xmlns:r="http://schemas.openxmlformats.org/officeDocument/2006/relationships" ref="C3" r:id="rId1"/>
    <hyperlink xmlns:r="http://schemas.openxmlformats.org/officeDocument/2006/relationships" ref="D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4.5"/>
  <cols>
    <col width="21.90625" bestFit="1" customWidth="1" style="56" min="1" max="1"/>
    <col width="27.54296875" bestFit="1" customWidth="1" style="56" min="2" max="2"/>
    <col width="45" customWidth="1" style="56" min="3" max="3"/>
    <col width="18" customWidth="1" style="56" min="4" max="5"/>
  </cols>
  <sheetData>
    <row r="1" ht="26" customHeight="1" s="56">
      <c r="A1" s="57" t="inlineStr">
        <is>
          <t>DATA EXTRACTION SPECIFICATION FOR IT &amp; DATABASE ADMINISTRATORS</t>
        </is>
      </c>
    </row>
    <row r="2" ht="18" customHeight="1" s="56">
      <c r="A2" s="55" t="inlineStr">
        <is>
          <t>Telemetry Parameters for AP, Procurement, Vendor Master &amp; General Ledger</t>
        </is>
      </c>
    </row>
    <row r="3">
      <c r="A3" s="40" t="inlineStr">
        <is>
          <t>Framework Architect: Majid Mumtaz | CIA, ACA, FCCA, GRCP, GRCA, COSO ERM | The Audit Signal: https://www.linkedin.com/newsletters/the-audit-signal-7339153291630510080/ | Portfolio: https://majidrajpar.github.io/portfolio_my</t>
        </is>
      </c>
      <c r="C3" s="41" t="inlineStr">
        <is>
          <t>Portfolio &amp; Tools</t>
        </is>
      </c>
      <c r="D3" s="41" t="inlineStr">
        <is>
          <t>LinkedIn Profile</t>
        </is>
      </c>
    </row>
    <row r="4" ht="20" customHeight="1" s="56">
      <c r="A4" s="67" t="inlineStr">
        <is>
          <t>EMAIL / TICKET DRAFT TO IT LEAD (COPY &amp; PASTE INTO SERVICE DESK)</t>
        </is>
      </c>
    </row>
    <row r="5" ht="145" customHeight="1" s="56">
      <c r="A5" s="68" t="inlineStr">
        <is>
          <t>Subject: Data Extraction Request: Internal Audit Telemetry [Audit Period]
Hi [IT Lead / Database Administrator],
In connection with our upcoming continuous control &amp; anomaly testing, please provide raw flat-table extracts for the period [Start Date] to [End Date] per the specifications below.
Parameters:
1. Format: Flat CSV or unformatted XLSX (Row 1 headers, unmerged cells, no subtotal rows).
2. Timestamps: Ensure system audit trail timestamps (YYYY-MM-DD HH:MM:SS) in Local Operating Time (GST/UTC+4) and User IDs are included.
3. Scope: 100% of transaction population within the audit period.
4. Change Logs (SAP): For vendor bank modifications, filter CDHDR/CDPOS by OBJECTCLAS='KRED' and TABNAME='LFBK' to utilize cluster indexes.
Please upload extracts to our secure audit directory: [Link]
Thank you,
Internal Audit &amp; Risk Advisory Team</t>
        </is>
      </c>
      <c r="B5" s="60" t="n"/>
      <c r="C5" s="60" t="n"/>
      <c r="D5" s="60" t="n"/>
      <c r="E5" s="61" t="n"/>
    </row>
    <row r="7" ht="20" customHeight="1" s="56">
      <c r="A7" s="67" t="inlineStr">
        <is>
          <t>TABLE 1: AP INVOICES &amp; PAYMENTS EXTRACT (ap_invoices_extract.csv)</t>
        </is>
      </c>
    </row>
    <row r="8" ht="16" customHeight="1" s="56">
      <c r="A8" s="63" t="inlineStr">
        <is>
          <t>Target ERP Tables: SAP (BSEG, BSAK, BSIK, or ACDOCA in S/4HANA) | Oracle (AP_INVOICES_ALL, AP_PAYMENTS_ALL, AP_INVOICE_PAYMENTS_ALL) | NetSuite (Transactions: Bill)</t>
        </is>
      </c>
    </row>
    <row r="9" ht="20" customHeight="1" s="56">
      <c r="A9" s="64" t="inlineStr">
        <is>
          <t>Column Name</t>
        </is>
      </c>
      <c r="B9" s="64" t="inlineStr">
        <is>
          <t>Data Type</t>
        </is>
      </c>
      <c r="C9" s="64" t="inlineStr">
        <is>
          <t>Description / Target System Requirements</t>
        </is>
      </c>
      <c r="D9" s="65" t="n"/>
      <c r="E9" s="66" t="n"/>
    </row>
    <row r="10" ht="18" customHeight="1" s="56">
      <c r="A10" s="7" t="inlineStr">
        <is>
          <t>Vendor_ID</t>
        </is>
      </c>
      <c r="B10" s="59" t="inlineStr">
        <is>
          <t>String / Int</t>
        </is>
      </c>
      <c r="C10" s="59" t="inlineStr">
        <is>
          <t>System unique master vendor identifier</t>
        </is>
      </c>
      <c r="D10" s="60" t="n"/>
      <c r="E10" s="61" t="n"/>
    </row>
    <row r="11" ht="18" customHeight="1" s="56">
      <c r="A11" s="9" t="inlineStr">
        <is>
          <t>Vendor_Name</t>
        </is>
      </c>
      <c r="B11" s="62" t="inlineStr">
        <is>
          <t>String</t>
        </is>
      </c>
      <c r="C11" s="62" t="inlineStr">
        <is>
          <t>Official registered supplier trading name</t>
        </is>
      </c>
      <c r="D11" s="60" t="n"/>
      <c r="E11" s="61" t="n"/>
    </row>
    <row r="12" ht="18" customHeight="1" s="56">
      <c r="A12" s="7" t="inlineStr">
        <is>
          <t>Invoice_Number</t>
        </is>
      </c>
      <c r="B12" s="59" t="inlineStr">
        <is>
          <t>String</t>
        </is>
      </c>
      <c r="C12" s="59" t="inlineStr">
        <is>
          <t>Raw invoice reference number as keyed by AP clerk</t>
        </is>
      </c>
      <c r="D12" s="60" t="n"/>
      <c r="E12" s="61" t="n"/>
    </row>
    <row r="13" ht="18" customHeight="1" s="56">
      <c r="A13" s="9" t="inlineStr">
        <is>
          <t>Invoice_Date</t>
        </is>
      </c>
      <c r="B13" s="62" t="inlineStr">
        <is>
          <t>Date (YYYY-MM-DD)</t>
        </is>
      </c>
      <c r="C13" s="62" t="inlineStr">
        <is>
          <t>Date printed on supplier invoice document</t>
        </is>
      </c>
      <c r="D13" s="60" t="n"/>
      <c r="E13" s="61" t="n"/>
    </row>
    <row r="14" ht="18" customHeight="1" s="56">
      <c r="A14" s="7" t="inlineStr">
        <is>
          <t>Invoice_Amount</t>
        </is>
      </c>
      <c r="B14" s="59" t="inlineStr">
        <is>
          <t>Decimal (2 dp)</t>
        </is>
      </c>
      <c r="C14" s="59" t="inlineStr">
        <is>
          <t>Total invoice gross amount inclusive of VAT/tax</t>
        </is>
      </c>
      <c r="D14" s="60" t="n"/>
      <c r="E14" s="61" t="n"/>
    </row>
    <row r="15" ht="18" customHeight="1" s="56">
      <c r="A15" s="9" t="inlineStr">
        <is>
          <t>Payment_Reference_ID</t>
        </is>
      </c>
      <c r="B15" s="62" t="inlineStr">
        <is>
          <t>String</t>
        </is>
      </c>
      <c r="C15" s="62" t="inlineStr">
        <is>
          <t>Bank clearing voucher or payment document reference</t>
        </is>
      </c>
      <c r="D15" s="60" t="n"/>
      <c r="E15" s="61" t="n"/>
    </row>
    <row r="16" ht="18" customHeight="1" s="56">
      <c r="A16" s="7" t="inlineStr">
        <is>
          <t>Payment_Date</t>
        </is>
      </c>
      <c r="B16" s="59" t="inlineStr">
        <is>
          <t>Date (YYYY-MM-DD)</t>
        </is>
      </c>
      <c r="C16" s="59" t="inlineStr">
        <is>
          <t>Date payment cleared company bank account</t>
        </is>
      </c>
      <c r="D16" s="60" t="n"/>
      <c r="E16" s="61" t="n"/>
    </row>
    <row r="17" ht="18" customHeight="1" s="56">
      <c r="A17" s="9" t="inlineStr">
        <is>
          <t>GL_Account_Code</t>
        </is>
      </c>
      <c r="B17" s="62" t="inlineStr">
        <is>
          <t>String</t>
        </is>
      </c>
      <c r="C17" s="62" t="inlineStr">
        <is>
          <t>Natural expense general ledger account code</t>
        </is>
      </c>
      <c r="D17" s="60" t="n"/>
      <c r="E17" s="61" t="n"/>
    </row>
    <row r="18" ht="18" customHeight="1" s="56">
      <c r="A18" s="7" t="inlineStr">
        <is>
          <t>GL_Account_Name</t>
        </is>
      </c>
      <c r="B18" s="59" t="inlineStr">
        <is>
          <t>String</t>
        </is>
      </c>
      <c r="C18" s="59" t="inlineStr">
        <is>
          <t>Description of GL expense account</t>
        </is>
      </c>
      <c r="D18" s="60" t="n"/>
      <c r="E18" s="61" t="n"/>
    </row>
    <row r="19" ht="18" customHeight="1" s="56">
      <c r="A19" s="9" t="inlineStr">
        <is>
          <t>Line_Description</t>
        </is>
      </c>
      <c r="B19" s="62" t="inlineStr">
        <is>
          <t>String</t>
        </is>
      </c>
      <c r="C19" s="62" t="inlineStr">
        <is>
          <t>Item description / line narration</t>
        </is>
      </c>
      <c r="D19" s="60" t="n"/>
      <c r="E19" s="61" t="n"/>
    </row>
    <row r="20" ht="18" customHeight="1" s="56">
      <c r="A20" s="7" t="inlineStr">
        <is>
          <t>Created_By</t>
        </is>
      </c>
      <c r="B20" s="59" t="inlineStr">
        <is>
          <t>String</t>
        </is>
      </c>
      <c r="C20" s="59" t="inlineStr">
        <is>
          <t>User ID of AP clerk who created the transaction</t>
        </is>
      </c>
      <c r="D20" s="60" t="n"/>
      <c r="E20" s="61" t="n"/>
    </row>
    <row r="21" ht="18" customHeight="1" s="56">
      <c r="A21" s="9" t="inlineStr">
        <is>
          <t>Approved_By</t>
        </is>
      </c>
      <c r="B21" s="62" t="inlineStr">
        <is>
          <t>String</t>
        </is>
      </c>
      <c r="C21" s="62" t="inlineStr">
        <is>
          <t>User ID of approver who released invoice for payment</t>
        </is>
      </c>
      <c r="D21" s="60" t="n"/>
      <c r="E21" s="61" t="n"/>
    </row>
    <row r="22" ht="18" customHeight="1" s="56">
      <c r="A22" s="7" t="inlineStr">
        <is>
          <t>Created_Timestamp</t>
        </is>
      </c>
      <c r="B22" s="59" t="inlineStr">
        <is>
          <t>Datetime (YYYY-MM-DD HH:MM:SS)</t>
        </is>
      </c>
      <c r="C22" s="59" t="inlineStr">
        <is>
          <t>Mandatory system database record commit timestamp</t>
        </is>
      </c>
      <c r="D22" s="60" t="n"/>
      <c r="E22" s="61" t="n"/>
    </row>
    <row r="23" ht="20" customHeight="1" s="56">
      <c r="A23" s="67" t="inlineStr">
        <is>
          <t>TABLE 2: PURCHASE ORDER LINE ITEMS EXTRACT (po_lines_extract.csv)</t>
        </is>
      </c>
    </row>
    <row r="24" ht="16" customHeight="1" s="56">
      <c r="A24" s="63" t="inlineStr">
        <is>
          <t>Target ERP Tables: SAP (EKKO, EKPO) | Oracle (PO_HEADERS_ALL, PO_LINES_ALL) | NetSuite (Purchase Orders)</t>
        </is>
      </c>
    </row>
    <row r="25" ht="20" customHeight="1" s="56">
      <c r="A25" s="64" t="inlineStr">
        <is>
          <t>Column Name</t>
        </is>
      </c>
      <c r="B25" s="64" t="inlineStr">
        <is>
          <t>Data Type</t>
        </is>
      </c>
      <c r="C25" s="64" t="inlineStr">
        <is>
          <t>Description / Target System Requirements</t>
        </is>
      </c>
      <c r="D25" s="65" t="n"/>
      <c r="E25" s="66" t="n"/>
    </row>
    <row r="26" ht="18" customHeight="1" s="56">
      <c r="A26" s="7" t="inlineStr">
        <is>
          <t>PO_Number</t>
        </is>
      </c>
      <c r="B26" s="59" t="inlineStr">
        <is>
          <t>String</t>
        </is>
      </c>
      <c r="C26" s="59" t="inlineStr">
        <is>
          <t>System purchase order identifier</t>
        </is>
      </c>
      <c r="D26" s="60" t="n"/>
      <c r="E26" s="61" t="n"/>
    </row>
    <row r="27" ht="18" customHeight="1" s="56">
      <c r="A27" s="9" t="inlineStr">
        <is>
          <t>PO_Line_Number</t>
        </is>
      </c>
      <c r="B27" s="62" t="inlineStr">
        <is>
          <t>Int</t>
        </is>
      </c>
      <c r="C27" s="62" t="inlineStr">
        <is>
          <t>Line item sequence number</t>
        </is>
      </c>
      <c r="D27" s="60" t="n"/>
      <c r="E27" s="61" t="n"/>
    </row>
    <row r="28" ht="18" customHeight="1" s="56">
      <c r="A28" s="7" t="inlineStr">
        <is>
          <t>Vendor_ID</t>
        </is>
      </c>
      <c r="B28" s="59" t="inlineStr">
        <is>
          <t>String / Int</t>
        </is>
      </c>
      <c r="C28" s="59" t="inlineStr">
        <is>
          <t>System unique master vendor identifier</t>
        </is>
      </c>
      <c r="D28" s="60" t="n"/>
      <c r="E28" s="61" t="n"/>
    </row>
    <row r="29" ht="18" customHeight="1" s="56">
      <c r="A29" s="9" t="inlineStr">
        <is>
          <t>Vendor_Name</t>
        </is>
      </c>
      <c r="B29" s="62" t="inlineStr">
        <is>
          <t>String</t>
        </is>
      </c>
      <c r="C29" s="62" t="inlineStr">
        <is>
          <t>Official supplier trading name</t>
        </is>
      </c>
      <c r="D29" s="60" t="n"/>
      <c r="E29" s="61" t="n"/>
    </row>
    <row r="30" ht="18" customHeight="1" s="56">
      <c r="A30" s="7" t="inlineStr">
        <is>
          <t>PO_Date</t>
        </is>
      </c>
      <c r="B30" s="59" t="inlineStr">
        <is>
          <t>Date (YYYY-MM-DD)</t>
        </is>
      </c>
      <c r="C30" s="59" t="inlineStr">
        <is>
          <t>Date purchase order was issued/approved</t>
        </is>
      </c>
      <c r="D30" s="60" t="n"/>
      <c r="E30" s="61" t="n"/>
    </row>
    <row r="31" ht="18" customHeight="1" s="56">
      <c r="A31" s="9" t="inlineStr">
        <is>
          <t>PO_Amount</t>
        </is>
      </c>
      <c r="B31" s="62" t="inlineStr">
        <is>
          <t>Decimal (2 dp)</t>
        </is>
      </c>
      <c r="C31" s="62" t="inlineStr">
        <is>
          <t>Total committed line item gross amount</t>
        </is>
      </c>
      <c r="D31" s="60" t="n"/>
      <c r="E31" s="61" t="n"/>
    </row>
    <row r="32" ht="18" customHeight="1" s="56">
      <c r="A32" s="7" t="inlineStr">
        <is>
          <t>PO_Description</t>
        </is>
      </c>
      <c r="B32" s="59" t="inlineStr">
        <is>
          <t>String</t>
        </is>
      </c>
      <c r="C32" s="59" t="inlineStr">
        <is>
          <t>Line item description / scope of work</t>
        </is>
      </c>
      <c r="D32" s="60" t="n"/>
      <c r="E32" s="61" t="n"/>
    </row>
    <row r="33" ht="18" customHeight="1" s="56">
      <c r="A33" s="9" t="inlineStr">
        <is>
          <t>Created_By</t>
        </is>
      </c>
      <c r="B33" s="62" t="inlineStr">
        <is>
          <t>String</t>
        </is>
      </c>
      <c r="C33" s="62" t="inlineStr">
        <is>
          <t>Buyer / Requester User ID</t>
        </is>
      </c>
      <c r="D33" s="60" t="n"/>
      <c r="E33" s="61" t="n"/>
    </row>
    <row r="34" ht="18" customHeight="1" s="56">
      <c r="A34" s="7" t="inlineStr">
        <is>
          <t>Approved_By</t>
        </is>
      </c>
      <c r="B34" s="59" t="inlineStr">
        <is>
          <t>String</t>
        </is>
      </c>
      <c r="C34" s="59" t="inlineStr">
        <is>
          <t>Final DOA Approver User ID</t>
        </is>
      </c>
      <c r="D34" s="60" t="n"/>
      <c r="E34" s="61" t="n"/>
    </row>
    <row r="35" ht="18" customHeight="1" s="56">
      <c r="A35" s="9" t="inlineStr">
        <is>
          <t>PO_Status</t>
        </is>
      </c>
      <c r="B35" s="62" t="inlineStr">
        <is>
          <t>String</t>
        </is>
      </c>
      <c r="C35" s="62" t="inlineStr">
        <is>
          <t>PO lifecycle status (Approved, Closed, Invoiced)</t>
        </is>
      </c>
      <c r="D35" s="60" t="n"/>
      <c r="E35" s="61" t="n"/>
    </row>
    <row r="36" ht="20" customHeight="1" s="56">
      <c r="A36" s="67" t="inlineStr">
        <is>
          <t>TABLE 3: VENDOR MASTER &amp; BANK AUDIT LOG (vendor_master_extract.csv)</t>
        </is>
      </c>
    </row>
    <row r="37" ht="16" customHeight="1" s="56">
      <c r="A37" s="63" t="inlineStr">
        <is>
          <t>Target ERP Tables: SAP (LFA1, LFBK, CDHDR/CDPOS with OBJECTCLAS='KRED' &amp; TABNAME='LFBK') | Oracle (AP_SUPPLIERS, IBY_EXT_BANK_ACCOUNTS, IBY_PMT_INSTR_USES_ALL)</t>
        </is>
      </c>
    </row>
    <row r="38" ht="20" customHeight="1" s="56">
      <c r="A38" s="64" t="inlineStr">
        <is>
          <t>Column Name</t>
        </is>
      </c>
      <c r="B38" s="64" t="inlineStr">
        <is>
          <t>Data Type</t>
        </is>
      </c>
      <c r="C38" s="64" t="inlineStr">
        <is>
          <t>Description / Target System Requirements</t>
        </is>
      </c>
      <c r="D38" s="65" t="n"/>
      <c r="E38" s="66" t="n"/>
    </row>
    <row r="39" ht="18" customHeight="1" s="56">
      <c r="A39" s="7" t="inlineStr">
        <is>
          <t>Vendor_ID</t>
        </is>
      </c>
      <c r="B39" s="59" t="inlineStr">
        <is>
          <t>String / Int</t>
        </is>
      </c>
      <c r="C39" s="59" t="inlineStr">
        <is>
          <t>System unique master vendor identifier</t>
        </is>
      </c>
      <c r="D39" s="60" t="n"/>
      <c r="E39" s="61" t="n"/>
    </row>
    <row r="40" ht="18" customHeight="1" s="56">
      <c r="A40" s="9" t="inlineStr">
        <is>
          <t>Vendor_Name</t>
        </is>
      </c>
      <c r="B40" s="62" t="inlineStr">
        <is>
          <t>String</t>
        </is>
      </c>
      <c r="C40" s="62" t="inlineStr">
        <is>
          <t>Official registered trading name</t>
        </is>
      </c>
      <c r="D40" s="60" t="n"/>
      <c r="E40" s="61" t="n"/>
    </row>
    <row r="41" ht="18" customHeight="1" s="56">
      <c r="A41" s="7" t="inlineStr">
        <is>
          <t>Vendor_Status</t>
        </is>
      </c>
      <c r="B41" s="59" t="inlineStr">
        <is>
          <t>String</t>
        </is>
      </c>
      <c r="C41" s="59" t="inlineStr">
        <is>
          <t>Master vendor status (Active, Inactive, Blocked)</t>
        </is>
      </c>
      <c r="D41" s="60" t="n"/>
      <c r="E41" s="61" t="n"/>
    </row>
    <row r="42" ht="18" customHeight="1" s="56">
      <c r="A42" s="9" t="inlineStr">
        <is>
          <t>Bank_Account_Number</t>
        </is>
      </c>
      <c r="B42" s="62" t="inlineStr">
        <is>
          <t>String</t>
        </is>
      </c>
      <c r="C42" s="62" t="inlineStr">
        <is>
          <t>Registered bank IBAN / account number</t>
        </is>
      </c>
      <c r="D42" s="60" t="n"/>
      <c r="E42" s="61" t="n"/>
    </row>
    <row r="43" ht="18" customHeight="1" s="56">
      <c r="A43" s="7" t="inlineStr">
        <is>
          <t>Bank_Details_Last_Updated</t>
        </is>
      </c>
      <c r="B43" s="59" t="inlineStr">
        <is>
          <t>Date (YYYY-MM-DD)</t>
        </is>
      </c>
      <c r="C43" s="59" t="inlineStr">
        <is>
          <t>Mandatory timestamp of last bank master change</t>
        </is>
      </c>
      <c r="D43" s="60" t="n"/>
      <c r="E43" s="61" t="n"/>
    </row>
    <row r="44" ht="18" customHeight="1" s="56">
      <c r="A44" s="9" t="inlineStr">
        <is>
          <t>Previous_Active_Date</t>
        </is>
      </c>
      <c r="B44" s="62" t="inlineStr">
        <is>
          <t>Date (YYYY-MM-DD)</t>
        </is>
      </c>
      <c r="C44" s="62" t="inlineStr">
        <is>
          <t>Date of last invoice/payment prior to audit period</t>
        </is>
      </c>
      <c r="D44" s="60" t="n"/>
      <c r="E44" s="61" t="n"/>
    </row>
    <row r="45" ht="20" customHeight="1" s="56">
      <c r="A45" s="67" t="inlineStr">
        <is>
          <t>TABLE 4: GENERAL LEDGER JOURNAL ENTRIES (gl_journals_extract.csv)</t>
        </is>
      </c>
    </row>
    <row r="46" ht="16" customHeight="1" s="56">
      <c r="A46" s="63" t="inlineStr">
        <is>
          <t>Target ERP Tables: SAP (FAGLFLEXA, BSEG) | Oracle (GL_JE_LINES, GL_JE_HEADERS)</t>
        </is>
      </c>
    </row>
    <row r="47" ht="20" customHeight="1" s="56">
      <c r="A47" s="64" t="inlineStr">
        <is>
          <t>Column Name</t>
        </is>
      </c>
      <c r="B47" s="64" t="inlineStr">
        <is>
          <t>Data Type</t>
        </is>
      </c>
      <c r="C47" s="64" t="inlineStr">
        <is>
          <t>Description / Target System Requirements</t>
        </is>
      </c>
      <c r="D47" s="65" t="n"/>
      <c r="E47" s="66" t="n"/>
    </row>
    <row r="48" ht="18" customHeight="1" s="56">
      <c r="A48" s="7" t="inlineStr">
        <is>
          <t>Journal_ID</t>
        </is>
      </c>
      <c r="B48" s="59" t="inlineStr">
        <is>
          <t>String</t>
        </is>
      </c>
      <c r="C48" s="59" t="inlineStr">
        <is>
          <t>Journal voucher reference identifier</t>
        </is>
      </c>
      <c r="D48" s="60" t="n"/>
      <c r="E48" s="61" t="n"/>
    </row>
    <row r="49" ht="18" customHeight="1" s="56">
      <c r="A49" s="9" t="inlineStr">
        <is>
          <t>Account_Code</t>
        </is>
      </c>
      <c r="B49" s="62" t="inlineStr">
        <is>
          <t>String</t>
        </is>
      </c>
      <c r="C49" s="62" t="inlineStr">
        <is>
          <t>General ledger account code</t>
        </is>
      </c>
      <c r="D49" s="60" t="n"/>
      <c r="E49" s="61" t="n"/>
    </row>
    <row r="50" ht="18" customHeight="1" s="56">
      <c r="A50" s="7" t="inlineStr">
        <is>
          <t>Account_Name</t>
        </is>
      </c>
      <c r="B50" s="59" t="inlineStr">
        <is>
          <t>String</t>
        </is>
      </c>
      <c r="C50" s="59" t="inlineStr">
        <is>
          <t>General ledger account description</t>
        </is>
      </c>
      <c r="D50" s="60" t="n"/>
      <c r="E50" s="61" t="n"/>
    </row>
    <row r="51" ht="18" customHeight="1" s="56">
      <c r="A51" s="9" t="inlineStr">
        <is>
          <t>Debit_Amount</t>
        </is>
      </c>
      <c r="B51" s="62" t="inlineStr">
        <is>
          <t>Decimal (2 dp)</t>
        </is>
      </c>
      <c r="C51" s="62" t="inlineStr">
        <is>
          <t>Debit value in transaction currency</t>
        </is>
      </c>
      <c r="D51" s="60" t="n"/>
      <c r="E51" s="61" t="n"/>
    </row>
    <row r="52" ht="18" customHeight="1" s="56">
      <c r="A52" s="7" t="inlineStr">
        <is>
          <t>Credit_Amount</t>
        </is>
      </c>
      <c r="B52" s="59" t="inlineStr">
        <is>
          <t>Decimal (2 dp)</t>
        </is>
      </c>
      <c r="C52" s="59" t="inlineStr">
        <is>
          <t>Credit value in transaction currency</t>
        </is>
      </c>
      <c r="D52" s="60" t="n"/>
      <c r="E52" s="61" t="n"/>
    </row>
    <row r="53" ht="18" customHeight="1" s="56">
      <c r="A53" s="9" t="inlineStr">
        <is>
          <t>Created_By</t>
        </is>
      </c>
      <c r="B53" s="62" t="inlineStr">
        <is>
          <t>String</t>
        </is>
      </c>
      <c r="C53" s="62" t="inlineStr">
        <is>
          <t>User ID of poster who drafted/committed entry</t>
        </is>
      </c>
      <c r="D53" s="60" t="n"/>
      <c r="E53" s="61" t="n"/>
    </row>
    <row r="54" ht="18" customHeight="1" s="56">
      <c r="A54" s="7" t="inlineStr">
        <is>
          <t>Post_Timestamp</t>
        </is>
      </c>
      <c r="B54" s="59" t="inlineStr">
        <is>
          <t>Datetime (YYYY-MM-DD HH:MM:SS)</t>
        </is>
      </c>
      <c r="C54" s="59" t="inlineStr">
        <is>
          <t>Mandatory exact database commit timestamp</t>
        </is>
      </c>
      <c r="D54" s="60" t="n"/>
      <c r="E54" s="61" t="n"/>
    </row>
    <row r="55" ht="18" customHeight="1" s="56">
      <c r="A55" s="9" t="inlineStr">
        <is>
          <t>Journal_Source</t>
        </is>
      </c>
      <c r="B55" s="62" t="inlineStr">
        <is>
          <t>String</t>
        </is>
      </c>
      <c r="C55" s="62" t="inlineStr">
        <is>
          <t>Entry source (Manual Journal, Batch, Subledger)</t>
        </is>
      </c>
      <c r="D55" s="60" t="n"/>
      <c r="E55" s="61" t="n"/>
    </row>
    <row r="56" ht="18" customHeight="1" s="56">
      <c r="A56" s="7" t="inlineStr">
        <is>
          <t>Description</t>
        </is>
      </c>
      <c r="B56" s="59" t="inlineStr">
        <is>
          <t>String</t>
        </is>
      </c>
      <c r="C56" s="59" t="inlineStr">
        <is>
          <t>Journal line narration / transaction justification</t>
        </is>
      </c>
      <c r="D56" s="60" t="n"/>
      <c r="E56" s="61" t="n"/>
    </row>
  </sheetData>
  <mergeCells count="54">
    <mergeCell ref="C16:E16"/>
    <mergeCell ref="C54:E54"/>
    <mergeCell ref="C50:E50"/>
    <mergeCell ref="C44:E44"/>
    <mergeCell ref="C41:E41"/>
    <mergeCell ref="A24:E24"/>
    <mergeCell ref="C55:E55"/>
    <mergeCell ref="C31:E31"/>
    <mergeCell ref="C22:E22"/>
    <mergeCell ref="C40:E40"/>
    <mergeCell ref="C9:E9"/>
    <mergeCell ref="A1:E1"/>
    <mergeCell ref="A45:E45"/>
    <mergeCell ref="C56:E56"/>
    <mergeCell ref="A36:E36"/>
    <mergeCell ref="C21:E21"/>
    <mergeCell ref="C43:E43"/>
    <mergeCell ref="C12:E12"/>
    <mergeCell ref="C51:E51"/>
    <mergeCell ref="C11:E11"/>
    <mergeCell ref="C27:E27"/>
    <mergeCell ref="C52:E52"/>
    <mergeCell ref="A7:E7"/>
    <mergeCell ref="C39:E39"/>
    <mergeCell ref="C48:E48"/>
    <mergeCell ref="C17:E17"/>
    <mergeCell ref="A37:E37"/>
    <mergeCell ref="A46:E46"/>
    <mergeCell ref="C32:E32"/>
    <mergeCell ref="C38:E38"/>
    <mergeCell ref="C28:E28"/>
    <mergeCell ref="C19:E19"/>
    <mergeCell ref="A2:E2"/>
    <mergeCell ref="C13:E13"/>
    <mergeCell ref="C53:E53"/>
    <mergeCell ref="C18:E18"/>
    <mergeCell ref="C49:E49"/>
    <mergeCell ref="A5:E5"/>
    <mergeCell ref="A23:E23"/>
    <mergeCell ref="A8:E8"/>
    <mergeCell ref="C30:E30"/>
    <mergeCell ref="C34:E34"/>
    <mergeCell ref="C15:E15"/>
    <mergeCell ref="C42:E42"/>
    <mergeCell ref="C33:E33"/>
    <mergeCell ref="A4:E4"/>
    <mergeCell ref="C14:E14"/>
    <mergeCell ref="C10:E10"/>
    <mergeCell ref="C26:E26"/>
    <mergeCell ref="C29:E29"/>
    <mergeCell ref="C20:E20"/>
    <mergeCell ref="C35:E35"/>
    <mergeCell ref="C25:E25"/>
    <mergeCell ref="C47:E47"/>
  </mergeCells>
  <hyperlinks>
    <hyperlink xmlns:r="http://schemas.openxmlformats.org/officeDocument/2006/relationships" ref="C3" r:id="rId1"/>
    <hyperlink xmlns:r="http://schemas.openxmlformats.org/officeDocument/2006/relationships" ref="D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showGridLines="1" workbookViewId="0">
      <selection activeCell="A1" sqref="A1"/>
    </sheetView>
  </sheetViews>
  <sheetFormatPr baseColWidth="8" defaultRowHeight="14.5"/>
  <cols>
    <col width="15.1796875" bestFit="1" customWidth="1" style="56" min="1" max="1"/>
    <col width="12.1796875" bestFit="1" customWidth="1" style="56" min="2" max="2"/>
    <col width="14" customWidth="1" style="56" min="3" max="3"/>
    <col width="21.6328125" bestFit="1" customWidth="1" style="56" min="4" max="4"/>
    <col width="16.1796875" bestFit="1" customWidth="1" style="56" min="5" max="5"/>
    <col width="15.08984375" bestFit="1" customWidth="1" style="56" min="6" max="6"/>
    <col width="29.81640625" bestFit="1" customWidth="1" style="56" min="7" max="7"/>
    <col width="13.453125" bestFit="1" customWidth="1" style="56" min="8" max="8"/>
    <col width="22.453125" bestFit="1" customWidth="1" style="56" min="9" max="9"/>
    <col width="21.54296875" bestFit="1" customWidth="1" style="56" min="10" max="10"/>
    <col width="13.90625" bestFit="1" customWidth="1" style="56" min="11" max="11"/>
    <col width="20.81640625" bestFit="1" customWidth="1" style="56" min="12" max="12"/>
    <col width="70.7265625" bestFit="1" customWidth="1" style="56" min="13" max="13"/>
  </cols>
  <sheetData>
    <row r="1" ht="26" customHeight="1" s="56">
      <c r="A1" s="90" t="inlineStr">
        <is>
          <t>TEST 1: SPLIT PURCHASE ORDERS (&lt; $10,000 LIMIT)</t>
        </is>
      </c>
    </row>
    <row r="2" ht="20" customHeight="1" s="56">
      <c r="A2" s="93" t="inlineStr">
        <is>
          <t>INSTRUCTIONS: Paste raw PO lines into Columns A to H starting at Cell A4. Do NOT overwrite Columns I to M (Formulas calculate automatically).</t>
        </is>
      </c>
    </row>
    <row r="3" ht="26" customHeight="1" s="56" thickBot="1">
      <c r="A3" s="94" t="inlineStr">
        <is>
          <t>PO_Number</t>
        </is>
      </c>
      <c r="B3" s="94" t="inlineStr">
        <is>
          <t>PO_Date</t>
        </is>
      </c>
      <c r="C3" s="94" t="inlineStr">
        <is>
          <t>Vendor_ID</t>
        </is>
      </c>
      <c r="D3" s="94" t="inlineStr">
        <is>
          <t>Vendor_Name</t>
        </is>
      </c>
      <c r="E3" s="94" t="inlineStr">
        <is>
          <t>Buyer_ID</t>
        </is>
      </c>
      <c r="F3" s="94" t="inlineStr">
        <is>
          <t>PO_Amount</t>
        </is>
      </c>
      <c r="G3" s="94" t="inlineStr">
        <is>
          <t>PO_Description</t>
        </is>
      </c>
      <c r="H3" s="94" t="inlineStr">
        <is>
          <t>PO_Status</t>
        </is>
      </c>
      <c r="I3" s="95" t="inlineStr">
        <is>
          <t>Split_Window_Count</t>
        </is>
      </c>
      <c r="J3" s="95" t="inlineStr">
        <is>
          <t>Split_Window_Total</t>
        </is>
      </c>
      <c r="K3" s="95" t="inlineStr">
        <is>
          <t>Audit_Flag</t>
        </is>
      </c>
      <c r="L3" s="95" t="inlineStr">
        <is>
          <t>Financial_Exposure</t>
        </is>
      </c>
      <c r="M3" s="95" t="inlineStr">
        <is>
          <t>Audit_Workpaper_Notes</t>
        </is>
      </c>
    </row>
    <row r="4" ht="20" customHeight="1" s="56">
      <c r="A4" s="7" t="inlineStr">
        <is>
          <t>PO-2026-1041</t>
        </is>
      </c>
      <c r="B4" s="11" t="n">
        <v>46082</v>
      </c>
      <c r="C4" s="59" t="inlineStr">
        <is>
          <t>V-1029</t>
        </is>
      </c>
      <c r="D4" s="59" t="inlineStr">
        <is>
          <t>Apex Logistics Solutions</t>
        </is>
      </c>
      <c r="E4" s="59" t="inlineStr">
        <is>
          <t>USR_JSMITH</t>
        </is>
      </c>
      <c r="F4" s="12" t="n">
        <v>8500</v>
      </c>
      <c r="G4" s="59" t="inlineStr">
        <is>
          <t>Warehouse racking expansion - Phase 1</t>
        </is>
      </c>
      <c r="H4" s="59" t="inlineStr">
        <is>
          <t>Approved</t>
        </is>
      </c>
      <c r="I4" s="13">
        <f>IF(OR(F4&lt;=0, ISBLANK(F4), NOT(ISNUMBER(F4)), ISBLANK(B4)), 0, COUNTIFS($C:$C, C4, $E:$E, E4, $B:$B, "&gt;="&amp;(B4-5), $B:$B, "&lt;="&amp;(B4+5), $F:$F, "&gt;0", $F:$F, "&lt;10000"))</f>
        <v/>
      </c>
      <c r="J4" s="14">
        <f>IF(OR(F4&lt;=0, ISBLANK(F4), NOT(ISNUMBER(F4)), ISBLANK(B4)), 0, SUMIFS($F:$F, $C:$C, C4, $E:$E, E4, $B:$B, "&gt;="&amp;(B4-5), $B:$B, "&lt;="&amp;(B4+5), $F:$F, "&gt;0", $F:$F, "&lt;10000"))</f>
        <v/>
      </c>
      <c r="K4" s="15">
        <f>IF(AND(ISNUMBER(F4), F4&gt;0, F4&lt;10000, I4&gt;1, J4&gt;=10000), "FLAG: SPLIT PO", "OK")</f>
        <v/>
      </c>
      <c r="L4" s="16">
        <f>IF(K4="FLAG: SPLIT PO", F4, 0)</f>
        <v/>
      </c>
      <c r="M4" s="54" t="inlineStr">
        <is>
          <t>Split order pair: PO-2026-1041 ($8,500) and PO-2026-1045 ($9,000) issued to Apex within 48h for warehouse racking. Combined $17,500 exceeds $10k single-buyer DOA limit.</t>
        </is>
      </c>
    </row>
    <row r="5" ht="20" customHeight="1" s="56">
      <c r="A5" s="7" t="inlineStr">
        <is>
          <t>PO-2026-1045</t>
        </is>
      </c>
      <c r="B5" s="11" t="n">
        <v>46084</v>
      </c>
      <c r="C5" s="59" t="inlineStr">
        <is>
          <t>V-1029</t>
        </is>
      </c>
      <c r="D5" s="59" t="inlineStr">
        <is>
          <t>Apex Logistics Solutions</t>
        </is>
      </c>
      <c r="E5" s="59" t="inlineStr">
        <is>
          <t>USR_JSMITH</t>
        </is>
      </c>
      <c r="F5" s="12" t="n">
        <v>9000</v>
      </c>
      <c r="G5" s="59" t="inlineStr">
        <is>
          <t>Warehouse racking expansion - Phase 2</t>
        </is>
      </c>
      <c r="H5" s="59" t="inlineStr">
        <is>
          <t>Approved</t>
        </is>
      </c>
      <c r="I5" s="13">
        <f>IF(OR(F5&lt;=0, ISBLANK(F5), NOT(ISNUMBER(F5)), ISBLANK(B5)), 0, COUNTIFS($C:$C, C5, $E:$E, E5, $B:$B, "&gt;="&amp;(B5-5), $B:$B, "&lt;="&amp;(B5+5), $F:$F, "&gt;0", $F:$F, "&lt;10000"))</f>
        <v/>
      </c>
      <c r="J5" s="14">
        <f>IF(OR(F5&lt;=0, ISBLANK(F5), NOT(ISNUMBER(F5)), ISBLANK(B5)), 0, SUMIFS($F:$F, $C:$C, C5, $E:$E, E5, $B:$B, "&gt;="&amp;(B5-5), $B:$B, "&lt;="&amp;(B5+5), $F:$F, "&gt;0", $F:$F, "&lt;10000"))</f>
        <v/>
      </c>
      <c r="K5" s="15">
        <f>IF(AND(ISNUMBER(F5), F5&gt;0, F5&lt;10000, I5&gt;1, J5&gt;=10000), "FLAG: SPLIT PO", "OK")</f>
        <v/>
      </c>
      <c r="L5" s="16">
        <f>IF(K5="FLAG: SPLIT PO", F5, 0)</f>
        <v/>
      </c>
      <c r="M5" s="54" t="inlineStr">
        <is>
          <t>Split order pair: PO-2026-1045 ($9,000) paired with PO-2026-1041 ($8,500). Same buyer, contiguous scope. Total $17,500.</t>
        </is>
      </c>
    </row>
    <row r="6" ht="20" customHeight="1" s="56">
      <c r="A6" s="7" t="inlineStr">
        <is>
          <t>PO-2026-1088</t>
        </is>
      </c>
      <c r="B6" s="11" t="n">
        <v>46091</v>
      </c>
      <c r="C6" s="59" t="inlineStr">
        <is>
          <t>V-1055</t>
        </is>
      </c>
      <c r="D6" s="59" t="inlineStr">
        <is>
          <t>DataCore Systems FZ</t>
        </is>
      </c>
      <c r="E6" s="59" t="inlineStr">
        <is>
          <t>USR_MKHAN</t>
        </is>
      </c>
      <c r="F6" s="12" t="n">
        <v>4800</v>
      </c>
      <c r="G6" s="59" t="inlineStr">
        <is>
          <t>Core server migration - Milestone 1</t>
        </is>
      </c>
      <c r="H6" s="59" t="inlineStr">
        <is>
          <t>Approved</t>
        </is>
      </c>
      <c r="I6" s="13">
        <f>IF(OR(F6&lt;=0, ISBLANK(F6), NOT(ISNUMBER(F6)), ISBLANK(B6)), 0, COUNTIFS($C:$C, C6, $E:$E, E6, $B:$B, "&gt;="&amp;(B6-5), $B:$B, "&lt;="&amp;(B6+5), $F:$F, "&gt;0", $F:$F, "&lt;10000"))</f>
        <v/>
      </c>
      <c r="J6" s="14">
        <f>IF(OR(F6&lt;=0, ISBLANK(F6), NOT(ISNUMBER(F6)), ISBLANK(B6)), 0, SUMIFS($F:$F, $C:$C, C6, $E:$E, E6, $B:$B, "&gt;="&amp;(B6-5), $B:$B, "&lt;="&amp;(B6+5), $F:$F, "&gt;0", $F:$F, "&lt;10000"))</f>
        <v/>
      </c>
      <c r="K6" s="15">
        <f>IF(AND(ISNUMBER(F6), F6&gt;0, F6&lt;10000, I6&gt;1, J6&gt;=10000), "FLAG: SPLIT PO", "OK")</f>
        <v/>
      </c>
      <c r="L6" s="16">
        <f>IF(K6="FLAG: SPLIT PO", F6, 0)</f>
        <v/>
      </c>
      <c r="M6" s="54" t="inlineStr">
        <is>
          <t>Split order pair: PO-2026-1088 ($4,800) and PO-2026-1090 ($4,500) issued to DataCore for server migration storage modules within 24h.</t>
        </is>
      </c>
    </row>
    <row r="7" ht="20" customHeight="1" s="56">
      <c r="A7" s="7" t="inlineStr">
        <is>
          <t>PO-2026-1090</t>
        </is>
      </c>
      <c r="B7" s="11" t="n">
        <v>46092</v>
      </c>
      <c r="C7" s="59" t="inlineStr">
        <is>
          <t>V-1055</t>
        </is>
      </c>
      <c r="D7" s="59" t="inlineStr">
        <is>
          <t>DataCore Systems FZ</t>
        </is>
      </c>
      <c r="E7" s="59" t="inlineStr">
        <is>
          <t>USR_MKHAN</t>
        </is>
      </c>
      <c r="F7" s="12" t="n">
        <v>4500</v>
      </c>
      <c r="G7" s="59" t="inlineStr">
        <is>
          <t>Core server migration - Milestone 2</t>
        </is>
      </c>
      <c r="H7" s="59" t="inlineStr">
        <is>
          <t>Approved</t>
        </is>
      </c>
      <c r="I7" s="13">
        <f>IF(OR(F7&lt;=0, ISBLANK(F7), NOT(ISNUMBER(F7)), ISBLANK(B7)), 0, COUNTIFS($C:$C, C7, $E:$E, E7, $B:$B, "&gt;="&amp;(B7-5), $B:$B, "&lt;="&amp;(B7+5), $F:$F, "&gt;0", $F:$F, "&lt;10000"))</f>
        <v/>
      </c>
      <c r="J7" s="14">
        <f>IF(OR(F7&lt;=0, ISBLANK(F7), NOT(ISNUMBER(F7)), ISBLANK(B7)), 0, SUMIFS($F:$F, $C:$C, C7, $E:$E, E7, $B:$B, "&gt;="&amp;(B7-5), $B:$B, "&lt;="&amp;(B7+5), $F:$F, "&gt;0", $F:$F, "&lt;10000"))</f>
        <v/>
      </c>
      <c r="K7" s="15">
        <f>IF(AND(ISNUMBER(F7), F7&gt;0, F7&lt;10000, I7&gt;1, J7&gt;=10000), "FLAG: SPLIT PO", "OK")</f>
        <v/>
      </c>
      <c r="L7" s="16">
        <f>IF(K7="FLAG: SPLIT PO", F7, 0)</f>
        <v/>
      </c>
      <c r="M7" s="54" t="inlineStr">
        <is>
          <t>Split order pair: PO-2026-1090 ($4,500) paired with PO-2026-1088 ($4,800). Same buyer (USR_MKHAN). Combined commitment $9,300. (Sum &lt; $10k, unflagged).</t>
        </is>
      </c>
    </row>
    <row r="8" ht="20" customHeight="1" s="56">
      <c r="A8" s="7" t="inlineStr">
        <is>
          <t>PO-2026-1094</t>
        </is>
      </c>
      <c r="B8" s="11" t="n">
        <v>46094</v>
      </c>
      <c r="C8" s="59" t="inlineStr">
        <is>
          <t>V-1055</t>
        </is>
      </c>
      <c r="D8" s="59" t="inlineStr">
        <is>
          <t>DataCore Systems FZ</t>
        </is>
      </c>
      <c r="E8" s="59" t="inlineStr">
        <is>
          <t>USR_MKHAN</t>
        </is>
      </c>
      <c r="F8" s="12" t="n">
        <v>4200</v>
      </c>
      <c r="G8" s="59" t="inlineStr">
        <is>
          <t>Core server migration - Milestone 3</t>
        </is>
      </c>
      <c r="H8" s="59" t="inlineStr">
        <is>
          <t>Approved</t>
        </is>
      </c>
      <c r="I8" s="13">
        <f>IF(OR(F8&lt;=0, ISBLANK(F8), NOT(ISNUMBER(F8)), ISBLANK(B8)), 0, COUNTIFS($C:$C, C8, $E:$E, E8, $B:$B, "&gt;="&amp;(B8-5), $B:$B, "&lt;="&amp;(B8+5), $F:$F, "&gt;0", $F:$F, "&lt;10000"))</f>
        <v/>
      </c>
      <c r="J8" s="14">
        <f>IF(OR(F8&lt;=0, ISBLANK(F8), NOT(ISNUMBER(F8)), ISBLANK(B8)), 0, SUMIFS($F:$F, $C:$C, C8, $E:$E, E8, $B:$B, "&gt;="&amp;(B8-5), $B:$B, "&lt;="&amp;(B8+5), $F:$F, "&gt;0", $F:$F, "&lt;10000"))</f>
        <v/>
      </c>
      <c r="K8" s="15">
        <f>IF(AND(ISNUMBER(F8), F8&gt;0, F8&lt;10000, I8&gt;1, J8&gt;=10000), "FLAG: SPLIT PO", "OK")</f>
        <v/>
      </c>
      <c r="L8" s="16">
        <f>IF(K8="FLAG: SPLIT PO", F8, 0)</f>
        <v/>
      </c>
      <c r="M8" s="54" t="inlineStr">
        <is>
          <t>Split triplet: PO-2026-1120 ($3,200), PO-2026-1122 ($3,500), PO-2026-1125 ($3,800) issued to BlueFin within 5 days. Combined $10,500 exceeds DOA.</t>
        </is>
      </c>
    </row>
    <row r="9" ht="20" customHeight="1" s="56">
      <c r="A9" s="7" t="inlineStr">
        <is>
          <t>PO-2026-1012</t>
        </is>
      </c>
      <c r="B9" s="11" t="n">
        <v>46083</v>
      </c>
      <c r="C9" s="59" t="inlineStr">
        <is>
          <t>V-1010</t>
        </is>
      </c>
      <c r="D9" s="59" t="inlineStr">
        <is>
          <t>Global Freight Express</t>
        </is>
      </c>
      <c r="E9" s="59" t="inlineStr">
        <is>
          <t>USR_JSMITH</t>
        </is>
      </c>
      <c r="F9" s="12" t="n">
        <v>45000</v>
      </c>
      <c r="G9" s="59" t="inlineStr">
        <is>
          <t>Annual ocean freight logistics contract</t>
        </is>
      </c>
      <c r="H9" s="59" t="inlineStr">
        <is>
          <t>Approved</t>
        </is>
      </c>
      <c r="I9" s="13">
        <f>IF(OR(F9&lt;=0, ISBLANK(F9), NOT(ISNUMBER(F9)), ISBLANK(B9)), 0, COUNTIFS($C:$C, C9, $E:$E, E9, $B:$B, "&gt;="&amp;(B9-5), $B:$B, "&lt;="&amp;(B9+5), $F:$F, "&gt;0", $F:$F, "&lt;10000"))</f>
        <v/>
      </c>
      <c r="J9" s="14">
        <f>IF(OR(F9&lt;=0, ISBLANK(F9), NOT(ISNUMBER(F9)), ISBLANK(B9)), 0, SUMIFS($F:$F, $C:$C, C9, $E:$E, E9, $B:$B, "&gt;="&amp;(B9-5), $B:$B, "&lt;="&amp;(B9+5), $F:$F, "&gt;0", $F:$F, "&lt;10000"))</f>
        <v/>
      </c>
      <c r="K9" s="15">
        <f>IF(AND(ISNUMBER(F9), F9&gt;0, F9&lt;10000, I9&gt;1, J9&gt;=10000), "FLAG: SPLIT PO", "OK")</f>
        <v/>
      </c>
      <c r="L9" s="16">
        <f>IF(K9="FLAG: SPLIT PO", F9, 0)</f>
        <v/>
      </c>
      <c r="M9" s="54" t="inlineStr">
        <is>
          <t>Split triplet: PO-2026-1122 ($3,500) component of 3-order packaging run. Combined commitment $10,500 exceeds $10k limit.</t>
        </is>
      </c>
    </row>
    <row r="10" ht="20" customHeight="1" s="56">
      <c r="A10" s="7" t="inlineStr">
        <is>
          <t>PO-2026-1020</t>
        </is>
      </c>
      <c r="B10" s="11" t="n">
        <v>46063</v>
      </c>
      <c r="C10" s="59" t="inlineStr">
        <is>
          <t>V-1044</t>
        </is>
      </c>
      <c r="D10" s="59" t="inlineStr">
        <is>
          <t>Emirates Facility Care</t>
        </is>
      </c>
      <c r="E10" s="59" t="inlineStr">
        <is>
          <t>USR_SARAHB</t>
        </is>
      </c>
      <c r="F10" s="12" t="n">
        <v>3200</v>
      </c>
      <c r="G10" s="59" t="inlineStr">
        <is>
          <t>Monthly deep cleaning - February</t>
        </is>
      </c>
      <c r="H10" s="59" t="inlineStr">
        <is>
          <t>Approved</t>
        </is>
      </c>
      <c r="I10" s="13">
        <f>IF(OR(F10&lt;=0, ISBLANK(F10), NOT(ISNUMBER(F10)), ISBLANK(B10)), 0, COUNTIFS($C:$C, C10, $E:$E, E10, $B:$B, "&gt;="&amp;(B10-5), $B:$B, "&lt;="&amp;(B10+5), $F:$F, "&gt;0", $F:$F, "&lt;10000"))</f>
        <v/>
      </c>
      <c r="J10" s="14">
        <f>IF(OR(F10&lt;=0, ISBLANK(F10), NOT(ISNUMBER(F10)), ISBLANK(B10)), 0, SUMIFS($F:$F, $C:$C, C10, $E:$E, E10, $B:$B, "&gt;="&amp;(B10-5), $B:$B, "&lt;="&amp;(B10+5), $F:$F, "&gt;0", $F:$F, "&lt;10000"))</f>
        <v/>
      </c>
      <c r="K10" s="15">
        <f>IF(AND(ISNUMBER(F10), F10&gt;0, F10&lt;10000, I10&gt;1, J10&gt;=10000), "FLAG: SPLIT PO", "OK")</f>
        <v/>
      </c>
      <c r="L10" s="16">
        <f>IF(K10="FLAG: SPLIT PO", F10, 0)</f>
        <v/>
      </c>
      <c r="M10" s="54" t="inlineStr">
        <is>
          <t>Split triplet: PO-2026-1125 ($3,800) component of 3-order packaging run. Combined commitment $10,500 exceeds $10k limit.</t>
        </is>
      </c>
    </row>
    <row r="11" ht="20" customHeight="1" s="56">
      <c r="A11" s="7" t="inlineStr">
        <is>
          <t>PO-2026-1065</t>
        </is>
      </c>
      <c r="B11" s="11" t="n">
        <v>46103</v>
      </c>
      <c r="C11" s="59" t="inlineStr">
        <is>
          <t>V-1044</t>
        </is>
      </c>
      <c r="D11" s="59" t="inlineStr">
        <is>
          <t>Emirates Facility Care</t>
        </is>
      </c>
      <c r="E11" s="59" t="inlineStr">
        <is>
          <t>USR_SARAHB</t>
        </is>
      </c>
      <c r="F11" s="12" t="n">
        <v>4100</v>
      </c>
      <c r="G11" s="59" t="inlineStr">
        <is>
          <t>Monthly deep cleaning - March</t>
        </is>
      </c>
      <c r="H11" s="59" t="inlineStr">
        <is>
          <t>Approved</t>
        </is>
      </c>
      <c r="I11" s="13">
        <f>IF(OR(F11&lt;=0, ISBLANK(F11), NOT(ISNUMBER(F11)), ISBLANK(B11)), 0, COUNTIFS($C:$C, C11, $E:$E, E11, $B:$B, "&gt;="&amp;(B11-5), $B:$B, "&lt;="&amp;(B11+5), $F:$F, "&gt;0", $F:$F, "&lt;10000"))</f>
        <v/>
      </c>
      <c r="J11" s="14">
        <f>IF(OR(F11&lt;=0, ISBLANK(F11), NOT(ISNUMBER(F11)), ISBLANK(B11)), 0, SUMIFS($F:$F, $C:$C, C11, $E:$E, E11, $B:$B, "&gt;="&amp;(B11-5), $B:$B, "&lt;="&amp;(B11+5), $F:$F, "&gt;0", $F:$F, "&lt;10000"))</f>
        <v/>
      </c>
      <c r="K11" s="15">
        <f>IF(AND(ISNUMBER(F11), F11&gt;0, F11&lt;10000, I11&gt;1, J11&gt;=10000), "FLAG: SPLIT PO", "OK")</f>
        <v/>
      </c>
      <c r="L11" s="16">
        <f>IF(K11="FLAG: SPLIT PO", F11, 0)</f>
        <v/>
      </c>
      <c r="M11" s="54" t="inlineStr">
        <is>
          <t>Boundary limit test: Single PO ($9,999.00) issued to Gulf Horizon. No secondary order within rolling 5-day window. Unflagged.</t>
        </is>
      </c>
    </row>
    <row r="12" ht="20" customHeight="1" s="56">
      <c r="A12" s="7" t="inlineStr">
        <is>
          <t>PO-2026-1033</t>
        </is>
      </c>
      <c r="B12" s="11" t="n">
        <v>46086</v>
      </c>
      <c r="C12" s="59" t="inlineStr">
        <is>
          <t>V-1077</t>
        </is>
      </c>
      <c r="D12" s="59" t="inlineStr">
        <is>
          <t>Al-Noor Stationery Mart</t>
        </is>
      </c>
      <c r="E12" s="59" t="inlineStr">
        <is>
          <t>USR_AHMEDR</t>
        </is>
      </c>
      <c r="F12" s="12" t="n">
        <v>2100</v>
      </c>
      <c r="G12" s="59" t="inlineStr">
        <is>
          <t>Office consumables replenishment</t>
        </is>
      </c>
      <c r="H12" s="59" t="inlineStr">
        <is>
          <t>Approved</t>
        </is>
      </c>
      <c r="I12" s="13">
        <f>IF(OR(F12&lt;=0, ISBLANK(F12), NOT(ISNUMBER(F12)), ISBLANK(B12)), 0, COUNTIFS($C:$C, C12, $E:$E, E12, $B:$B, "&gt;="&amp;(B12-5), $B:$B, "&lt;="&amp;(B12+5), $F:$F, "&gt;0", $F:$F, "&lt;10000"))</f>
        <v/>
      </c>
      <c r="J12" s="14">
        <f>IF(OR(F12&lt;=0, ISBLANK(F12), NOT(ISNUMBER(F12)), ISBLANK(B12)), 0, SUMIFS($F:$F, $C:$C, C12, $E:$E, E12, $B:$B, "&gt;="&amp;(B12-5), $B:$B, "&lt;="&amp;(B12+5), $F:$F, "&gt;0", $F:$F, "&lt;10000"))</f>
        <v/>
      </c>
      <c r="K12" s="15">
        <f>IF(AND(ISNUMBER(F12), F12&gt;0, F12&lt;10000, I12&gt;1, J12&gt;=10000), "FLAG: SPLIT PO", "OK")</f>
        <v/>
      </c>
      <c r="L12" s="16">
        <f>IF(K12="FLAG: SPLIT PO", F12, 0)</f>
        <v/>
      </c>
      <c r="M12" s="54" t="inlineStr">
        <is>
          <t>Legitimate high-value purchase: Single consolidated PO ($45,000.00) issued with full Procurement Committee approval. Unflagged.</t>
        </is>
      </c>
    </row>
    <row r="13" ht="20" customHeight="1" s="56">
      <c r="A13" s="7" t="inlineStr">
        <is>
          <t>PO-2026-1035</t>
        </is>
      </c>
      <c r="B13" s="11" t="n">
        <v>46087</v>
      </c>
      <c r="C13" s="59" t="inlineStr">
        <is>
          <t>V-1077</t>
        </is>
      </c>
      <c r="D13" s="59" t="inlineStr">
        <is>
          <t>Al-Noor Stationery Mart</t>
        </is>
      </c>
      <c r="E13" s="59" t="inlineStr">
        <is>
          <t>USR_AHMEDR</t>
        </is>
      </c>
      <c r="F13" s="12" t="n">
        <v>2200</v>
      </c>
      <c r="G13" s="59" t="inlineStr">
        <is>
          <t>Printer cartridges replenishment</t>
        </is>
      </c>
      <c r="H13" s="59" t="inlineStr">
        <is>
          <t>Approved</t>
        </is>
      </c>
      <c r="I13" s="13">
        <f>IF(OR(F13&lt;=0, ISBLANK(F13), NOT(ISNUMBER(F13)), ISBLANK(B13)), 0, COUNTIFS($C:$C, C13, $E:$E, E13, $B:$B, "&gt;="&amp;(B13-5), $B:$B, "&lt;="&amp;(B13+5), $F:$F, "&gt;0", $F:$F, "&lt;10000"))</f>
        <v/>
      </c>
      <c r="J13" s="14">
        <f>IF(OR(F13&lt;=0, ISBLANK(F13), NOT(ISNUMBER(F13)), ISBLANK(B13)), 0, SUMIFS($F:$F, $C:$C, C13, $E:$E, E13, $B:$B, "&gt;="&amp;(B13-5), $B:$B, "&lt;="&amp;(B13+5), $F:$F, "&gt;0", $F:$F, "&lt;10000"))</f>
        <v/>
      </c>
      <c r="K13" s="15">
        <f>IF(AND(ISNUMBER(F13), F13&gt;0, F13&lt;10000, I13&gt;1, J13&gt;=10000), "FLAG: SPLIT PO", "OK")</f>
        <v/>
      </c>
      <c r="L13" s="16">
        <f>IF(K13="FLAG: SPLIT PO", F13, 0)</f>
        <v/>
      </c>
      <c r="M13" s="54" t="inlineStr">
        <is>
          <t>Different buyers: PO-2026-1180 ($6,000) by USR_JSMITH and PO-2026-1182 ($6,500) by USR_MKHAN. Separate operational requisitions. Unflagged.</t>
        </is>
      </c>
    </row>
    <row r="14" ht="20" customHeight="1" s="56">
      <c r="A14" s="7" t="inlineStr">
        <is>
          <t>PO-2026-1050</t>
        </is>
      </c>
      <c r="B14" s="11" t="n">
        <v>46089</v>
      </c>
      <c r="C14" s="59" t="inlineStr">
        <is>
          <t>V-1029</t>
        </is>
      </c>
      <c r="D14" s="59" t="inlineStr">
        <is>
          <t>Apex Logistics Solutions</t>
        </is>
      </c>
      <c r="E14" s="59" t="inlineStr">
        <is>
          <t>USR_MKHAN</t>
        </is>
      </c>
      <c r="F14" s="12" t="n">
        <v>6500</v>
      </c>
      <c r="G14" s="59" t="inlineStr">
        <is>
          <t>Pallet jack procurement</t>
        </is>
      </c>
      <c r="H14" s="59" t="inlineStr">
        <is>
          <t>Approved</t>
        </is>
      </c>
      <c r="I14" s="13">
        <f>IF(OR(F14&lt;=0, ISBLANK(F14), NOT(ISNUMBER(F14)), ISBLANK(B14)), 0, COUNTIFS($C:$C, C14, $E:$E, E14, $B:$B, "&gt;="&amp;(B14-5), $B:$B, "&lt;="&amp;(B14+5), $F:$F, "&gt;0", $F:$F, "&lt;10000"))</f>
        <v/>
      </c>
      <c r="J14" s="14">
        <f>IF(OR(F14&lt;=0, ISBLANK(F14), NOT(ISNUMBER(F14)), ISBLANK(B14)), 0, SUMIFS($F:$F, $C:$C, C14, $E:$E, E14, $B:$B, "&gt;="&amp;(B14-5), $B:$B, "&lt;="&amp;(B14+5), $F:$F, "&gt;0", $F:$F, "&lt;10000"))</f>
        <v/>
      </c>
      <c r="K14" s="15">
        <f>IF(AND(ISNUMBER(F14), F14&gt;0, F14&lt;10000, I14&gt;1, J14&gt;=10000), "FLAG: SPLIT PO", "OK")</f>
        <v/>
      </c>
      <c r="L14" s="16">
        <f>IF(K14="FLAG: SPLIT PO", F14, 0)</f>
        <v/>
      </c>
      <c r="M14" s="59" t="inlineStr">
        <is>
          <t>Different buyer (USR_MKHAN vs USR_JSMITH); legitimate independent operational purchase.</t>
        </is>
      </c>
    </row>
    <row r="15" ht="20" customHeight="1" s="56">
      <c r="A15" s="7" t="inlineStr">
        <is>
          <t>PO-2026-1072</t>
        </is>
      </c>
      <c r="B15" s="11" t="n">
        <v>46096</v>
      </c>
      <c r="C15" s="59" t="inlineStr">
        <is>
          <t>V-1082</t>
        </is>
      </c>
      <c r="D15" s="59" t="inlineStr">
        <is>
          <t>Red Sea Catering Equipment</t>
        </is>
      </c>
      <c r="E15" s="59" t="inlineStr">
        <is>
          <t>USR_SARAHB</t>
        </is>
      </c>
      <c r="F15" s="12" t="n">
        <v>9200</v>
      </c>
      <c r="G15" s="59" t="inlineStr">
        <is>
          <t>Kitchen prep counter refurbishment</t>
        </is>
      </c>
      <c r="H15" s="59" t="inlineStr">
        <is>
          <t>Approved</t>
        </is>
      </c>
      <c r="I15" s="13">
        <f>IF(OR(F15&lt;=0, ISBLANK(F15), NOT(ISNUMBER(F15)), ISBLANK(B15)), 0, COUNTIFS($C:$C, C15, $E:$E, E15, $B:$B, "&gt;="&amp;(B15-5), $B:$B, "&lt;="&amp;(B15+5), $F:$F, "&gt;0", $F:$F, "&lt;10000"))</f>
        <v/>
      </c>
      <c r="J15" s="14">
        <f>IF(OR(F15&lt;=0, ISBLANK(F15), NOT(ISNUMBER(F15)), ISBLANK(B15)), 0, SUMIFS($F:$F, $C:$C, C15, $E:$E, E15, $B:$B, "&gt;="&amp;(B15-5), $B:$B, "&lt;="&amp;(B15+5), $F:$F, "&gt;0", $F:$F, "&lt;10000"))</f>
        <v/>
      </c>
      <c r="K15" s="15">
        <f>IF(AND(ISNUMBER(F15), F15&gt;0, F15&lt;10000, I15&gt;1, J15&gt;=10000), "FLAG: SPLIT PO", "OK")</f>
        <v/>
      </c>
      <c r="L15" s="16">
        <f>IF(K15="FLAG: SPLIT PO", F15, 0)</f>
        <v/>
      </c>
      <c r="M15" s="59" t="inlineStr">
        <is>
          <t>Isolated procurement order; no other POs issued to vendor within 5-day window.</t>
        </is>
      </c>
    </row>
    <row r="16" ht="20" customHeight="1" s="56">
      <c r="A16" s="7" t="inlineStr">
        <is>
          <t>PO-2026-1105</t>
        </is>
      </c>
      <c r="B16" s="11" t="n">
        <v>46106</v>
      </c>
      <c r="C16" s="59" t="inlineStr">
        <is>
          <t>V-1099</t>
        </is>
      </c>
      <c r="D16" s="59" t="inlineStr">
        <is>
          <t>Modern HVAC Technologies</t>
        </is>
      </c>
      <c r="E16" s="59" t="inlineStr">
        <is>
          <t>USR_AHMEDR</t>
        </is>
      </c>
      <c r="F16" s="12" t="n">
        <v>7800</v>
      </c>
      <c r="G16" s="59" t="inlineStr">
        <is>
          <t>AC compressor replacement - Unit 1</t>
        </is>
      </c>
      <c r="H16" s="59" t="inlineStr">
        <is>
          <t>Approved</t>
        </is>
      </c>
      <c r="I16" s="13">
        <f>IF(OR(F16&lt;=0, ISBLANK(F16), NOT(ISNUMBER(F16)), ISBLANK(B16)), 0, COUNTIFS($C:$C, C16, $E:$E, E16, $B:$B, "&gt;="&amp;(B16-5), $B:$B, "&lt;="&amp;(B16+5), $F:$F, "&gt;0", $F:$F, "&lt;10000"))</f>
        <v/>
      </c>
      <c r="J16" s="14">
        <f>IF(OR(F16&lt;=0, ISBLANK(F16), NOT(ISNUMBER(F16)), ISBLANK(B16)), 0, SUMIFS($F:$F, $C:$C, C16, $E:$E, E16, $B:$B, "&gt;="&amp;(B16-5), $B:$B, "&lt;="&amp;(B16+5), $F:$F, "&gt;0", $F:$F, "&lt;10000"))</f>
        <v/>
      </c>
      <c r="K16" s="15">
        <f>IF(AND(ISNUMBER(F16), F16&gt;0, F16&lt;10000, I16&gt;1, J16&gt;=10000), "FLAG: SPLIT PO", "OK")</f>
        <v/>
      </c>
      <c r="L16" s="16">
        <f>IF(K16="FLAG: SPLIT PO", F16, 0)</f>
        <v/>
      </c>
      <c r="M16" s="59" t="inlineStr">
        <is>
          <t>Split pair: Compressor Unit 1 ($7.8k) split from Unit 2 ($7.8k). Total $15.6k exceeds limit.</t>
        </is>
      </c>
    </row>
    <row r="17" ht="20" customHeight="1" s="56">
      <c r="A17" s="7" t="inlineStr">
        <is>
          <t>PO-2026-1108</t>
        </is>
      </c>
      <c r="B17" s="11" t="n">
        <v>46108</v>
      </c>
      <c r="C17" s="59" t="inlineStr">
        <is>
          <t>V-1099</t>
        </is>
      </c>
      <c r="D17" s="59" t="inlineStr">
        <is>
          <t>Modern HVAC Technologies</t>
        </is>
      </c>
      <c r="E17" s="59" t="inlineStr">
        <is>
          <t>USR_AHMEDR</t>
        </is>
      </c>
      <c r="F17" s="12" t="n">
        <v>7800</v>
      </c>
      <c r="G17" s="59" t="inlineStr">
        <is>
          <t>AC compressor replacement - Unit 2</t>
        </is>
      </c>
      <c r="H17" s="59" t="inlineStr">
        <is>
          <t>Approved</t>
        </is>
      </c>
      <c r="I17" s="13">
        <f>IF(OR(F17&lt;=0, ISBLANK(F17), NOT(ISNUMBER(F17)), ISBLANK(B17)), 0, COUNTIFS($C:$C, C17, $E:$E, E17, $B:$B, "&gt;="&amp;(B17-5), $B:$B, "&lt;="&amp;(B17+5), $F:$F, "&gt;0", $F:$F, "&lt;10000"))</f>
        <v/>
      </c>
      <c r="J17" s="14">
        <f>IF(OR(F17&lt;=0, ISBLANK(F17), NOT(ISNUMBER(F17)), ISBLANK(B17)), 0, SUMIFS($F:$F, $C:$C, C17, $E:$E, E17, $B:$B, "&gt;="&amp;(B17-5), $B:$B, "&lt;="&amp;(B17+5), $F:$F, "&gt;0", $F:$F, "&lt;10000"))</f>
        <v/>
      </c>
      <c r="K17" s="15">
        <f>IF(AND(ISNUMBER(F17), F17&gt;0, F17&lt;10000, I17&gt;1, J17&gt;=10000), "FLAG: SPLIT PO", "OK")</f>
        <v/>
      </c>
      <c r="L17" s="16">
        <f>IF(K17="FLAG: SPLIT PO", F17, 0)</f>
        <v/>
      </c>
      <c r="M17" s="59" t="inlineStr">
        <is>
          <t>Split pair: Compressor Unit 2 ($7.8k) split from Unit 1 ($7.8k). Total $15.6k exceeds limit.</t>
        </is>
      </c>
    </row>
    <row r="18" ht="20" customHeight="1" s="56">
      <c r="A18" s="30" t="inlineStr">
        <is>
          <t>PO-2026-1115</t>
        </is>
      </c>
      <c r="B18" s="31" t="n">
        <v>46110</v>
      </c>
      <c r="C18" s="32" t="inlineStr">
        <is>
          <t>V-1035</t>
        </is>
      </c>
      <c r="D18" s="32" t="inlineStr">
        <is>
          <t>FastFleet Transport Services</t>
        </is>
      </c>
      <c r="E18" s="32" t="inlineStr">
        <is>
          <t>USR_JSMITH</t>
        </is>
      </c>
      <c r="F18" s="33" t="n">
        <v>9950</v>
      </c>
      <c r="G18" s="32" t="inlineStr">
        <is>
          <t>Emergency reefer transport service</t>
        </is>
      </c>
      <c r="H18" s="32" t="inlineStr">
        <is>
          <t>Approved</t>
        </is>
      </c>
      <c r="I18" s="34">
        <f>IF(OR(F18&lt;=0, ISBLANK(F18), NOT(ISNUMBER(F18)), ISBLANK(B18)), 0, COUNTIFS($C:$C, C18, $E:$E, E18, $B:$B, "&gt;="&amp;(B18-5), $B:$B, "&lt;="&amp;(B18+5), $F:$F, "&gt;0", $F:$F, "&lt;10000"))</f>
        <v/>
      </c>
      <c r="J18" s="35">
        <f>IF(OR(F18&lt;=0, ISBLANK(F18), NOT(ISNUMBER(F18)), ISBLANK(B18)), 0, SUMIFS($F:$F, $C:$C, C18, $E:$E, E18, $B:$B, "&gt;="&amp;(B18-5), $B:$B, "&lt;="&amp;(B18+5), $F:$F, "&gt;0", $F:$F, "&lt;10000"))</f>
        <v/>
      </c>
      <c r="K18" s="36">
        <f>IF(AND(ISNUMBER(F18), F18&gt;0, F18&lt;10000, I18&gt;1, J18&gt;=10000), "FLAG: SPLIT PO", "OK")</f>
        <v/>
      </c>
      <c r="L18" s="37">
        <f>IF(K18="FLAG: SPLIT PO", F18, 0)</f>
        <v/>
      </c>
      <c r="M18" s="32" t="inlineStr">
        <is>
          <t>Single isolated urgent order below threshold with no concurrent orders.</t>
        </is>
      </c>
    </row>
    <row r="19" ht="15" customHeight="1" s="56">
      <c r="A19" s="30" t="inlineStr">
        <is>
          <t>Total</t>
        </is>
      </c>
      <c r="B19" s="32" t="n"/>
      <c r="C19" s="32" t="n"/>
      <c r="D19" s="32" t="n"/>
      <c r="E19" s="32" t="inlineStr">
        <is>
          <t>TOTAL PORTFOLIO:</t>
        </is>
      </c>
      <c r="F19" s="33">
        <f>SUBTOTAL(109,Table_Split_POs[PO_Amount])</f>
        <v/>
      </c>
      <c r="G19" s="32" t="n"/>
      <c r="H19" s="32" t="n"/>
      <c r="I19" s="34" t="n"/>
      <c r="J19" s="38" t="n"/>
      <c r="K19" s="36" t="n"/>
      <c r="L19" s="37">
        <f>SUBTOTAL(109,Table_Split_POs[Financial_Exposure])</f>
        <v/>
      </c>
      <c r="M19" s="32">
        <f>SUBTOTAL(103,Table_Split_POs[Audit_Workpaper_Notes])</f>
        <v/>
      </c>
    </row>
  </sheetData>
  <mergeCells count="2">
    <mergeCell ref="A2:M2"/>
    <mergeCell ref="A1:M1"/>
  </mergeCells>
  <conditionalFormatting sqref="K4:K18">
    <cfRule type="expression" priority="1" dxfId="0" stopIfTrue="1">
      <formula>LEFT(K4, 4)="FLAG"</formula>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4"/>
  <sheetViews>
    <sheetView showGridLines="1" workbookViewId="0">
      <selection activeCell="A1" sqref="A1"/>
    </sheetView>
  </sheetViews>
  <sheetFormatPr baseColWidth="8" defaultRowHeight="14.5"/>
  <cols>
    <col width="14" customWidth="1" style="56" min="1" max="1"/>
    <col width="25" bestFit="1" customWidth="1" style="56" min="2" max="2"/>
    <col width="16.90625" bestFit="1" customWidth="1" style="56" min="3" max="3"/>
    <col width="22.6328125" bestFit="1" customWidth="1" style="56" min="4" max="4"/>
    <col width="27.453125" bestFit="1" customWidth="1" style="56" min="5" max="5"/>
    <col width="19.90625" bestFit="1" customWidth="1" style="56" min="6" max="6"/>
    <col width="22.08984375" bestFit="1" customWidth="1" style="56" min="7" max="7"/>
    <col width="17.1796875" bestFit="1" customWidth="1" style="56" min="8" max="8"/>
    <col width="34.81640625" bestFit="1" customWidth="1" style="56" min="9" max="9"/>
    <col width="27.90625" bestFit="1" customWidth="1" style="56" min="10" max="10"/>
    <col width="20.81640625" bestFit="1" customWidth="1" style="56" min="11" max="11"/>
    <col width="73" bestFit="1" customWidth="1" style="56" min="12" max="12"/>
  </cols>
  <sheetData>
    <row r="1" ht="26" customHeight="1" s="56">
      <c r="A1" s="90" t="inlineStr">
        <is>
          <t>TEST 2: DORMANT VENDOR RESUSCITATION &amp; BANK ALTERATION</t>
        </is>
      </c>
    </row>
    <row r="2" ht="20" customHeight="1" s="56">
      <c r="A2" s="93" t="inlineStr">
        <is>
          <t>INSTRUCTIONS: Paste raw vendor payments into Columns A to G starting at Cell A4. Do NOT overwrite Columns H to L (Formulas calculate automatically).</t>
        </is>
      </c>
    </row>
    <row r="3" ht="26" customHeight="1" s="56" thickBot="1">
      <c r="A3" s="94" t="inlineStr">
        <is>
          <t>Vendor_ID</t>
        </is>
      </c>
      <c r="B3" s="94" t="inlineStr">
        <is>
          <t>Vendor_Name</t>
        </is>
      </c>
      <c r="C3" s="94" t="inlineStr">
        <is>
          <t>Payment_Date</t>
        </is>
      </c>
      <c r="D3" s="94" t="inlineStr">
        <is>
          <t>Previous_Active_Date</t>
        </is>
      </c>
      <c r="E3" s="94" t="inlineStr">
        <is>
          <t>Bank_Details_Last_Updated</t>
        </is>
      </c>
      <c r="F3" s="94" t="inlineStr">
        <is>
          <t>Payment_Amount</t>
        </is>
      </c>
      <c r="G3" s="94" t="inlineStr">
        <is>
          <t>Bank_Account_IBAN</t>
        </is>
      </c>
      <c r="H3" s="95" t="inlineStr">
        <is>
          <t>Days_Dormant</t>
        </is>
      </c>
      <c r="I3" s="95" t="inlineStr">
        <is>
          <t>Days_Bank_Updated_Prior_Payment</t>
        </is>
      </c>
      <c r="J3" s="95" t="inlineStr">
        <is>
          <t>Audit_Flag</t>
        </is>
      </c>
      <c r="K3" s="95" t="inlineStr">
        <is>
          <t>Financial_Exposure</t>
        </is>
      </c>
      <c r="L3" s="95" t="inlineStr">
        <is>
          <t>Audit_Workpaper_Notes</t>
        </is>
      </c>
    </row>
    <row r="4" ht="20" customHeight="1" s="56">
      <c r="A4" s="7" t="inlineStr">
        <is>
          <t>V-2045</t>
        </is>
      </c>
      <c r="B4" s="59" t="inlineStr">
        <is>
          <t>Falcon Facilities Management LLC</t>
        </is>
      </c>
      <c r="C4" s="11" t="n">
        <v>46127</v>
      </c>
      <c r="D4" s="11" t="n">
        <v>45879</v>
      </c>
      <c r="E4" s="11" t="n">
        <v>46114</v>
      </c>
      <c r="F4" s="12" t="n">
        <v>94200</v>
      </c>
      <c r="G4" s="59" t="inlineStr">
        <is>
          <t>AE290330000012345678901</t>
        </is>
      </c>
      <c r="H4" s="13">
        <f>IF(OR(ISBLANK(C4), ISBLANK(D4), D4=""), "", IF(ISNUMBER(C4), C4, IFERROR(DATEVALUE(C4), 0)) - IF(ISNUMBER(D4), D4, IFERROR(DATEVALUE(D4), 0)))</f>
        <v/>
      </c>
      <c r="I4" s="13">
        <f>IF(OR(ISBLANK(C4), ISBLANK(E4), E4=""), "", IF(ISNUMBER(C4), C4, IFERROR(DATEVALUE(C4), 0)) - IF(ISNUMBER(E4), E4, IFERROR(DATEVALUE(E4), 0)))</f>
        <v/>
      </c>
      <c r="J4" s="15">
        <f>IF(AND(H4&lt;&gt;"", I4&lt;&gt;"", H4&gt;180, I4&lt;=30, I4&gt;=0), "FLAG: DORMANT RESUSCITATION", "OK")</f>
        <v/>
      </c>
      <c r="K4" s="16">
        <f>IF(J4="FLAG: DORMANT RESUSCITATION", IFERROR(VALUE(F4), F4), 0)</f>
        <v/>
      </c>
      <c r="L4" s="54" t="inlineStr">
        <is>
          <t>Dormant 248 days. Bank coordinates updated 13 days prior to $94,200 payment. No call-back verification log attached to voucher.</t>
        </is>
      </c>
    </row>
    <row r="5" ht="20" customHeight="1" s="56">
      <c r="A5" s="7" t="inlineStr">
        <is>
          <t>V-2088</t>
        </is>
      </c>
      <c r="B5" s="59" t="inlineStr">
        <is>
          <t>Horizon Strategic Consulting FZE</t>
        </is>
      </c>
      <c r="C5" s="11" t="n">
        <v>46130</v>
      </c>
      <c r="D5" s="11" t="n">
        <v>45820</v>
      </c>
      <c r="E5" s="11" t="n">
        <v>46127</v>
      </c>
      <c r="F5" s="12" t="n">
        <v>145000</v>
      </c>
      <c r="G5" s="59" t="inlineStr">
        <is>
          <t>AE450200000098765432109</t>
        </is>
      </c>
      <c r="H5" s="13">
        <f>IF(OR(ISBLANK(C5), ISBLANK(D5), D5=""), "", IF(ISNUMBER(C5), C5, IFERROR(DATEVALUE(C5), 0)) - IF(ISNUMBER(D5), D5, IFERROR(DATEVALUE(D5), 0)))</f>
        <v/>
      </c>
      <c r="I5" s="13">
        <f>IF(OR(ISBLANK(C5), ISBLANK(E5), E5=""), "", IF(ISNUMBER(C5), C5, IFERROR(DATEVALUE(C5), 0)) - IF(ISNUMBER(E5), E5, IFERROR(DATEVALUE(E5), 0)))</f>
        <v/>
      </c>
      <c r="J5" s="15">
        <f>IF(AND(H5&lt;&gt;"", I5&lt;&gt;"", H5&gt;180, I5&lt;=30, I5&gt;=0), "FLAG: DORMANT RESUSCITATION", "OK")</f>
        <v/>
      </c>
      <c r="K5" s="16">
        <f>IF(J5="FLAG: DORMANT RESUSCITATION", IFERROR(VALUE(F5), F5), 0)</f>
        <v/>
      </c>
      <c r="L5" s="54" t="inlineStr">
        <is>
          <t>Dormant 310 days. Bank account updated 3 days prior to $145,000 disbursement. Critical cash redirection risk.</t>
        </is>
      </c>
    </row>
    <row r="6" ht="20" customHeight="1" s="56">
      <c r="A6" s="7" t="inlineStr">
        <is>
          <t>V-2104</t>
        </is>
      </c>
      <c r="B6" s="59" t="inlineStr">
        <is>
          <t>Prime Hardware Supplies Ltd</t>
        </is>
      </c>
      <c r="C6" s="11" t="n">
        <v>46134</v>
      </c>
      <c r="D6" s="11" t="n">
        <v>45939</v>
      </c>
      <c r="E6" s="11" t="n">
        <v>46106</v>
      </c>
      <c r="F6" s="12" t="n">
        <v>38500</v>
      </c>
      <c r="G6" s="59" t="inlineStr">
        <is>
          <t>AE120440000055443322110</t>
        </is>
      </c>
      <c r="H6" s="13">
        <f>IF(OR(ISBLANK(C6), ISBLANK(D6), D6=""), "", IF(ISNUMBER(C6), C6, IFERROR(DATEVALUE(C6), 0)) - IF(ISNUMBER(D6), D6, IFERROR(DATEVALUE(D6), 0)))</f>
        <v/>
      </c>
      <c r="I6" s="13">
        <f>IF(OR(ISBLANK(C6), ISBLANK(E6), E6=""), "", IF(ISNUMBER(C6), C6, IFERROR(DATEVALUE(C6), 0)) - IF(ISNUMBER(E6), E6, IFERROR(DATEVALUE(E6), 0)))</f>
        <v/>
      </c>
      <c r="J6" s="15">
        <f>IF(AND(H6&lt;&gt;"", I6&lt;&gt;"", H6&gt;180, I6&lt;=30, I6&gt;=0), "FLAG: DORMANT RESUSCITATION", "OK")</f>
        <v/>
      </c>
      <c r="K6" s="16">
        <f>IF(J6="FLAG: DORMANT RESUSCITATION", IFERROR(VALUE(F6), F6), 0)</f>
        <v/>
      </c>
      <c r="L6" s="54" t="inlineStr">
        <is>
          <t>Dormant 195 days. Bank account modified 28 days prior to $38,500 payment. Out-of-band verification required.</t>
        </is>
      </c>
    </row>
    <row r="7" ht="20" customHeight="1" s="56">
      <c r="A7" s="7" t="inlineStr">
        <is>
          <t>V-2150</t>
        </is>
      </c>
      <c r="B7" s="59" t="inlineStr">
        <is>
          <t>Gulf Uniforms &amp; Workwear</t>
        </is>
      </c>
      <c r="C7" s="11" t="n">
        <v>46140</v>
      </c>
      <c r="D7" s="11" t="n">
        <v>45839</v>
      </c>
      <c r="E7" s="11" t="n">
        <v>46132</v>
      </c>
      <c r="F7" s="12" t="n">
        <v>62000</v>
      </c>
      <c r="G7" s="59" t="inlineStr">
        <is>
          <t>AE900110000077889900112</t>
        </is>
      </c>
      <c r="H7" s="13">
        <f>IF(OR(ISBLANK(C7), ISBLANK(D7), D7=""), "", IF(ISNUMBER(C7), C7, IFERROR(DATEVALUE(C7), 0)) - IF(ISNUMBER(D7), D7, IFERROR(DATEVALUE(D7), 0)))</f>
        <v/>
      </c>
      <c r="I7" s="13">
        <f>IF(OR(ISBLANK(C7), ISBLANK(E7), E7=""), "", IF(ISNUMBER(C7), C7, IFERROR(DATEVALUE(C7), 0)) - IF(ISNUMBER(E7), E7, IFERROR(DATEVALUE(E7), 0)))</f>
        <v/>
      </c>
      <c r="J7" s="15">
        <f>IF(AND(H7&lt;&gt;"", I7&lt;&gt;"", H7&gt;180, I7&lt;=30, I7&gt;=0), "FLAG: DORMANT RESUSCITATION", "OK")</f>
        <v/>
      </c>
      <c r="K7" s="16">
        <f>IF(J7="FLAG: DORMANT RESUSCITATION", IFERROR(VALUE(F7), F7), 0)</f>
        <v/>
      </c>
      <c r="L7" s="54" t="inlineStr">
        <is>
          <t>Dormant 301 days. Bank details updated 8 days prior to $62,000 payment. High-risk master data modification.</t>
        </is>
      </c>
    </row>
    <row r="8" ht="20" customHeight="1" s="56">
      <c r="A8" s="7" t="inlineStr">
        <is>
          <t>V-2010</t>
        </is>
      </c>
      <c r="B8" s="59" t="inlineStr">
        <is>
          <t>Emirates Gas Distribution</t>
        </is>
      </c>
      <c r="C8" s="11" t="n">
        <v>46122</v>
      </c>
      <c r="D8" s="11" t="n">
        <v>46106</v>
      </c>
      <c r="E8" s="11" t="n">
        <v>46101</v>
      </c>
      <c r="F8" s="12" t="n">
        <v>54000</v>
      </c>
      <c r="G8" s="59" t="inlineStr">
        <is>
          <t>AE550110000011223344556</t>
        </is>
      </c>
      <c r="H8" s="13">
        <f>IF(OR(ISBLANK(C8), ISBLANK(D8), D8=""), "", IF(ISNUMBER(C8), C8, IFERROR(DATEVALUE(C8), 0)) - IF(ISNUMBER(D8), D8, IFERROR(DATEVALUE(D8), 0)))</f>
        <v/>
      </c>
      <c r="I8" s="13">
        <f>IF(OR(ISBLANK(C8), ISBLANK(E8), E8=""), "", IF(ISNUMBER(C8), C8, IFERROR(DATEVALUE(C8), 0)) - IF(ISNUMBER(E8), E8, IFERROR(DATEVALUE(E8), 0)))</f>
        <v/>
      </c>
      <c r="J8" s="15">
        <f>IF(AND(H8&lt;&gt;"", I8&lt;&gt;"", H8&gt;180, I8&lt;=30, I8&gt;=0), "FLAG: DORMANT RESUSCITATION", "OK")</f>
        <v/>
      </c>
      <c r="K8" s="16">
        <f>IF(J8="FLAG: DORMANT RESUSCITATION", IFERROR(VALUE(F8), F8), 0)</f>
        <v/>
      </c>
      <c r="L8" s="54" t="inlineStr">
        <is>
          <t>Dormant 245 days. Bank details modified 45 days prior to payment (&gt;30-day window). Standard verification confirmed.</t>
        </is>
      </c>
    </row>
    <row r="9" ht="20" customHeight="1" s="56">
      <c r="A9" s="7" t="inlineStr">
        <is>
          <t>V-2022</t>
        </is>
      </c>
      <c r="B9" s="59" t="inlineStr">
        <is>
          <t>Al-Marai Dairy &amp; Provisions</t>
        </is>
      </c>
      <c r="C9" s="11" t="n">
        <v>46124</v>
      </c>
      <c r="D9" s="11" t="n">
        <v>46113</v>
      </c>
      <c r="E9" s="11" t="n">
        <v>45672</v>
      </c>
      <c r="F9" s="12" t="n">
        <v>82500</v>
      </c>
      <c r="G9" s="59" t="inlineStr">
        <is>
          <t>AE770220000022334455667</t>
        </is>
      </c>
      <c r="H9" s="13">
        <f>IF(OR(ISBLANK(C9), ISBLANK(D9), D9=""), "", IF(ISNUMBER(C9), C9, IFERROR(DATEVALUE(C9), 0)) - IF(ISNUMBER(D9), D9, IFERROR(DATEVALUE(D9), 0)))</f>
        <v/>
      </c>
      <c r="I9" s="13">
        <f>IF(OR(ISBLANK(C9), ISBLANK(E9), E9=""), "", IF(ISNUMBER(C9), C9, IFERROR(DATEVALUE(C9), 0)) - IF(ISNUMBER(E9), E9, IFERROR(DATEVALUE(E9), 0)))</f>
        <v/>
      </c>
      <c r="J9" s="15">
        <f>IF(AND(H9&lt;&gt;"", I9&lt;&gt;"", H9&gt;180, I9&lt;=30, I9&gt;=0), "FLAG: DORMANT RESUSCITATION", "OK")</f>
        <v/>
      </c>
      <c r="K9" s="16">
        <f>IF(J9="FLAG: DORMANT RESUSCITATION", IFERROR(VALUE(F9), F9), 0)</f>
        <v/>
      </c>
      <c r="L9" s="54" t="inlineStr">
        <is>
          <t>Dormant 170 days (&lt;180-day threshold). Routine supplier payment. Unflagged.</t>
        </is>
      </c>
    </row>
    <row r="10" ht="20" customHeight="1" s="56">
      <c r="A10" s="7" t="inlineStr">
        <is>
          <t>V-2060</t>
        </is>
      </c>
      <c r="B10" s="59" t="inlineStr">
        <is>
          <t>Dubai National Insurance Co</t>
        </is>
      </c>
      <c r="C10" s="11" t="n">
        <v>46126</v>
      </c>
      <c r="D10" s="11" t="n">
        <v>45858</v>
      </c>
      <c r="E10" s="11" t="n">
        <v>46006</v>
      </c>
      <c r="F10" s="12" t="n">
        <v>118000</v>
      </c>
      <c r="G10" s="59" t="inlineStr">
        <is>
          <t>AE330330000033445566778</t>
        </is>
      </c>
      <c r="H10" s="13">
        <f>IF(OR(ISBLANK(C10), ISBLANK(D10), D10=""), "", IF(ISNUMBER(C10), C10, IFERROR(DATEVALUE(C10), 0)) - IF(ISNUMBER(D10), D10, IFERROR(DATEVALUE(D10), 0)))</f>
        <v/>
      </c>
      <c r="I10" s="13">
        <f>IF(OR(ISBLANK(C10), ISBLANK(E10), E10=""), "", IF(ISNUMBER(C10), C10, IFERROR(DATEVALUE(C10), 0)) - IF(ISNUMBER(E10), E10, IFERROR(DATEVALUE(E10), 0)))</f>
        <v/>
      </c>
      <c r="J10" s="15">
        <f>IF(AND(H10&lt;&gt;"", I10&lt;&gt;"", H10&gt;180, I10&lt;=30, I10&gt;=0), "FLAG: DORMANT RESUSCITATION", "OK")</f>
        <v/>
      </c>
      <c r="K10" s="16">
        <f>IF(J10="FLAG: DORMANT RESUSCITATION", IFERROR(VALUE(F10), F10), 0)</f>
        <v/>
      </c>
      <c r="L10" s="54" t="inlineStr">
        <is>
          <t>Active vendor (transacted 14 days prior). Routine supplier payment. Unflagged.</t>
        </is>
      </c>
    </row>
    <row r="11" ht="20" customHeight="1" s="56">
      <c r="A11" s="7" t="inlineStr">
        <is>
          <t>V-2075</t>
        </is>
      </c>
      <c r="B11" s="59" t="inlineStr">
        <is>
          <t>TechPoint IT Solutions</t>
        </is>
      </c>
      <c r="C11" s="11" t="n">
        <v>46128</v>
      </c>
      <c r="D11" s="11" t="n">
        <v>46091</v>
      </c>
      <c r="E11" s="11" t="n">
        <v>46117</v>
      </c>
      <c r="F11" s="12" t="n">
        <v>18900</v>
      </c>
      <c r="G11" s="59" t="inlineStr">
        <is>
          <t>AE880440000044556677889</t>
        </is>
      </c>
      <c r="H11" s="13">
        <f>IF(OR(ISBLANK(C11), ISBLANK(D11), D11=""), "", IF(ISNUMBER(C11), C11, IFERROR(DATEVALUE(C11), 0)) - IF(ISNUMBER(D11), D11, IFERROR(DATEVALUE(D11), 0)))</f>
        <v/>
      </c>
      <c r="I11" s="13">
        <f>IF(OR(ISBLANK(C11), ISBLANK(E11), E11=""), "", IF(ISNUMBER(C11), C11, IFERROR(DATEVALUE(C11), 0)) - IF(ISNUMBER(E11), E11, IFERROR(DATEVALUE(E11), 0)))</f>
        <v/>
      </c>
      <c r="J11" s="15">
        <f>IF(AND(H11&lt;&gt;"", I11&lt;&gt;"", H11&gt;180, I11&lt;=30, I11&gt;=0), "FLAG: DORMANT RESUSCITATION", "OK")</f>
        <v/>
      </c>
      <c r="K11" s="16">
        <f>IF(J11="FLAG: DORMANT RESUSCITATION", IFERROR(VALUE(F11), F11), 0)</f>
        <v/>
      </c>
      <c r="L11" s="59" t="inlineStr">
        <is>
          <t>Active vendor (dormant 37 days &lt;= 180d). Normal payment processing.</t>
        </is>
      </c>
    </row>
    <row r="12" ht="20" customHeight="1" s="56">
      <c r="A12" s="7" t="inlineStr">
        <is>
          <t>V-2115</t>
        </is>
      </c>
      <c r="B12" s="59" t="inlineStr">
        <is>
          <t>Arabian Packaging Factory</t>
        </is>
      </c>
      <c r="C12" s="11" t="n">
        <v>46137</v>
      </c>
      <c r="D12" s="11" t="n">
        <v>46068</v>
      </c>
      <c r="E12" s="11" t="n">
        <v>45422</v>
      </c>
      <c r="F12" s="12" t="n">
        <v>29400</v>
      </c>
      <c r="G12" s="59" t="inlineStr">
        <is>
          <t>AE110550000055667788990</t>
        </is>
      </c>
      <c r="H12" s="13">
        <f>IF(OR(ISBLANK(C12), ISBLANK(D12), D12=""), "", IF(ISNUMBER(C12), C12, IFERROR(DATEVALUE(C12), 0)) - IF(ISNUMBER(D12), D12, IFERROR(DATEVALUE(D12), 0)))</f>
        <v/>
      </c>
      <c r="I12" s="13">
        <f>IF(OR(ISBLANK(C12), ISBLANK(E12), E12=""), "", IF(ISNUMBER(C12), C12, IFERROR(DATEVALUE(C12), 0)) - IF(ISNUMBER(E12), E12, IFERROR(DATEVALUE(E12), 0)))</f>
        <v/>
      </c>
      <c r="J12" s="15">
        <f>IF(AND(H12&lt;&gt;"", I12&lt;&gt;"", H12&gt;180, I12&lt;=30, I12&gt;=0), "FLAG: DORMANT RESUSCITATION", "OK")</f>
        <v/>
      </c>
      <c r="K12" s="16">
        <f>IF(J12="FLAG: DORMANT RESUSCITATION", IFERROR(VALUE(F12), F12), 0)</f>
        <v/>
      </c>
      <c r="L12" s="59" t="inlineStr">
        <is>
          <t>Active regular supplier (dormant 69 days). Bank details unchanged for nearly two years.</t>
        </is>
      </c>
    </row>
    <row r="13" ht="20" customHeight="1" s="56">
      <c r="A13" s="30" t="inlineStr">
        <is>
          <t>V-2130</t>
        </is>
      </c>
      <c r="B13" s="32" t="inlineStr">
        <is>
          <t>SafeGuard Fire &amp; Safety Systems</t>
        </is>
      </c>
      <c r="C13" s="31" t="n">
        <v>46138</v>
      </c>
      <c r="D13" s="31" t="n">
        <v>45787</v>
      </c>
      <c r="E13" s="31" t="n">
        <v>45981</v>
      </c>
      <c r="F13" s="33" t="n">
        <v>47000</v>
      </c>
      <c r="G13" s="32" t="inlineStr">
        <is>
          <t>AE660660000066778899001</t>
        </is>
      </c>
      <c r="H13" s="34">
        <f>IF(OR(ISBLANK(C13), ISBLANK(D13), D13=""), "", IF(ISNUMBER(C13), C13, IFERROR(DATEVALUE(C13), 0)) - IF(ISNUMBER(D13), D13, IFERROR(DATEVALUE(D13), 0)))</f>
        <v/>
      </c>
      <c r="I13" s="34">
        <f>IF(OR(ISBLANK(C13), ISBLANK(E13), E13=""), "", IF(ISNUMBER(C13), C13, IFERROR(DATEVALUE(C13), 0)) - IF(ISNUMBER(E13), E13, IFERROR(DATEVALUE(E13), 0)))</f>
        <v/>
      </c>
      <c r="J13" s="36">
        <f>IF(AND(H13&lt;&gt;"", I13&lt;&gt;"", H13&gt;180, I13&lt;=30, I13&gt;=0), "FLAG: DORMANT RESUSCITATION", "OK")</f>
        <v/>
      </c>
      <c r="K13" s="37">
        <f>IF(J13="FLAG: DORMANT RESUSCITATION", IFERROR(VALUE(F13), F13), 0)</f>
        <v/>
      </c>
      <c r="L13" s="32" t="inlineStr">
        <is>
          <t>Dormant 351 days, but bank update occurred 157 days ago (&gt;30d). Controlled reinstatement.</t>
        </is>
      </c>
    </row>
    <row r="14" ht="15" customHeight="1" s="56">
      <c r="A14" s="30" t="inlineStr">
        <is>
          <t>Total</t>
        </is>
      </c>
      <c r="B14" s="32" t="n"/>
      <c r="C14" s="32" t="n"/>
      <c r="D14" s="32" t="n"/>
      <c r="E14" s="32" t="inlineStr">
        <is>
          <t>TOTAL PORTFOLIO:</t>
        </is>
      </c>
      <c r="F14" s="33">
        <f>SUBTOTAL(109,Table_Dormant_Vendors[Payment_Amount])</f>
        <v/>
      </c>
      <c r="G14" s="32" t="n"/>
      <c r="H14" s="34" t="n"/>
      <c r="I14" s="34" t="n"/>
      <c r="J14" s="36" t="n"/>
      <c r="K14" s="37">
        <f>SUBTOTAL(109,Table_Dormant_Vendors[Financial_Exposure])</f>
        <v/>
      </c>
      <c r="L14" s="32">
        <f>SUBTOTAL(103,Table_Dormant_Vendors[Audit_Workpaper_Notes])</f>
        <v/>
      </c>
    </row>
  </sheetData>
  <mergeCells count="2">
    <mergeCell ref="A2:L2"/>
    <mergeCell ref="A1:L1"/>
  </mergeCells>
  <conditionalFormatting sqref="J4:J13">
    <cfRule type="expression" priority="1" dxfId="0" stopIfTrue="1">
      <formula>LEFT(J4, 4)="FLAG"</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16"/>
  <sheetViews>
    <sheetView showGridLines="1" workbookViewId="0">
      <selection activeCell="A1" sqref="A1"/>
    </sheetView>
  </sheetViews>
  <sheetFormatPr baseColWidth="8" defaultRowHeight="14.5"/>
  <cols>
    <col width="14" customWidth="1" style="56" min="1" max="1"/>
    <col width="21.7265625" bestFit="1" customWidth="1" style="56" min="2" max="2"/>
    <col width="22.90625" bestFit="1" customWidth="1" style="56" min="3" max="3"/>
    <col width="24" customWidth="1" style="56" min="4" max="4"/>
    <col width="16.1796875" bestFit="1" customWidth="1" style="56" min="5" max="5"/>
    <col width="18.6328125" bestFit="1" customWidth="1" style="56" min="6" max="6"/>
    <col width="21.26953125" bestFit="1" customWidth="1" style="56" min="7" max="7"/>
    <col width="16.90625" bestFit="1" customWidth="1" style="56" min="8" max="8"/>
    <col width="24.6328125" bestFit="1" customWidth="1" style="56" min="9" max="9"/>
    <col width="21.90625" bestFit="1" customWidth="1" style="56" min="10" max="10"/>
    <col width="17.453125" bestFit="1" customWidth="1" style="56" min="11" max="11"/>
    <col width="78.81640625" bestFit="1" customWidth="1" style="56" min="12" max="12"/>
  </cols>
  <sheetData>
    <row r="1" ht="26" customHeight="1" s="56">
      <c r="A1" s="90" t="inlineStr">
        <is>
          <t>TEST 3: NEAR-DUPLICATE INVOICE VERIFICATION</t>
        </is>
      </c>
    </row>
    <row r="2" ht="20" customHeight="1" s="56">
      <c r="A2" s="93" t="inlineStr">
        <is>
          <t>INSTRUCTIONS: Paste raw AP invoices into Columns A:C and E:H starting at Cell A4. Do NOT overwrite Column D or Columns I:L (Formulas calculate automatically).</t>
        </is>
      </c>
    </row>
    <row r="3" ht="26" customHeight="1" s="56" thickBot="1">
      <c r="A3" s="94" t="inlineStr">
        <is>
          <t>Vendor_ID</t>
        </is>
      </c>
      <c r="B3" s="94" t="inlineStr">
        <is>
          <t>Vendor_Name</t>
        </is>
      </c>
      <c r="C3" s="94" t="inlineStr">
        <is>
          <t>Raw_Invoice_Number</t>
        </is>
      </c>
      <c r="D3" s="95" t="inlineStr">
        <is>
          <t>Clean_Invoice_Number</t>
        </is>
      </c>
      <c r="E3" s="95" t="inlineStr">
        <is>
          <t>Invoice_Date</t>
        </is>
      </c>
      <c r="F3" s="95" t="inlineStr">
        <is>
          <t>Invoice_Amount</t>
        </is>
      </c>
      <c r="G3" s="95" t="inlineStr">
        <is>
          <t>Payment_Reference</t>
        </is>
      </c>
      <c r="H3" s="95" t="inlineStr">
        <is>
          <t>Payment_Date</t>
        </is>
      </c>
      <c r="I3" s="95" t="inlineStr">
        <is>
          <t>Duplicate_Match_Count</t>
        </is>
      </c>
      <c r="J3" s="95" t="inlineStr">
        <is>
          <t>Audit_Flag</t>
        </is>
      </c>
      <c r="K3" s="95" t="inlineStr">
        <is>
          <t>Cash_Exposure</t>
        </is>
      </c>
      <c r="L3" s="95" t="inlineStr">
        <is>
          <t>Audit_Workpaper_Notes</t>
        </is>
      </c>
    </row>
    <row r="4" ht="20" customHeight="1" s="56">
      <c r="A4" s="7" t="inlineStr">
        <is>
          <t>V-3012</t>
        </is>
      </c>
      <c r="B4" s="59" t="inlineStr">
        <is>
          <t>Gulf Office Tech FZ</t>
        </is>
      </c>
      <c r="C4" s="59" t="inlineStr">
        <is>
          <t>INV-8842</t>
        </is>
      </c>
      <c r="D4" s="13">
        <f>SUBSTITUTE(SUBSTITUTE(SUBSTITUTE(SUBSTITUTE(SUBSTITUTE(SUBSTITUTE(SUBSTITUTE(LOWER(TRIM(C4)), "-", ""), "/", ""), " ", ""), ".", ""), "_", ""), "#", ""), ":", "")</f>
        <v/>
      </c>
      <c r="E4" s="11" t="n">
        <v>46086</v>
      </c>
      <c r="F4" s="12" t="n">
        <v>12850</v>
      </c>
      <c r="G4" s="59" t="inlineStr">
        <is>
          <t>EFT-990145</t>
        </is>
      </c>
      <c r="H4" s="11" t="n">
        <v>46099</v>
      </c>
      <c r="I4" s="13">
        <f>COUNTIFS($A:$A, A4, $D:$D, D4, $F:$F, F4)</f>
        <v/>
      </c>
      <c r="J4" s="15">
        <f>IF(I4&gt;1, "FLAG: DUPLICATE INVOICE", "OK")</f>
        <v/>
      </c>
      <c r="K4" s="16">
        <f>IF(AND(J4="FLAG: DUPLICATE INVOICE", COUNTIFS($A$4:INDEX($A:$A, ROW()), A4, $D$4:INDEX($D:$D, ROW()), D4, $F$4:INDEX($F:$F, ROW()), F4)&gt;1), IFERROR(VALUE(F4), F4), 0)</f>
        <v/>
      </c>
      <c r="L4" s="54" t="inlineStr">
        <is>
          <t>Original payment: Invoice 'INV-8842' ($12,850) cleared on voucher EFT-88012 on 15-Mar-2026. Legitimate base spend ($0 exposure).</t>
        </is>
      </c>
    </row>
    <row r="5" ht="20" customHeight="1" s="56">
      <c r="A5" s="7" t="inlineStr">
        <is>
          <t>V-3012</t>
        </is>
      </c>
      <c r="B5" s="59" t="inlineStr">
        <is>
          <t>Gulf Office Tech FZ</t>
        </is>
      </c>
      <c r="C5" s="59" t="inlineStr">
        <is>
          <t>INV 8842</t>
        </is>
      </c>
      <c r="D5" s="13">
        <f>SUBSTITUTE(SUBSTITUTE(SUBSTITUTE(SUBSTITUTE(SUBSTITUTE(SUBSTITUTE(SUBSTITUTE(LOWER(TRIM(C5)), "-", ""), "/", ""), " ", ""), ".", ""), "_", ""), "#", ""), ":", "")</f>
        <v/>
      </c>
      <c r="E5" s="11" t="n">
        <v>46091</v>
      </c>
      <c r="F5" s="12" t="n">
        <v>12850</v>
      </c>
      <c r="G5" s="59" t="inlineStr">
        <is>
          <t>EFT-990212</t>
        </is>
      </c>
      <c r="H5" s="11" t="n">
        <v>46106</v>
      </c>
      <c r="I5" s="13">
        <f>COUNTIFS($A:$A, A5, $D:$D, D5, $F:$F, F5)</f>
        <v/>
      </c>
      <c r="J5" s="15">
        <f>IF(I5&gt;1, "FLAG: DUPLICATE INVOICE", "OK")</f>
        <v/>
      </c>
      <c r="K5" s="16">
        <f>IF(AND(J5="FLAG: DUPLICATE INVOICE", COUNTIFS($A$4:INDEX($A:$A, ROW()), A5, $D$4:INDEX($D:$D, ROW()), D5, $F$4:INDEX($F:$F, ROW()), F5)&gt;1), IFERROR(VALUE(F5), F5), 0)</f>
        <v/>
      </c>
      <c r="L5" s="54" t="inlineStr">
        <is>
          <t>Duplicate payment: Invoice 'INV 8842' ($12,850) cleared on voucher EFT-88194 on 20-Mar-2026. Punctuation evasion (hyphen stripped). Cash leakage $12,850.</t>
        </is>
      </c>
    </row>
    <row r="6" ht="20" customHeight="1" s="56">
      <c r="A6" s="7" t="inlineStr">
        <is>
          <t>V-3045</t>
        </is>
      </c>
      <c r="B6" s="59" t="inlineStr">
        <is>
          <t>Apex Facilities Group</t>
        </is>
      </c>
      <c r="C6" s="59" t="inlineStr">
        <is>
          <t>2026/MAR/091</t>
        </is>
      </c>
      <c r="D6" s="13">
        <f>SUBSTITUTE(SUBSTITUTE(SUBSTITUTE(SUBSTITUTE(SUBSTITUTE(SUBSTITUTE(SUBSTITUTE(LOWER(TRIM(C6)), "-", ""), "/", ""), " ", ""), ".", ""), "_", ""), "#", ""), ":", "")</f>
        <v/>
      </c>
      <c r="E6" s="11" t="n">
        <v>46093</v>
      </c>
      <c r="F6" s="12" t="n">
        <v>4750</v>
      </c>
      <c r="G6" s="59" t="inlineStr">
        <is>
          <t>EFT-990310</t>
        </is>
      </c>
      <c r="H6" s="11" t="n">
        <v>46103</v>
      </c>
      <c r="I6" s="13">
        <f>COUNTIFS($A:$A, A6, $D:$D, D6, $F:$F, F6)</f>
        <v/>
      </c>
      <c r="J6" s="15">
        <f>IF(I6&gt;1, "FLAG: DUPLICATE INVOICE", "OK")</f>
        <v/>
      </c>
      <c r="K6" s="16">
        <f>IF(AND(J6="FLAG: DUPLICATE INVOICE", COUNTIFS($A$4:INDEX($A:$A, ROW()), A6, $D$4:INDEX($D:$D, ROW()), D6, $F$4:INDEX($F:$F, ROW()), F6)&gt;1), IFERROR(VALUE(F6), F6), 0)</f>
        <v/>
      </c>
      <c r="L6" s="54" t="inlineStr">
        <is>
          <t>Original payment: Invoice '2026/MAR/091' ($4,750) cleared on voucher EFT-88045 on 22-Mar-2026. Legitimate base spend ($0 exposure).</t>
        </is>
      </c>
    </row>
    <row r="7" ht="20" customHeight="1" s="56">
      <c r="A7" s="7" t="inlineStr">
        <is>
          <t>V-3045</t>
        </is>
      </c>
      <c r="B7" s="59" t="inlineStr">
        <is>
          <t>Apex Facilities Group</t>
        </is>
      </c>
      <c r="C7" s="59" t="inlineStr">
        <is>
          <t>2026-MAR-091</t>
        </is>
      </c>
      <c r="D7" s="13">
        <f>SUBSTITUTE(SUBSTITUTE(SUBSTITUTE(SUBSTITUTE(SUBSTITUTE(SUBSTITUTE(SUBSTITUTE(LOWER(TRIM(C7)), "-", ""), "/", ""), " ", ""), ".", ""), "_", ""), "#", ""), ":", "")</f>
        <v/>
      </c>
      <c r="E7" s="11" t="n">
        <v>46096</v>
      </c>
      <c r="F7" s="12" t="n">
        <v>4750</v>
      </c>
      <c r="G7" s="59" t="inlineStr">
        <is>
          <t>EFT-990390</t>
        </is>
      </c>
      <c r="H7" s="11" t="n">
        <v>46110</v>
      </c>
      <c r="I7" s="13">
        <f>COUNTIFS($A:$A, A7, $D:$D, D7, $F:$F, F7)</f>
        <v/>
      </c>
      <c r="J7" s="15">
        <f>IF(I7&gt;1, "FLAG: DUPLICATE INVOICE", "OK")</f>
        <v/>
      </c>
      <c r="K7" s="16">
        <f>IF(AND(J7="FLAG: DUPLICATE INVOICE", COUNTIFS($A$4:INDEX($A:$A, ROW()), A7, $D$4:INDEX($D:$D, ROW()), D7, $F$4:INDEX($F:$F, ROW()), F7)&gt;1), IFERROR(VALUE(F7), F7), 0)</f>
        <v/>
      </c>
      <c r="L7" s="54" t="inlineStr">
        <is>
          <t>Duplicate payment: Invoice '2026-MAR-091' ($4,750) cleared on voucher EFT-88220 on 25-Mar-2026. Slash vs hyphen substitution. Cash leakage $4,750.</t>
        </is>
      </c>
    </row>
    <row r="8" ht="20" customHeight="1" s="56">
      <c r="A8" s="7" t="inlineStr">
        <is>
          <t>V-3080</t>
        </is>
      </c>
      <c r="B8" s="59" t="inlineStr">
        <is>
          <t>Omni Media Advertising</t>
        </is>
      </c>
      <c r="C8" s="59" t="inlineStr">
        <is>
          <t>SRV.9004</t>
        </is>
      </c>
      <c r="D8" s="13">
        <f>SUBSTITUTE(SUBSTITUTE(SUBSTITUTE(SUBSTITUTE(SUBSTITUTE(SUBSTITUTE(SUBSTITUTE(LOWER(TRIM(C8)), "-", ""), "/", ""), " ", ""), ".", ""), "_", ""), "#", ""), ":", "")</f>
        <v/>
      </c>
      <c r="E8" s="11" t="n">
        <v>46095</v>
      </c>
      <c r="F8" s="12" t="n">
        <v>28000</v>
      </c>
      <c r="G8" s="59" t="inlineStr">
        <is>
          <t>EFT-990420</t>
        </is>
      </c>
      <c r="H8" s="11" t="n">
        <v>46109</v>
      </c>
      <c r="I8" s="13">
        <f>COUNTIFS($A:$A, A8, $D:$D, D8, $F:$F, F8)</f>
        <v/>
      </c>
      <c r="J8" s="15">
        <f>IF(I8&gt;1, "FLAG: DUPLICATE INVOICE", "OK")</f>
        <v/>
      </c>
      <c r="K8" s="16">
        <f>IF(AND(J8="FLAG: DUPLICATE INVOICE", COUNTIFS($A$4:INDEX($A:$A, ROW()), A8, $D$4:INDEX($D:$D, ROW()), D8, $F$4:INDEX($F:$F, ROW()), F8)&gt;1), IFERROR(VALUE(F8), F8), 0)</f>
        <v/>
      </c>
      <c r="L8" s="54" t="inlineStr">
        <is>
          <t>Original payment: Invoice 'TXN#7710' ($28,000) cleared on voucher EFT-88090 on 02-Apr-2026. Legitimate base spend ($0 exposure).</t>
        </is>
      </c>
    </row>
    <row r="9" ht="20" customHeight="1" s="56">
      <c r="A9" s="7" t="inlineStr">
        <is>
          <t>V-3080</t>
        </is>
      </c>
      <c r="B9" s="59" t="inlineStr">
        <is>
          <t>Omni Media Advertising</t>
        </is>
      </c>
      <c r="C9" s="59" t="inlineStr">
        <is>
          <t>SRV-9004</t>
        </is>
      </c>
      <c r="D9" s="13">
        <f>SUBSTITUTE(SUBSTITUTE(SUBSTITUTE(SUBSTITUTE(SUBSTITUTE(SUBSTITUTE(SUBSTITUTE(LOWER(TRIM(C9)), "-", ""), "/", ""), " ", ""), ".", ""), "_", ""), "#", ""), ":", "")</f>
        <v/>
      </c>
      <c r="E9" s="11" t="n">
        <v>46099</v>
      </c>
      <c r="F9" s="12" t="n">
        <v>28000</v>
      </c>
      <c r="G9" s="59" t="inlineStr">
        <is>
          <t>EFT-990505</t>
        </is>
      </c>
      <c r="H9" s="11" t="n">
        <v>46117</v>
      </c>
      <c r="I9" s="13">
        <f>COUNTIFS($A:$A, A9, $D:$D, D9, $F:$F, F9)</f>
        <v/>
      </c>
      <c r="J9" s="15">
        <f>IF(I9&gt;1, "FLAG: DUPLICATE INVOICE", "OK")</f>
        <v/>
      </c>
      <c r="K9" s="16">
        <f>IF(AND(J9="FLAG: DUPLICATE INVOICE", COUNTIFS($A$4:INDEX($A:$A, ROW()), A9, $D$4:INDEX($D:$D, ROW()), D9, $F$4:INDEX($F:$F, ROW()), F9)&gt;1), IFERROR(VALUE(F9), F9), 0)</f>
        <v/>
      </c>
      <c r="L9" s="54" t="inlineStr">
        <is>
          <t>Duplicate payment: Invoice 'TXN 7710' ($28,000) cleared on voucher EFT-88310 on 08-Apr-2026. Hash symbol omitted. Cash leakage $28,000.</t>
        </is>
      </c>
    </row>
    <row r="10" ht="20" customHeight="1" s="56">
      <c r="A10" s="7" t="inlineStr">
        <is>
          <t>V-3012</t>
        </is>
      </c>
      <c r="B10" s="59" t="inlineStr">
        <is>
          <t>Gulf Office Tech FZ</t>
        </is>
      </c>
      <c r="C10" s="59" t="inlineStr">
        <is>
          <t>INV-8843</t>
        </is>
      </c>
      <c r="D10" s="13">
        <f>SUBSTITUTE(SUBSTITUTE(SUBSTITUTE(SUBSTITUTE(SUBSTITUTE(SUBSTITUTE(SUBSTITUTE(LOWER(TRIM(C10)), "-", ""), "/", ""), " ", ""), ".", ""), "_", ""), "#", ""), ":", "")</f>
        <v/>
      </c>
      <c r="E10" s="11" t="n">
        <v>46101</v>
      </c>
      <c r="F10" s="12" t="n">
        <v>12850</v>
      </c>
      <c r="G10" s="59" t="inlineStr">
        <is>
          <t>EFT-990450</t>
        </is>
      </c>
      <c r="H10" s="11" t="n">
        <v>46114</v>
      </c>
      <c r="I10" s="13">
        <f>COUNTIFS($A:$A, A10, $D:$D, D10, $F:$F, F10)</f>
        <v/>
      </c>
      <c r="J10" s="15">
        <f>IF(I10&gt;1, "FLAG: DUPLICATE INVOICE", "OK")</f>
        <v/>
      </c>
      <c r="K10" s="16">
        <f>IF(AND(J10="FLAG: DUPLICATE INVOICE", COUNTIFS($A$4:INDEX($A:$A, ROW()), A10, $D$4:INDEX($D:$D, ROW()), D10, $F$4:INDEX($F:$F, ROW()), F10)&gt;1), IFERROR(VALUE(F10), F10), 0)</f>
        <v/>
      </c>
      <c r="L10" s="54" t="inlineStr">
        <is>
          <t>Negative control: Same invoice number 'INV-9011' ($6,500) issued by DIFFERENT vendor (V-3050 vs V-3012). Legitimate separate billing.</t>
        </is>
      </c>
    </row>
    <row r="11" ht="20" customHeight="1" s="56">
      <c r="A11" s="7" t="inlineStr">
        <is>
          <t>V-3025</t>
        </is>
      </c>
      <c r="B11" s="59" t="inlineStr">
        <is>
          <t>Delta Logistics Express</t>
        </is>
      </c>
      <c r="C11" s="59" t="inlineStr">
        <is>
          <t>DL-4011</t>
        </is>
      </c>
      <c r="D11" s="13">
        <f>SUBSTITUTE(SUBSTITUTE(SUBSTITUTE(SUBSTITUTE(SUBSTITUTE(SUBSTITUTE(SUBSTITUTE(LOWER(TRIM(C11)), "-", ""), "/", ""), " ", ""), ".", ""), "_", ""), "#", ""), ":", "")</f>
        <v/>
      </c>
      <c r="E11" s="11" t="n">
        <v>46082</v>
      </c>
      <c r="F11" s="12" t="n">
        <v>6500</v>
      </c>
      <c r="G11" s="59" t="inlineStr">
        <is>
          <t>EFT-990100</t>
        </is>
      </c>
      <c r="H11" s="11" t="n">
        <v>46096</v>
      </c>
      <c r="I11" s="13">
        <f>COUNTIFS($A:$A, A11, $D:$D, D11, $F:$F, F11)</f>
        <v/>
      </c>
      <c r="J11" s="15">
        <f>IF(I11&gt;1, "FLAG: DUPLICATE INVOICE", "OK")</f>
        <v/>
      </c>
      <c r="K11" s="16">
        <f>IF(AND(J11="FLAG: DUPLICATE INVOICE", COUNTIFS($A$4:INDEX($A:$A, ROW()), A11, $D$4:INDEX($D:$D, ROW()), D11, $F$4:INDEX($F:$F, ROW()), F11)&gt;1), IFERROR(VALUE(F11), F11), 0)</f>
        <v/>
      </c>
      <c r="L11" s="54" t="inlineStr">
        <is>
          <t>Negative control: Same vendor (V-3012), different invoice numbers ('INV-9050' vs 'INV-9051') and different amounts. Unflagged.</t>
        </is>
      </c>
    </row>
    <row r="12" ht="20" customHeight="1" s="56">
      <c r="A12" s="7" t="inlineStr">
        <is>
          <t>V-3025</t>
        </is>
      </c>
      <c r="B12" s="59" t="inlineStr">
        <is>
          <t>Delta Logistics Express</t>
        </is>
      </c>
      <c r="C12" s="59" t="inlineStr">
        <is>
          <t>DL-4012</t>
        </is>
      </c>
      <c r="D12" s="13">
        <f>SUBSTITUTE(SUBSTITUTE(SUBSTITUTE(SUBSTITUTE(SUBSTITUTE(SUBSTITUTE(SUBSTITUTE(LOWER(TRIM(C12)), "-", ""), "/", ""), " ", ""), ".", ""), "_", ""), "#", ""), ":", "")</f>
        <v/>
      </c>
      <c r="E12" s="11" t="n">
        <v>46096</v>
      </c>
      <c r="F12" s="12" t="n">
        <v>6500</v>
      </c>
      <c r="G12" s="59" t="inlineStr">
        <is>
          <t>EFT-990260</t>
        </is>
      </c>
      <c r="H12" s="11" t="n">
        <v>46111</v>
      </c>
      <c r="I12" s="13">
        <f>COUNTIFS($A:$A, A12, $D:$D, D12, $F:$F, F12)</f>
        <v/>
      </c>
      <c r="J12" s="15">
        <f>IF(I12&gt;1, "FLAG: DUPLICATE INVOICE", "OK")</f>
        <v/>
      </c>
      <c r="K12" s="16">
        <f>IF(AND(J12="FLAG: DUPLICATE INVOICE", COUNTIFS($A$4:INDEX($A:$A, ROW()), A12, $D$4:INDEX($D:$D, ROW()), D12, $F$4:INDEX($F:$F, ROW()), F12)&gt;1), IFERROR(VALUE(F12), F12), 0)</f>
        <v/>
      </c>
      <c r="L12" s="59" t="inlineStr">
        <is>
          <t>Distinct sequential invoice 'dl4012'; routine mid-month dispatch.</t>
        </is>
      </c>
    </row>
    <row r="13" ht="20" customHeight="1" s="56">
      <c r="A13" s="7" t="inlineStr">
        <is>
          <t>V-3099</t>
        </is>
      </c>
      <c r="B13" s="59" t="inlineStr">
        <is>
          <t>Crown Commercial Cleaning</t>
        </is>
      </c>
      <c r="C13" s="59" t="inlineStr">
        <is>
          <t>INV-8842</t>
        </is>
      </c>
      <c r="D13" s="13">
        <f>SUBSTITUTE(SUBSTITUTE(SUBSTITUTE(SUBSTITUTE(SUBSTITUTE(SUBSTITUTE(SUBSTITUTE(LOWER(TRIM(C13)), "-", ""), "/", ""), " ", ""), ".", ""), "_", ""), "#", ""), ":", "")</f>
        <v/>
      </c>
      <c r="E13" s="11" t="n">
        <v>46086</v>
      </c>
      <c r="F13" s="12" t="n">
        <v>12850</v>
      </c>
      <c r="G13" s="59" t="inlineStr">
        <is>
          <t>EFT-990180</t>
        </is>
      </c>
      <c r="H13" s="11" t="n">
        <v>46101</v>
      </c>
      <c r="I13" s="13">
        <f>COUNTIFS($A:$A, A13, $D:$D, D13, $F:$F, F13)</f>
        <v/>
      </c>
      <c r="J13" s="15">
        <f>IF(I13&gt;1, "FLAG: DUPLICATE INVOICE", "OK")</f>
        <v/>
      </c>
      <c r="K13" s="16">
        <f>IF(AND(J13="FLAG: DUPLICATE INVOICE", COUNTIFS($A$4:INDEX($A:$A, ROW()), A13, $D$4:INDEX($D:$D, ROW()), D13, $F$4:INDEX($F:$F, ROW()), F13)&gt;1), IFERROR(VALUE(F13), F13), 0)</f>
        <v/>
      </c>
      <c r="L13" s="59" t="inlineStr">
        <is>
          <t>Same invoice string but issued by completely different vendor (V-3099 vs V-3012). Legitimate coincidence.</t>
        </is>
      </c>
    </row>
    <row r="14" ht="20" customHeight="1" s="56">
      <c r="A14" s="7" t="inlineStr">
        <is>
          <t>V-3045</t>
        </is>
      </c>
      <c r="B14" s="59" t="inlineStr">
        <is>
          <t>Apex Facilities Group</t>
        </is>
      </c>
      <c r="C14" s="59" t="inlineStr">
        <is>
          <t>2026/MAR/092</t>
        </is>
      </c>
      <c r="D14" s="13">
        <f>SUBSTITUTE(SUBSTITUTE(SUBSTITUTE(SUBSTITUTE(SUBSTITUTE(SUBSTITUTE(SUBSTITUTE(LOWER(TRIM(C14)), "-", ""), "/", ""), " ", ""), ".", ""), "_", ""), "#", ""), ":", "")</f>
        <v/>
      </c>
      <c r="E14" s="11" t="n">
        <v>46101</v>
      </c>
      <c r="F14" s="12" t="n">
        <v>4750</v>
      </c>
      <c r="G14" s="59" t="inlineStr">
        <is>
          <t>EFT-990440</t>
        </is>
      </c>
      <c r="H14" s="11" t="n">
        <v>46113</v>
      </c>
      <c r="I14" s="13">
        <f>COUNTIFS($A:$A, A14, $D:$D, D14, $F:$F, F14)</f>
        <v/>
      </c>
      <c r="J14" s="15">
        <f>IF(I14&gt;1, "FLAG: DUPLICATE INVOICE", "OK")</f>
        <v/>
      </c>
      <c r="K14" s="16">
        <f>IF(AND(J14="FLAG: DUPLICATE INVOICE", COUNTIFS($A$4:INDEX($A:$A, ROW()), A14, $D$4:INDEX($D:$D, ROW()), D14, $F$4:INDEX($F:$F, ROW()), F14)&gt;1), IFERROR(VALUE(F14), F14), 0)</f>
        <v/>
      </c>
      <c r="L14" s="59" t="inlineStr">
        <is>
          <t>Distinct sequential invoice '2026mar092'; different monthly maintenance scope.</t>
        </is>
      </c>
    </row>
    <row r="15" ht="20" customHeight="1" s="56">
      <c r="A15" s="30" t="inlineStr">
        <is>
          <t>V-3060</t>
        </is>
      </c>
      <c r="B15" s="32" t="inlineStr">
        <is>
          <t>Middle East Security Services</t>
        </is>
      </c>
      <c r="C15" s="32" t="inlineStr">
        <is>
          <t>SEC-5501</t>
        </is>
      </c>
      <c r="D15" s="34">
        <f>SUBSTITUTE(SUBSTITUTE(SUBSTITUTE(SUBSTITUTE(SUBSTITUTE(SUBSTITUTE(SUBSTITUTE(LOWER(TRIM(C15)), "-", ""), "/", ""), " ", ""), ".", ""), "_", ""), "#", ""), ":", "")</f>
        <v/>
      </c>
      <c r="E15" s="31" t="n">
        <v>46091</v>
      </c>
      <c r="F15" s="33" t="n">
        <v>15200</v>
      </c>
      <c r="G15" s="32" t="inlineStr">
        <is>
          <t>EFT-990230</t>
        </is>
      </c>
      <c r="H15" s="31" t="n">
        <v>46105</v>
      </c>
      <c r="I15" s="34">
        <f>COUNTIFS($A:$A, A15, $D:$D, D15, $F:$F, F15)</f>
        <v/>
      </c>
      <c r="J15" s="36">
        <f>IF(I15&gt;1, "FLAG: DUPLICATE INVOICE", "OK")</f>
        <v/>
      </c>
      <c r="K15" s="37">
        <f>IF(AND(J15="FLAG: DUPLICATE INVOICE", COUNTIFS($A$4:INDEX($A:$A, ROW()), A15, $D$4:INDEX($D:$D, ROW()), D15, $F$4:INDEX($F:$F, ROW()), F15)&gt;1), IFERROR(VALUE(F15), F15), 0)</f>
        <v/>
      </c>
      <c r="L15" s="32" t="inlineStr">
        <is>
          <t>Unique invoice 'sec5501'; monthly security guarding services.</t>
        </is>
      </c>
    </row>
    <row r="16" ht="15" customHeight="1" s="56">
      <c r="A16" s="30" t="inlineStr">
        <is>
          <t>Total</t>
        </is>
      </c>
      <c r="B16" s="32" t="n"/>
      <c r="C16" s="32" t="n"/>
      <c r="D16" s="34" t="n"/>
      <c r="E16" s="32" t="inlineStr">
        <is>
          <t>TOTAL PORTFOLIO:</t>
        </is>
      </c>
      <c r="F16" s="33">
        <f>SUBTOTAL(109,Table_Duplicate_Invoices[Invoice_Amount])</f>
        <v/>
      </c>
      <c r="G16" s="32" t="n"/>
      <c r="H16" s="32" t="n"/>
      <c r="I16" s="34" t="n"/>
      <c r="J16" s="36" t="n"/>
      <c r="K16" s="37">
        <f>SUBTOTAL(109,Table_Duplicate_Invoices[Cash_Exposure])</f>
        <v/>
      </c>
      <c r="L16" s="32">
        <f>SUBTOTAL(103,Table_Duplicate_Invoices[Audit_Workpaper_Notes])</f>
        <v/>
      </c>
    </row>
  </sheetData>
  <mergeCells count="2">
    <mergeCell ref="A2:L2"/>
    <mergeCell ref="A1:L1"/>
  </mergeCells>
  <conditionalFormatting sqref="J4:J15">
    <cfRule type="expression" priority="1" dxfId="0" stopIfTrue="1">
      <formula>LEFT(J4, 4)="FLAG"</formula>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16"/>
  <sheetViews>
    <sheetView showGridLines="1" workbookViewId="0">
      <selection activeCell="A1" sqref="A1"/>
    </sheetView>
  </sheetViews>
  <sheetFormatPr baseColWidth="8" defaultRowHeight="14.5"/>
  <cols>
    <col width="14" bestFit="1" customWidth="1" style="56" min="1" max="1"/>
    <col width="17" bestFit="1" customWidth="1" style="56" min="2" max="2"/>
    <col width="29.54296875" bestFit="1" customWidth="1" style="56" min="3" max="3"/>
    <col width="17.08984375" bestFit="1" customWidth="1" style="56" min="4" max="4"/>
    <col width="17.7265625" bestFit="1" customWidth="1" style="56" min="5" max="5"/>
    <col width="14.36328125" bestFit="1" customWidth="1" style="56" min="6" max="6"/>
    <col width="18.54296875" bestFit="1" customWidth="1" style="56" min="7" max="7"/>
    <col width="16.1796875" bestFit="1" customWidth="1" style="56" min="8" max="8"/>
    <col width="15.54296875" bestFit="1" customWidth="1" style="56" min="9" max="9"/>
    <col width="15" bestFit="1" customWidth="1" style="56" min="10" max="10"/>
    <col width="15.6328125" bestFit="1" customWidth="1" style="56" min="11" max="11"/>
    <col width="20.90625" bestFit="1" customWidth="1" style="56" min="12" max="12"/>
    <col width="20.81640625" bestFit="1" customWidth="1" style="56" min="13" max="13"/>
    <col width="69.1796875" bestFit="1" customWidth="1" style="56" min="14" max="14"/>
  </cols>
  <sheetData>
    <row r="1" ht="26" customHeight="1" s="56">
      <c r="A1" s="90" t="inlineStr">
        <is>
          <t>TEST 4: OFF-HOURS &amp; WEEKEND GENERAL LEDGER POSTINGS</t>
        </is>
      </c>
    </row>
    <row r="2" ht="20" customHeight="1" s="56">
      <c r="A2" s="93" t="inlineStr">
        <is>
          <t>INSTRUCTIONS: Paste raw GL journal entries into Columns A to G starting at Cell A4. Do NOT overwrite Columns H to N (Formulas calculate automatically).</t>
        </is>
      </c>
    </row>
    <row r="3" ht="26" customHeight="1" s="56" thickBot="1">
      <c r="A3" s="94" t="inlineStr">
        <is>
          <t>Journal_ID</t>
        </is>
      </c>
      <c r="B3" s="94" t="inlineStr">
        <is>
          <t>Account_Code</t>
        </is>
      </c>
      <c r="C3" s="94" t="inlineStr">
        <is>
          <t>Account_Name</t>
        </is>
      </c>
      <c r="D3" s="94" t="inlineStr">
        <is>
          <t>Debit_Amount</t>
        </is>
      </c>
      <c r="E3" s="94" t="inlineStr">
        <is>
          <t>Credit_Amount</t>
        </is>
      </c>
      <c r="F3" s="94" t="inlineStr">
        <is>
          <t>Created_By</t>
        </is>
      </c>
      <c r="G3" s="94" t="inlineStr">
        <is>
          <t>Post_Timestamp</t>
        </is>
      </c>
      <c r="H3" s="95" t="inlineStr">
        <is>
          <t>Day_of_Week</t>
        </is>
      </c>
      <c r="I3" s="95" t="inlineStr">
        <is>
          <t>Time_of_Day</t>
        </is>
      </c>
      <c r="J3" s="95" t="inlineStr">
        <is>
          <t>Is_Weekend</t>
        </is>
      </c>
      <c r="K3" s="95" t="inlineStr">
        <is>
          <t>Is_Off_Hours</t>
        </is>
      </c>
      <c r="L3" s="95" t="inlineStr">
        <is>
          <t>Audit_Flag</t>
        </is>
      </c>
      <c r="M3" s="95" t="inlineStr">
        <is>
          <t>Financial_Exposure</t>
        </is>
      </c>
      <c r="N3" s="95" t="inlineStr">
        <is>
          <t>Audit_Workpaper_Notes</t>
        </is>
      </c>
    </row>
    <row r="4" ht="20" customHeight="1" s="56">
      <c r="A4" s="7" t="inlineStr">
        <is>
          <t>JV-2026-00452</t>
        </is>
      </c>
      <c r="B4" s="59" t="inlineStr">
        <is>
          <t>4100-01</t>
        </is>
      </c>
      <c r="C4" s="59" t="inlineStr">
        <is>
          <t>Direct Revenue - Catering Services</t>
        </is>
      </c>
      <c r="D4" s="12" t="n">
        <v>0</v>
      </c>
      <c r="E4" s="12" t="n">
        <v>87500</v>
      </c>
      <c r="F4" s="59" t="inlineStr">
        <is>
          <t>FIN_CLERK_2</t>
        </is>
      </c>
      <c r="G4" s="19" t="n">
        <v>46112.98969907407</v>
      </c>
      <c r="H4" s="13">
        <f>IF(OR(ISBLANK(G4), G4=""), "", TEXT(G4, "dddd"))</f>
        <v/>
      </c>
      <c r="I4" s="13">
        <f>IF(OR(ISBLANK(G4), G4=""), "", TEXT(G4, "hh:mm:ss"))</f>
        <v/>
      </c>
      <c r="J4" s="13">
        <f>IF(OR(ISBLANK(G4), G4=""), "NO", IF(WEEKDAY(G4, 2)&gt;5, "YES", "NO"))</f>
        <v/>
      </c>
      <c r="K4" s="13">
        <f>IF(OR(ISBLANK(G4), G4=""), "NO", IF(OR(MOD(G4, 1)&lt;TIME(7,0,0), MOD(G4, 1)&gt;TIME(19,0,0)), "YES", "NO"))</f>
        <v/>
      </c>
      <c r="L4" s="15">
        <f>IF(OR(ISBLANK(G4), G4=""), "OK", IF(OR(WEEKDAY(G4, 2)&gt;5, MOD(G4, 1)&lt;TIME(7,0,0), MOD(G4, 1)&gt;TIME(19,0,0)), "FLAG: OFF-HOURS ENTRY", "OK"))</f>
        <v/>
      </c>
      <c r="M4" s="16">
        <f>IF(L4="FLAG: OFF-HOURS ENTRY", MAX(IFERROR(VALUE(D4), 0), IFERROR(VALUE(E4), 0)), 0)</f>
        <v/>
      </c>
      <c r="N4" s="54" t="inlineStr">
        <is>
          <t>Manual credit of $87,500 to Revenue posted at 23:45:10 on month-end close night. Evasion of standard supervisory cutoff review.</t>
        </is>
      </c>
    </row>
    <row r="5" ht="20" customHeight="1" s="56">
      <c r="A5" s="7" t="inlineStr">
        <is>
          <t>JV-2026-00458</t>
        </is>
      </c>
      <c r="B5" s="59" t="inlineStr">
        <is>
          <t>1250-00</t>
        </is>
      </c>
      <c r="C5" s="59" t="inlineStr">
        <is>
          <t>Prepayments &amp; Deferred Charges</t>
        </is>
      </c>
      <c r="D5" s="12" t="n">
        <v>45000</v>
      </c>
      <c r="E5" s="12" t="n">
        <v>0</v>
      </c>
      <c r="F5" s="59" t="inlineStr">
        <is>
          <t>FIN_MGR_1</t>
        </is>
      </c>
      <c r="G5" s="19" t="n">
        <v>46110.59400462963</v>
      </c>
      <c r="H5" s="13">
        <f>IF(OR(ISBLANK(G5), G5=""), "", TEXT(G5, "dddd"))</f>
        <v/>
      </c>
      <c r="I5" s="13">
        <f>IF(OR(ISBLANK(G5), G5=""), "", TEXT(G5, "hh:mm:ss"))</f>
        <v/>
      </c>
      <c r="J5" s="13">
        <f>IF(OR(ISBLANK(G5), G5=""), "NO", IF(WEEKDAY(G5, 2)&gt;5, "YES", "NO"))</f>
        <v/>
      </c>
      <c r="K5" s="13">
        <f>IF(OR(ISBLANK(G5), G5=""), "NO", IF(OR(MOD(G5, 1)&lt;TIME(7,0,0), MOD(G5, 1)&gt;TIME(19,0,0)), "YES", "NO"))</f>
        <v/>
      </c>
      <c r="L5" s="15">
        <f>IF(OR(ISBLANK(G5), G5=""), "OK", IF(OR(WEEKDAY(G5, 2)&gt;5, MOD(G5, 1)&lt;TIME(7,0,0), MOD(G5, 1)&gt;TIME(19,0,0)), "FLAG: OFF-HOURS ENTRY", "OK"))</f>
        <v/>
      </c>
      <c r="M5" s="16">
        <f>IF(L5="FLAG: OFF-HOURS ENTRY", MAX(IFERROR(VALUE(D5), 0), IFERROR(VALUE(E5), 0)), 0)</f>
        <v/>
      </c>
      <c r="N5" s="54" t="inlineStr">
        <is>
          <t>Manual debit of $45,000 to Prepayments posted at 01:15:30 on close night. Cutoff deferral risk.</t>
        </is>
      </c>
    </row>
    <row r="6" ht="20" customHeight="1" s="56">
      <c r="A6" s="7" t="inlineStr">
        <is>
          <t>JV-2026-00461</t>
        </is>
      </c>
      <c r="B6" s="59" t="inlineStr">
        <is>
          <t>5200-10</t>
        </is>
      </c>
      <c r="C6" s="59" t="inlineStr">
        <is>
          <t>Inventory Provision / Scrap Adjustment</t>
        </is>
      </c>
      <c r="D6" s="12" t="n">
        <v>62000</v>
      </c>
      <c r="E6" s="12" t="n">
        <v>0</v>
      </c>
      <c r="F6" s="59" t="inlineStr">
        <is>
          <t>COST_ACCNT</t>
        </is>
      </c>
      <c r="G6" s="19" t="n">
        <v>46107.18767361111</v>
      </c>
      <c r="H6" s="13">
        <f>IF(OR(ISBLANK(G6), G6=""), "", TEXT(G6, "dddd"))</f>
        <v/>
      </c>
      <c r="I6" s="13">
        <f>IF(OR(ISBLANK(G6), G6=""), "", TEXT(G6, "hh:mm:ss"))</f>
        <v/>
      </c>
      <c r="J6" s="13">
        <f>IF(OR(ISBLANK(G6), G6=""), "NO", IF(WEEKDAY(G6, 2)&gt;5, "YES", "NO"))</f>
        <v/>
      </c>
      <c r="K6" s="13">
        <f>IF(OR(ISBLANK(G6), G6=""), "NO", IF(OR(MOD(G6, 1)&lt;TIME(7,0,0), MOD(G6, 1)&gt;TIME(19,0,0)), "YES", "NO"))</f>
        <v/>
      </c>
      <c r="L6" s="15">
        <f>IF(OR(ISBLANK(G6), G6=""), "OK", IF(OR(WEEKDAY(G6, 2)&gt;5, MOD(G6, 1)&lt;TIME(7,0,0), MOD(G6, 1)&gt;TIME(19,0,0)), "FLAG: OFF-HOURS ENTRY", "OK"))</f>
        <v/>
      </c>
      <c r="M6" s="16">
        <f>IF(L6="FLAG: OFF-HOURS ENTRY", MAX(IFERROR(VALUE(D6), 0), IFERROR(VALUE(E6), 0)), 0)</f>
        <v/>
      </c>
      <c r="N6" s="54" t="inlineStr">
        <is>
          <t>Manual debit of $62,000 to Inventory Scrap provision posted on Saturday at 14:20:00. Weekend management override.</t>
        </is>
      </c>
    </row>
    <row r="7" ht="20" customHeight="1" s="56">
      <c r="A7" s="7" t="inlineStr">
        <is>
          <t>JV-2026-00470</t>
        </is>
      </c>
      <c r="B7" s="59" t="inlineStr">
        <is>
          <t>2100-05</t>
        </is>
      </c>
      <c r="C7" s="59" t="inlineStr">
        <is>
          <t>Accrued Operating Expenses</t>
        </is>
      </c>
      <c r="D7" s="12" t="n">
        <v>0</v>
      </c>
      <c r="E7" s="12" t="n">
        <v>53000</v>
      </c>
      <c r="F7" s="59" t="inlineStr">
        <is>
          <t>FIN_CLERK_2</t>
        </is>
      </c>
      <c r="G7" s="19" t="n">
        <v>46109.43107638889</v>
      </c>
      <c r="H7" s="13">
        <f>IF(OR(ISBLANK(G7), G7=""), "", TEXT(G7, "dddd"))</f>
        <v/>
      </c>
      <c r="I7" s="13">
        <f>IF(OR(ISBLANK(G7), G7=""), "", TEXT(G7, "hh:mm:ss"))</f>
        <v/>
      </c>
      <c r="J7" s="13">
        <f>IF(OR(ISBLANK(G7), G7=""), "NO", IF(WEEKDAY(G7, 2)&gt;5, "YES", "NO"))</f>
        <v/>
      </c>
      <c r="K7" s="13">
        <f>IF(OR(ISBLANK(G7), G7=""), "NO", IF(OR(MOD(G7, 1)&lt;TIME(7,0,0), MOD(G7, 1)&gt;TIME(19,0,0)), "YES", "NO"))</f>
        <v/>
      </c>
      <c r="L7" s="15">
        <f>IF(OR(ISBLANK(G7), G7=""), "OK", IF(OR(WEEKDAY(G7, 2)&gt;5, MOD(G7, 1)&lt;TIME(7,0,0), MOD(G7, 1)&gt;TIME(19,0,0)), "FLAG: OFF-HOURS ENTRY", "OK"))</f>
        <v/>
      </c>
      <c r="M7" s="16">
        <f>IF(L7="FLAG: OFF-HOURS ENTRY", MAX(IFERROR(VALUE(D7), 0), IFERROR(VALUE(E7), 0)), 0)</f>
        <v/>
      </c>
      <c r="N7" s="54" t="inlineStr">
        <is>
          <t>Manual credit of $53,000 to Accruals posted on Sunday at 22:10:15. Unmonitored weekend adjustment.</t>
        </is>
      </c>
    </row>
    <row r="8" ht="20" customHeight="1" s="56">
      <c r="A8" s="7" t="inlineStr">
        <is>
          <t>JV-2026-00475</t>
        </is>
      </c>
      <c r="B8" s="59" t="inlineStr">
        <is>
          <t>6300-00</t>
        </is>
      </c>
      <c r="C8" s="59" t="inlineStr">
        <is>
          <t>General Consulting Expenses</t>
        </is>
      </c>
      <c r="D8" s="12" t="n">
        <v>35000</v>
      </c>
      <c r="E8" s="12" t="n">
        <v>0</v>
      </c>
      <c r="F8" s="59" t="inlineStr">
        <is>
          <t>FIN_MGR_1</t>
        </is>
      </c>
      <c r="G8" s="19" t="n">
        <v>46112.88194444445</v>
      </c>
      <c r="H8" s="13">
        <f>IF(OR(ISBLANK(G8), G8=""), "", TEXT(G8, "dddd"))</f>
        <v/>
      </c>
      <c r="I8" s="13">
        <f>IF(OR(ISBLANK(G8), G8=""), "", TEXT(G8, "hh:mm:ss"))</f>
        <v/>
      </c>
      <c r="J8" s="13">
        <f>IF(OR(ISBLANK(G8), G8=""), "NO", IF(WEEKDAY(G8, 2)&gt;5, "YES", "NO"))</f>
        <v/>
      </c>
      <c r="K8" s="13">
        <f>IF(OR(ISBLANK(G8), G8=""), "NO", IF(OR(MOD(G8, 1)&lt;TIME(7,0,0), MOD(G8, 1)&gt;TIME(19,0,0)), "YES", "NO"))</f>
        <v/>
      </c>
      <c r="L8" s="15">
        <f>IF(OR(ISBLANK(G8), G8=""), "OK", IF(OR(WEEKDAY(G8, 2)&gt;5, MOD(G8, 1)&lt;TIME(7,0,0), MOD(G8, 1)&gt;TIME(19,0,0)), "FLAG: OFF-HOURS ENTRY", "OK"))</f>
        <v/>
      </c>
      <c r="M8" s="16">
        <f>IF(L8="FLAG: OFF-HOURS ENTRY", MAX(IFERROR(VALUE(D8), 0), IFERROR(VALUE(E8), 0)), 0)</f>
        <v/>
      </c>
      <c r="N8" s="54" t="inlineStr">
        <is>
          <t>Manual credit of $35,000 to Operating Cost posted at 05:30:00 (prior to 07:00 opening window). Off-hours override.</t>
        </is>
      </c>
    </row>
    <row r="9" ht="20" customHeight="1" s="56">
      <c r="A9" s="7" t="inlineStr">
        <is>
          <t>JV-2026-00410</t>
        </is>
      </c>
      <c r="B9" s="59" t="inlineStr">
        <is>
          <t>5010-00</t>
        </is>
      </c>
      <c r="C9" s="59" t="inlineStr">
        <is>
          <t>Cost of Goods Sold - Food Supplies</t>
        </is>
      </c>
      <c r="D9" s="12" t="n">
        <v>124500</v>
      </c>
      <c r="E9" s="12" t="n">
        <v>0</v>
      </c>
      <c r="F9" s="59" t="inlineStr">
        <is>
          <t>FIN_CLERK_1</t>
        </is>
      </c>
      <c r="G9" s="19" t="n">
        <v>46106.4375</v>
      </c>
      <c r="H9" s="13">
        <f>IF(OR(ISBLANK(G9), G9=""), "", TEXT(G9, "dddd"))</f>
        <v/>
      </c>
      <c r="I9" s="13">
        <f>IF(OR(ISBLANK(G9), G9=""), "", TEXT(G9, "hh:mm:ss"))</f>
        <v/>
      </c>
      <c r="J9" s="13">
        <f>IF(OR(ISBLANK(G9), G9=""), "NO", IF(WEEKDAY(G9, 2)&gt;5, "YES", "NO"))</f>
        <v/>
      </c>
      <c r="K9" s="13">
        <f>IF(OR(ISBLANK(G9), G9=""), "NO", IF(OR(MOD(G9, 1)&lt;TIME(7,0,0), MOD(G9, 1)&gt;TIME(19,0,0)), "YES", "NO"))</f>
        <v/>
      </c>
      <c r="L9" s="15">
        <f>IF(OR(ISBLANK(G9), G9=""), "OK", IF(OR(WEEKDAY(G9, 2)&gt;5, MOD(G9, 1)&lt;TIME(7,0,0), MOD(G9, 1)&gt;TIME(19,0,0)), "FLAG: OFF-HOURS ENTRY", "OK"))</f>
        <v/>
      </c>
      <c r="M9" s="16">
        <f>IF(L9="FLAG: OFF-HOURS ENTRY", MAX(IFERROR(VALUE(D9), 0), IFERROR(VALUE(E9), 0)), 0)</f>
        <v/>
      </c>
      <c r="N9" s="54" t="inlineStr">
        <is>
          <t>Automated recurring entry (SAP_AUTO_01) posted at 02:00:00. System batch job. Excluded from manual override inquiry.</t>
        </is>
      </c>
    </row>
    <row r="10" ht="20" customHeight="1" s="56">
      <c r="A10" s="7" t="inlineStr">
        <is>
          <t>JV-2026-00418</t>
        </is>
      </c>
      <c r="B10" s="59" t="inlineStr">
        <is>
          <t>2010-00</t>
        </is>
      </c>
      <c r="C10" s="59" t="inlineStr">
        <is>
          <t>Trade Accounts Payable</t>
        </is>
      </c>
      <c r="D10" s="12" t="n">
        <v>0</v>
      </c>
      <c r="E10" s="12" t="n">
        <v>124500</v>
      </c>
      <c r="F10" s="59" t="inlineStr">
        <is>
          <t>FIN_CLERK_1</t>
        </is>
      </c>
      <c r="G10" s="19" t="n">
        <v>46106.4375</v>
      </c>
      <c r="H10" s="13">
        <f>IF(OR(ISBLANK(G10), G10=""), "", TEXT(G10, "dddd"))</f>
        <v/>
      </c>
      <c r="I10" s="13">
        <f>IF(OR(ISBLANK(G10), G10=""), "", TEXT(G10, "hh:mm:ss"))</f>
        <v/>
      </c>
      <c r="J10" s="13">
        <f>IF(OR(ISBLANK(G10), G10=""), "NO", IF(WEEKDAY(G10, 2)&gt;5, "YES", "NO"))</f>
        <v/>
      </c>
      <c r="K10" s="13">
        <f>IF(OR(ISBLANK(G10), G10=""), "NO", IF(OR(MOD(G10, 1)&lt;TIME(7,0,0), MOD(G10, 1)&gt;TIME(19,0,0)), "YES", "NO"))</f>
        <v/>
      </c>
      <c r="L10" s="15">
        <f>IF(OR(ISBLANK(G10), G10=""), "OK", IF(OR(WEEKDAY(G10, 2)&gt;5, MOD(G10, 1)&lt;TIME(7,0,0), MOD(G10, 1)&gt;TIME(19,0,0)), "FLAG: OFF-HOURS ENTRY", "OK"))</f>
        <v/>
      </c>
      <c r="M10" s="16">
        <f>IF(L10="FLAG: OFF-HOURS ENTRY", MAX(IFERROR(VALUE(D10), 0), IFERROR(VALUE(E10), 0)), 0)</f>
        <v/>
      </c>
      <c r="N10" s="54" t="inlineStr">
        <is>
          <t>Routine manual journal posted on Tuesday at 14:30:00. Within standard operating window (07:00 to 19:00). Unflagged.</t>
        </is>
      </c>
    </row>
    <row r="11" ht="20" customHeight="1" s="56">
      <c r="A11" s="7" t="inlineStr">
        <is>
          <t>JV-2026-00425</t>
        </is>
      </c>
      <c r="B11" s="59" t="inlineStr">
        <is>
          <t>6100-00</t>
        </is>
      </c>
      <c r="C11" s="59" t="inlineStr">
        <is>
          <t>Office Utilities Expense</t>
        </is>
      </c>
      <c r="D11" s="12" t="n">
        <v>14200</v>
      </c>
      <c r="E11" s="12" t="n">
        <v>0</v>
      </c>
      <c r="F11" s="59" t="inlineStr">
        <is>
          <t>FIN_CLERK_2</t>
        </is>
      </c>
      <c r="G11" s="19" t="n">
        <v>46107.59722222222</v>
      </c>
      <c r="H11" s="13">
        <f>IF(OR(ISBLANK(G11), G11=""), "", TEXT(G11, "dddd"))</f>
        <v/>
      </c>
      <c r="I11" s="13">
        <f>IF(OR(ISBLANK(G11), G11=""), "", TEXT(G11, "hh:mm:ss"))</f>
        <v/>
      </c>
      <c r="J11" s="13">
        <f>IF(OR(ISBLANK(G11), G11=""), "NO", IF(WEEKDAY(G11, 2)&gt;5, "YES", "NO"))</f>
        <v/>
      </c>
      <c r="K11" s="13">
        <f>IF(OR(ISBLANK(G11), G11=""), "NO", IF(OR(MOD(G11, 1)&lt;TIME(7,0,0), MOD(G11, 1)&gt;TIME(19,0,0)), "YES", "NO"))</f>
        <v/>
      </c>
      <c r="L11" s="15">
        <f>IF(OR(ISBLANK(G11), G11=""), "OK", IF(OR(WEEKDAY(G11, 2)&gt;5, MOD(G11, 1)&lt;TIME(7,0,0), MOD(G11, 1)&gt;TIME(19,0,0)), "FLAG: OFF-HOURS ENTRY", "OK"))</f>
        <v/>
      </c>
      <c r="M11" s="16">
        <f>IF(L11="FLAG: OFF-HOURS ENTRY", MAX(IFERROR(VALUE(D11), 0), IFERROR(VALUE(E11), 0)), 0)</f>
        <v/>
      </c>
      <c r="N11" s="59" t="inlineStr">
        <is>
          <t>Normal business hours entry (Thursday 2:20 PM). Utility accrual true-up.</t>
        </is>
      </c>
    </row>
    <row r="12" ht="20" customHeight="1" s="56">
      <c r="A12" s="7" t="inlineStr">
        <is>
          <t>JV-2026-00432</t>
        </is>
      </c>
      <c r="B12" s="59" t="inlineStr">
        <is>
          <t>1010-00</t>
        </is>
      </c>
      <c r="C12" s="59" t="inlineStr">
        <is>
          <t>Operating Bank Account - Clearing</t>
        </is>
      </c>
      <c r="D12" s="12" t="n">
        <v>0</v>
      </c>
      <c r="E12" s="12" t="n">
        <v>14200</v>
      </c>
      <c r="F12" s="59" t="inlineStr">
        <is>
          <t>FIN_CLERK_2</t>
        </is>
      </c>
      <c r="G12" s="19" t="n">
        <v>46107.59722222222</v>
      </c>
      <c r="H12" s="13">
        <f>IF(OR(ISBLANK(G12), G12=""), "", TEXT(G12, "dddd"))</f>
        <v/>
      </c>
      <c r="I12" s="13">
        <f>IF(OR(ISBLANK(G12), G12=""), "", TEXT(G12, "hh:mm:ss"))</f>
        <v/>
      </c>
      <c r="J12" s="13">
        <f>IF(OR(ISBLANK(G12), G12=""), "NO", IF(WEEKDAY(G12, 2)&gt;5, "YES", "NO"))</f>
        <v/>
      </c>
      <c r="K12" s="13">
        <f>IF(OR(ISBLANK(G12), G12=""), "NO", IF(OR(MOD(G12, 1)&lt;TIME(7,0,0), MOD(G12, 1)&gt;TIME(19,0,0)), "YES", "NO"))</f>
        <v/>
      </c>
      <c r="L12" s="15">
        <f>IF(OR(ISBLANK(G12), G12=""), "OK", IF(OR(WEEKDAY(G12, 2)&gt;5, MOD(G12, 1)&lt;TIME(7,0,0), MOD(G12, 1)&gt;TIME(19,0,0)), "FLAG: OFF-HOURS ENTRY", "OK"))</f>
        <v/>
      </c>
      <c r="M12" s="16">
        <f>IF(L12="FLAG: OFF-HOURS ENTRY", MAX(IFERROR(VALUE(D12), 0), IFERROR(VALUE(E12), 0)), 0)</f>
        <v/>
      </c>
      <c r="N12" s="59" t="inlineStr">
        <is>
          <t>Normal business hours entry (Thursday 2:20 PM). Utility payment clearing.</t>
        </is>
      </c>
    </row>
    <row r="13" ht="20" customHeight="1" s="56">
      <c r="A13" s="7" t="inlineStr">
        <is>
          <t>JV-2026-00440</t>
        </is>
      </c>
      <c r="B13" s="59" t="inlineStr">
        <is>
          <t>6200-05</t>
        </is>
      </c>
      <c r="C13" s="59" t="inlineStr">
        <is>
          <t>Staff Travel &amp; Accommodation</t>
        </is>
      </c>
      <c r="D13" s="12" t="n">
        <v>8950</v>
      </c>
      <c r="E13" s="12" t="n">
        <v>0</v>
      </c>
      <c r="F13" s="59" t="inlineStr">
        <is>
          <t>FIN_MGR_1</t>
        </is>
      </c>
      <c r="G13" s="19" t="n">
        <v>46108.69791666666</v>
      </c>
      <c r="H13" s="13">
        <f>IF(OR(ISBLANK(G13), G13=""), "", TEXT(G13, "dddd"))</f>
        <v/>
      </c>
      <c r="I13" s="13">
        <f>IF(OR(ISBLANK(G13), G13=""), "", TEXT(G13, "hh:mm:ss"))</f>
        <v/>
      </c>
      <c r="J13" s="13">
        <f>IF(OR(ISBLANK(G13), G13=""), "NO", IF(WEEKDAY(G13, 2)&gt;5, "YES", "NO"))</f>
        <v/>
      </c>
      <c r="K13" s="13">
        <f>IF(OR(ISBLANK(G13), G13=""), "NO", IF(OR(MOD(G13, 1)&lt;TIME(7,0,0), MOD(G13, 1)&gt;TIME(19,0,0)), "YES", "NO"))</f>
        <v/>
      </c>
      <c r="L13" s="15">
        <f>IF(OR(ISBLANK(G13), G13=""), "OK", IF(OR(WEEKDAY(G13, 2)&gt;5, MOD(G13, 1)&lt;TIME(7,0,0), MOD(G13, 1)&gt;TIME(19,0,0)), "FLAG: OFF-HOURS ENTRY", "OK"))</f>
        <v/>
      </c>
      <c r="M13" s="16">
        <f>IF(L13="FLAG: OFF-HOURS ENTRY", MAX(IFERROR(VALUE(D13), 0), IFERROR(VALUE(E13), 0)), 0)</f>
        <v/>
      </c>
      <c r="N13" s="59" t="inlineStr">
        <is>
          <t>Normal business hours entry (Friday 4:45 PM before 7:00 PM cutoff). Routine monthly T&amp;E.</t>
        </is>
      </c>
    </row>
    <row r="14" ht="20" customHeight="1" s="56">
      <c r="A14" s="7" t="inlineStr">
        <is>
          <t>JV-2026-00445</t>
        </is>
      </c>
      <c r="B14" s="59" t="inlineStr">
        <is>
          <t>1100-00</t>
        </is>
      </c>
      <c r="C14" s="59" t="inlineStr">
        <is>
          <t>Accounts Receivable Trade</t>
        </is>
      </c>
      <c r="D14" s="12" t="n">
        <v>95000</v>
      </c>
      <c r="E14" s="12" t="n">
        <v>0</v>
      </c>
      <c r="F14" s="59" t="inlineStr">
        <is>
          <t>FIN_CLERK_1</t>
        </is>
      </c>
      <c r="G14" s="19" t="n">
        <v>46111.46875</v>
      </c>
      <c r="H14" s="13">
        <f>IF(OR(ISBLANK(G14), G14=""), "", TEXT(G14, "dddd"))</f>
        <v/>
      </c>
      <c r="I14" s="13">
        <f>IF(OR(ISBLANK(G14), G14=""), "", TEXT(G14, "hh:mm:ss"))</f>
        <v/>
      </c>
      <c r="J14" s="13">
        <f>IF(OR(ISBLANK(G14), G14=""), "NO", IF(WEEKDAY(G14, 2)&gt;5, "YES", "NO"))</f>
        <v/>
      </c>
      <c r="K14" s="13">
        <f>IF(OR(ISBLANK(G14), G14=""), "NO", IF(OR(MOD(G14, 1)&lt;TIME(7,0,0), MOD(G14, 1)&gt;TIME(19,0,0)), "YES", "NO"))</f>
        <v/>
      </c>
      <c r="L14" s="15">
        <f>IF(OR(ISBLANK(G14), G14=""), "OK", IF(OR(WEEKDAY(G14, 2)&gt;5, MOD(G14, 1)&lt;TIME(7,0,0), MOD(G14, 1)&gt;TIME(19,0,0)), "FLAG: OFF-HOURS ENTRY", "OK"))</f>
        <v/>
      </c>
      <c r="M14" s="16">
        <f>IF(L14="FLAG: OFF-HOURS ENTRY", MAX(IFERROR(VALUE(D14), 0), IFERROR(VALUE(E14), 0)), 0)</f>
        <v/>
      </c>
      <c r="N14" s="59" t="inlineStr">
        <is>
          <t>Normal business hours entry (Monday 11:15 AM). Trade billing adjustment.</t>
        </is>
      </c>
    </row>
    <row r="15" ht="20" customHeight="1" s="56">
      <c r="A15" s="30" t="inlineStr">
        <is>
          <t>JV-2026-00450</t>
        </is>
      </c>
      <c r="B15" s="32" t="inlineStr">
        <is>
          <t>4100-02</t>
        </is>
      </c>
      <c r="C15" s="32" t="inlineStr">
        <is>
          <t>Corporate Catering Revenue</t>
        </is>
      </c>
      <c r="D15" s="33" t="n">
        <v>0</v>
      </c>
      <c r="E15" s="33" t="n">
        <v>95000</v>
      </c>
      <c r="F15" s="32" t="inlineStr">
        <is>
          <t>FIN_CLERK_1</t>
        </is>
      </c>
      <c r="G15" s="39" t="n">
        <v>46111.46875</v>
      </c>
      <c r="H15" s="34">
        <f>IF(OR(ISBLANK(G15), G15=""), "", TEXT(G15, "dddd"))</f>
        <v/>
      </c>
      <c r="I15" s="34">
        <f>IF(OR(ISBLANK(G15), G15=""), "", TEXT(G15, "hh:mm:ss"))</f>
        <v/>
      </c>
      <c r="J15" s="34">
        <f>IF(OR(ISBLANK(G15), G15=""), "NO", IF(WEEKDAY(G15, 2)&gt;5, "YES", "NO"))</f>
        <v/>
      </c>
      <c r="K15" s="34">
        <f>IF(OR(ISBLANK(G15), G15=""), "NO", IF(OR(MOD(G15, 1)&lt;TIME(7,0,0), MOD(G15, 1)&gt;TIME(19,0,0)), "YES", "NO"))</f>
        <v/>
      </c>
      <c r="L15" s="36">
        <f>IF(OR(ISBLANK(G15), G15=""), "OK", IF(OR(WEEKDAY(G15, 2)&gt;5, MOD(G15, 1)&lt;TIME(7,0,0), MOD(G15, 1)&gt;TIME(19,0,0)), "FLAG: OFF-HOURS ENTRY", "OK"))</f>
        <v/>
      </c>
      <c r="M15" s="37">
        <f>IF(L15="FLAG: OFF-HOURS ENTRY", MAX(IFERROR(VALUE(D15), 0), IFERROR(VALUE(E15), 0)), 0)</f>
        <v/>
      </c>
      <c r="N15" s="32" t="inlineStr">
        <is>
          <t>Normal business hours entry (Monday 11:15 AM). Direct catering revenue recognition.</t>
        </is>
      </c>
    </row>
    <row r="16" ht="15" customHeight="1" s="56">
      <c r="A16" s="30" t="inlineStr">
        <is>
          <t>Total</t>
        </is>
      </c>
      <c r="B16" s="32" t="n"/>
      <c r="C16" s="32" t="inlineStr">
        <is>
          <t>TOTAL PORTFOLIO:</t>
        </is>
      </c>
      <c r="D16" s="33">
        <f>SUBTOTAL(109,Table_Off_Hours_GL[Debit_Amount])</f>
        <v/>
      </c>
      <c r="E16" s="33">
        <f>SUBTOTAL(109,Table_Off_Hours_GL[Credit_Amount])</f>
        <v/>
      </c>
      <c r="F16" s="32" t="n"/>
      <c r="G16" s="32" t="n"/>
      <c r="H16" s="34" t="n"/>
      <c r="I16" s="34" t="n"/>
      <c r="J16" s="34" t="n"/>
      <c r="K16" s="34" t="n"/>
      <c r="L16" s="36" t="n"/>
      <c r="M16" s="37">
        <f>SUBTOTAL(109,Table_Off_Hours_GL[Financial_Exposure])</f>
        <v/>
      </c>
      <c r="N16" s="32">
        <f>SUBTOTAL(103,Table_Off_Hours_GL[Audit_Workpaper_Notes])</f>
        <v/>
      </c>
    </row>
  </sheetData>
  <mergeCells count="2">
    <mergeCell ref="A2:N2"/>
    <mergeCell ref="A1:N1"/>
  </mergeCells>
  <conditionalFormatting sqref="L4:L15">
    <cfRule type="expression" priority="1" dxfId="0" stopIfTrue="1">
      <formula>LEFT(L4, 4)="FLAG"</formula>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16"/>
  <sheetViews>
    <sheetView showGridLines="1" workbookViewId="0">
      <selection activeCell="A1" sqref="A1"/>
    </sheetView>
  </sheetViews>
  <sheetFormatPr baseColWidth="8" defaultRowHeight="14.5"/>
  <cols>
    <col width="13.7265625" bestFit="1" customWidth="1" style="56" min="1" max="1"/>
    <col width="22.08984375" bestFit="1" customWidth="1" style="56" min="2" max="2"/>
    <col width="20.54296875" bestFit="1" customWidth="1" style="56" min="3" max="3"/>
    <col width="18.6328125" bestFit="1" customWidth="1" style="56" min="4" max="4"/>
    <col width="37" bestFit="1" customWidth="1" style="56" min="5" max="5"/>
    <col width="14.36328125" bestFit="1" customWidth="1" style="56" min="6" max="6"/>
    <col width="19.6328125" bestFit="1" customWidth="1" style="56" min="7" max="8"/>
    <col width="18.26953125" bestFit="1" customWidth="1" style="56" min="9" max="9"/>
    <col width="26.08984375" bestFit="1" customWidth="1" style="56" min="10" max="10"/>
    <col width="20.81640625" bestFit="1" customWidth="1" style="56" min="11" max="11"/>
    <col width="78.81640625" bestFit="1" customWidth="1" style="56" min="12" max="12"/>
  </cols>
  <sheetData>
    <row r="1" ht="26" customHeight="1" s="56">
      <c r="A1" s="90" t="inlineStr">
        <is>
          <t>TEST 5: ROUND-SUM PROFESSIONAL FEES &amp; SERVICES</t>
        </is>
      </c>
    </row>
    <row r="2" ht="20" customHeight="1" s="56">
      <c r="A2" s="93" t="inlineStr">
        <is>
          <t>INSTRUCTIONS: Paste raw AP invoice lines into Columns A to F starting at Cell A4. Do NOT overwrite Columns G to L (Formulas calculate automatically).</t>
        </is>
      </c>
    </row>
    <row r="3" ht="26" customHeight="1" s="56" thickBot="1">
      <c r="A3" s="94" t="inlineStr">
        <is>
          <t>Invoice_ID</t>
        </is>
      </c>
      <c r="B3" s="94" t="inlineStr">
        <is>
          <t>Vendor_Name</t>
        </is>
      </c>
      <c r="C3" s="94" t="inlineStr">
        <is>
          <t>GL_Account_Name</t>
        </is>
      </c>
      <c r="D3" s="94" t="inlineStr">
        <is>
          <t>Invoice_Amount</t>
        </is>
      </c>
      <c r="E3" s="94" t="inlineStr">
        <is>
          <t>Line_Description</t>
        </is>
      </c>
      <c r="F3" s="94" t="inlineStr">
        <is>
          <t>Created_By</t>
        </is>
      </c>
      <c r="G3" s="95" t="inlineStr">
        <is>
          <t>Divisible_By_1000</t>
        </is>
      </c>
      <c r="H3" s="95" t="inlineStr">
        <is>
          <t>Divisible_By_2500</t>
        </is>
      </c>
      <c r="I3" s="95" t="inlineStr">
        <is>
          <t>Is_High_Risk_GL</t>
        </is>
      </c>
      <c r="J3" s="95" t="inlineStr">
        <is>
          <t>Audit_Flag</t>
        </is>
      </c>
      <c r="K3" s="95" t="inlineStr">
        <is>
          <t>Financial_Exposure</t>
        </is>
      </c>
      <c r="L3" s="95" t="inlineStr">
        <is>
          <t>Audit_Workpaper_Notes</t>
        </is>
      </c>
    </row>
    <row r="4" ht="20" customHeight="1" s="56">
      <c r="A4" s="7" t="inlineStr">
        <is>
          <t>INV-9021</t>
        </is>
      </c>
      <c r="B4" s="59" t="inlineStr">
        <is>
          <t>Strategic Growth Partners Ltd</t>
        </is>
      </c>
      <c r="C4" s="59" t="inlineStr">
        <is>
          <t>Consulting</t>
        </is>
      </c>
      <c r="D4" s="12" t="n">
        <v>25000</v>
      </c>
      <c r="E4" s="59" t="inlineStr">
        <is>
          <t>Advisory services rendered for Q1 market entry</t>
        </is>
      </c>
      <c r="F4" s="59" t="inlineStr">
        <is>
          <t>CORP_VP</t>
        </is>
      </c>
      <c r="G4" s="13">
        <f>IF(AND(ISNUMBER(D4), D4&gt;0), IF(MOD(D4, 1000)=0, "YES", "NO"), "NO")</f>
        <v/>
      </c>
      <c r="H4" s="13">
        <f>IF(AND(ISNUMBER(D4), D4&gt;0), IF(MOD(D4, 2500)=0, "YES", "NO"), "NO")</f>
        <v/>
      </c>
      <c r="I4" s="13">
        <f>IF(OR(ISNUMBER(SEARCH("consult", C4)), ISNUMBER(SEARCH("legal", C4)), ISNUMBER(SEARCH("advisory", C4)), ISNUMBER(SEARCH("marketing", C4)), ISNUMBER(SEARCH("professional", C4))), "YES", "NO")</f>
        <v/>
      </c>
      <c r="J4" s="15">
        <f>IF(AND(ISNUMBER(D4), D4&gt;=5000, OR(G4="YES", H4="YES"), I4="YES"), "FLAG: SUSPICIOUS ROUND SUM", "OK")</f>
        <v/>
      </c>
      <c r="K4" s="16">
        <f>IF(J4="FLAG: SUSPICIOUS ROUND SUM", D4, 0)</f>
        <v/>
      </c>
      <c r="L4" s="54" t="inlineStr">
        <is>
          <t>Flat retainer of $25,000 in Consulting without milestone deliverables, scope memo, or timesheets.</t>
        </is>
      </c>
    </row>
    <row r="5" ht="20" customHeight="1" s="56">
      <c r="A5" s="7" t="inlineStr">
        <is>
          <t>INV-9025</t>
        </is>
      </c>
      <c r="B5" s="59" t="inlineStr">
        <is>
          <t>Blackwood Legal Associates</t>
        </is>
      </c>
      <c r="C5" s="59" t="inlineStr">
        <is>
          <t>Legal Fees</t>
        </is>
      </c>
      <c r="D5" s="12" t="n">
        <v>17500</v>
      </c>
      <c r="E5" s="59" t="inlineStr">
        <is>
          <t>General corporate legal advisory retainer</t>
        </is>
      </c>
      <c r="F5" s="59" t="inlineStr">
        <is>
          <t>LEGAL_DIR</t>
        </is>
      </c>
      <c r="G5" s="13">
        <f>IF(AND(ISNUMBER(D5), D5&gt;0), IF(MOD(D5, 1000)=0, "YES", "NO"), "NO")</f>
        <v/>
      </c>
      <c r="H5" s="13">
        <f>IF(AND(ISNUMBER(D5), D5&gt;0), IF(MOD(D5, 2500)=0, "YES", "NO"), "NO")</f>
        <v/>
      </c>
      <c r="I5" s="13">
        <f>IF(OR(ISNUMBER(SEARCH("consult", C5)), ISNUMBER(SEARCH("legal", C5)), ISNUMBER(SEARCH("advisory", C5)), ISNUMBER(SEARCH("marketing", C5)), ISNUMBER(SEARCH("professional", C5))), "YES", "NO")</f>
        <v/>
      </c>
      <c r="J5" s="15">
        <f>IF(AND(ISNUMBER(D5), D5&gt;=5000, OR(G5="YES", H5="YES"), I5="YES"), "FLAG: SUSPICIOUS ROUND SUM", "OK")</f>
        <v/>
      </c>
      <c r="K5" s="16">
        <f>IF(J5="FLAG: SUSPICIOUS ROUND SUM", D5, 0)</f>
        <v/>
      </c>
      <c r="L5" s="54" t="inlineStr">
        <is>
          <t>Flat fee of $17,500 in Legal Fees without detailed case file breakdown or formal engagement letter.</t>
        </is>
      </c>
    </row>
    <row r="6" ht="20" customHeight="1" s="56">
      <c r="A6" s="7" t="inlineStr">
        <is>
          <t>INV-9030</t>
        </is>
      </c>
      <c r="B6" s="59" t="inlineStr">
        <is>
          <t>Vanguard Creative Media FZ</t>
        </is>
      </c>
      <c r="C6" s="59" t="inlineStr">
        <is>
          <t>Marketing Expenses</t>
        </is>
      </c>
      <c r="D6" s="12" t="n">
        <v>10000</v>
      </c>
      <c r="E6" s="59" t="inlineStr">
        <is>
          <t>Digital brand activation strategy fee</t>
        </is>
      </c>
      <c r="F6" s="59" t="inlineStr">
        <is>
          <t>MKT_HEAD</t>
        </is>
      </c>
      <c r="G6" s="13">
        <f>IF(AND(ISNUMBER(D6), D6&gt;0), IF(MOD(D6, 1000)=0, "YES", "NO"), "NO")</f>
        <v/>
      </c>
      <c r="H6" s="13">
        <f>IF(AND(ISNUMBER(D6), D6&gt;0), IF(MOD(D6, 2500)=0, "YES", "NO"), "NO")</f>
        <v/>
      </c>
      <c r="I6" s="13">
        <f>IF(OR(ISNUMBER(SEARCH("consult", C6)), ISNUMBER(SEARCH("legal", C6)), ISNUMBER(SEARCH("advisory", C6)), ISNUMBER(SEARCH("marketing", C6)), ISNUMBER(SEARCH("professional", C6))), "YES", "NO")</f>
        <v/>
      </c>
      <c r="J6" s="15">
        <f>IF(AND(ISNUMBER(D6), D6&gt;=5000, OR(G6="YES", H6="YES"), I6="YES"), "FLAG: SUSPICIOUS ROUND SUM", "OK")</f>
        <v/>
      </c>
      <c r="K6" s="16">
        <f>IF(J6="FLAG: SUSPICIOUS ROUND SUM", D6, 0)</f>
        <v/>
      </c>
      <c r="L6" s="54" t="inlineStr">
        <is>
          <t>Round sum of $10,000 in Marketing Expenses with generic narration. No campaign assets or performance metrics.</t>
        </is>
      </c>
    </row>
    <row r="7" ht="20" customHeight="1" s="56">
      <c r="A7" s="7" t="inlineStr">
        <is>
          <t>INV-9038</t>
        </is>
      </c>
      <c r="B7" s="59" t="inlineStr">
        <is>
          <t>Apex Executive Advisory</t>
        </is>
      </c>
      <c r="C7" s="59" t="inlineStr">
        <is>
          <t>Advisory</t>
        </is>
      </c>
      <c r="D7" s="12" t="n">
        <v>45000</v>
      </c>
      <c r="E7" s="59" t="inlineStr">
        <is>
          <t>Executive leadership advisory fee</t>
        </is>
      </c>
      <c r="F7" s="59" t="inlineStr">
        <is>
          <t>CEO_EXEC</t>
        </is>
      </c>
      <c r="G7" s="13">
        <f>IF(AND(ISNUMBER(D7), D7&gt;0), IF(MOD(D7, 1000)=0, "YES", "NO"), "NO")</f>
        <v/>
      </c>
      <c r="H7" s="13">
        <f>IF(AND(ISNUMBER(D7), D7&gt;0), IF(MOD(D7, 2500)=0, "YES", "NO"), "NO")</f>
        <v/>
      </c>
      <c r="I7" s="13">
        <f>IF(OR(ISNUMBER(SEARCH("consult", C7)), ISNUMBER(SEARCH("legal", C7)), ISNUMBER(SEARCH("advisory", C7)), ISNUMBER(SEARCH("marketing", C7)), ISNUMBER(SEARCH("professional", C7))), "YES", "NO")</f>
        <v/>
      </c>
      <c r="J7" s="15">
        <f>IF(AND(ISNUMBER(D7), D7&gt;=5000, OR(G7="YES", H7="YES"), I7="YES"), "FLAG: SUSPICIOUS ROUND SUM", "OK")</f>
        <v/>
      </c>
      <c r="K7" s="16">
        <f>IF(J7="FLAG: SUSPICIOUS ROUND SUM", D7, 0)</f>
        <v/>
      </c>
      <c r="L7" s="54" t="inlineStr">
        <is>
          <t>Round retainer of $45,000 in Advisory lacking formal board or committee approval.</t>
        </is>
      </c>
    </row>
    <row r="8" ht="20" customHeight="1" s="56">
      <c r="A8" s="7" t="inlineStr">
        <is>
          <t>INV-9044</t>
        </is>
      </c>
      <c r="B8" s="59" t="inlineStr">
        <is>
          <t>Chartered Tax Advisors LLC</t>
        </is>
      </c>
      <c r="C8" s="59" t="inlineStr">
        <is>
          <t>Professional Fees</t>
        </is>
      </c>
      <c r="D8" s="12" t="n">
        <v>12000</v>
      </c>
      <c r="E8" s="59" t="inlineStr">
        <is>
          <t>Corporate tax restructuring advisory retainer</t>
        </is>
      </c>
      <c r="F8" s="59" t="inlineStr">
        <is>
          <t>CFO_EXEC</t>
        </is>
      </c>
      <c r="G8" s="13">
        <f>IF(AND(ISNUMBER(D8), D8&gt;0), IF(MOD(D8, 1000)=0, "YES", "NO"), "NO")</f>
        <v/>
      </c>
      <c r="H8" s="13">
        <f>IF(AND(ISNUMBER(D8), D8&gt;0), IF(MOD(D8, 2500)=0, "YES", "NO"), "NO")</f>
        <v/>
      </c>
      <c r="I8" s="13">
        <f>IF(OR(ISNUMBER(SEARCH("consult", C8)), ISNUMBER(SEARCH("legal", C8)), ISNUMBER(SEARCH("advisory", C8)), ISNUMBER(SEARCH("marketing", C8)), ISNUMBER(SEARCH("professional", C8))), "YES", "NO")</f>
        <v/>
      </c>
      <c r="J8" s="15">
        <f>IF(AND(ISNUMBER(D8), D8&gt;=5000, OR(G8="YES", H8="YES"), I8="YES"), "FLAG: SUSPICIOUS ROUND SUM", "OK")</f>
        <v/>
      </c>
      <c r="K8" s="16">
        <f>IF(J8="FLAG: SUSPICIOUS ROUND SUM", D8, 0)</f>
        <v/>
      </c>
      <c r="L8" s="54" t="inlineStr">
        <is>
          <t>Flat fee of $12,000 in Professional Fees without tax opinion memorandum or workpapers.</t>
        </is>
      </c>
    </row>
    <row r="9" ht="20" customHeight="1" s="56">
      <c r="A9" s="7" t="inlineStr">
        <is>
          <t>INV-9010</t>
        </is>
      </c>
      <c r="B9" s="59" t="inlineStr">
        <is>
          <t>Emirates Real Estate Corp</t>
        </is>
      </c>
      <c r="C9" s="59" t="inlineStr">
        <is>
          <t>Office Rent</t>
        </is>
      </c>
      <c r="D9" s="12" t="n">
        <v>25000</v>
      </c>
      <c r="E9" s="59" t="inlineStr">
        <is>
          <t>Monthly corporate HQ lease payment</t>
        </is>
      </c>
      <c r="F9" s="59" t="inlineStr">
        <is>
          <t>FAC_MGR</t>
        </is>
      </c>
      <c r="G9" s="13">
        <f>IF(AND(ISNUMBER(D9), D9&gt;0), IF(MOD(D9, 1000)=0, "YES", "NO"), "NO")</f>
        <v/>
      </c>
      <c r="H9" s="13">
        <f>IF(AND(ISNUMBER(D9), D9&gt;0), IF(MOD(D9, 2500)=0, "YES", "NO"), "NO")</f>
        <v/>
      </c>
      <c r="I9" s="13">
        <f>IF(OR(ISNUMBER(SEARCH("consult", C9)), ISNUMBER(SEARCH("legal", C9)), ISNUMBER(SEARCH("advisory", C9)), ISNUMBER(SEARCH("marketing", C9)), ISNUMBER(SEARCH("professional", C9))), "YES", "NO")</f>
        <v/>
      </c>
      <c r="J9" s="15">
        <f>IF(AND(ISNUMBER(D9), D9&gt;=5000, OR(G9="YES", H9="YES"), I9="YES"), "FLAG: SUSPICIOUS ROUND SUM", "OK")</f>
        <v/>
      </c>
      <c r="K9" s="16">
        <f>IF(J9="FLAG: SUSPICIOUS ROUND SUM", D9, 0)</f>
        <v/>
      </c>
      <c r="L9" s="54" t="inlineStr">
        <is>
          <t>Round sum of $25,000 in Office Rent. Legitimate contracted lease payment under long-term facility agreement. Unflagged.</t>
        </is>
      </c>
    </row>
    <row r="10" ht="20" customHeight="1" s="56">
      <c r="A10" s="7" t="inlineStr">
        <is>
          <t>INV-9015</t>
        </is>
      </c>
      <c r="B10" s="59" t="inlineStr">
        <is>
          <t>Global Logistics Solutions</t>
        </is>
      </c>
      <c r="C10" s="59" t="inlineStr">
        <is>
          <t>Freight &amp; Haulage</t>
        </is>
      </c>
      <c r="D10" s="12" t="n">
        <v>10000</v>
      </c>
      <c r="E10" s="59" t="inlineStr">
        <is>
          <t>Fixed monthly container charter</t>
        </is>
      </c>
      <c r="F10" s="59" t="inlineStr">
        <is>
          <t>LOG_DIR</t>
        </is>
      </c>
      <c r="G10" s="13">
        <f>IF(AND(ISNUMBER(D10), D10&gt;0), IF(MOD(D10, 1000)=0, "YES", "NO"), "NO")</f>
        <v/>
      </c>
      <c r="H10" s="13">
        <f>IF(AND(ISNUMBER(D10), D10&gt;0), IF(MOD(D10, 2500)=0, "YES", "NO"), "NO")</f>
        <v/>
      </c>
      <c r="I10" s="13">
        <f>IF(OR(ISNUMBER(SEARCH("consult", C10)), ISNUMBER(SEARCH("legal", C10)), ISNUMBER(SEARCH("advisory", C10)), ISNUMBER(SEARCH("marketing", C10)), ISNUMBER(SEARCH("professional", C10))), "YES", "NO")</f>
        <v/>
      </c>
      <c r="J10" s="15">
        <f>IF(AND(ISNUMBER(D10), D10&gt;=5000, OR(G10="YES", H10="YES"), I10="YES"), "FLAG: SUSPICIOUS ROUND SUM", "OK")</f>
        <v/>
      </c>
      <c r="K10" s="16">
        <f>IF(J10="FLAG: SUSPICIOUS ROUND SUM", D10, 0)</f>
        <v/>
      </c>
      <c r="L10" s="54" t="inlineStr">
        <is>
          <t>Consulting expense of $14,352.50. Itemized hourly invoice with detailed expense reimbursement. Unflagged.</t>
        </is>
      </c>
    </row>
    <row r="11" ht="20" customHeight="1" s="56">
      <c r="A11" s="7" t="inlineStr">
        <is>
          <t>INV-9050</t>
        </is>
      </c>
      <c r="B11" s="59" t="inlineStr">
        <is>
          <t>McKinsey &amp; Company</t>
        </is>
      </c>
      <c r="C11" s="59" t="inlineStr">
        <is>
          <t>Consulting</t>
        </is>
      </c>
      <c r="D11" s="12" t="n">
        <v>38415.75</v>
      </c>
      <c r="E11" s="59" t="inlineStr">
        <is>
          <t>Supply chain optimization timesheets &amp; expenses</t>
        </is>
      </c>
      <c r="F11" s="59" t="inlineStr">
        <is>
          <t>OPS_DIR</t>
        </is>
      </c>
      <c r="G11" s="13">
        <f>IF(AND(ISNUMBER(D11), D11&gt;0), IF(MOD(D11, 1000)=0, "YES", "NO"), "NO")</f>
        <v/>
      </c>
      <c r="H11" s="13">
        <f>IF(AND(ISNUMBER(D11), D11&gt;0), IF(MOD(D11, 2500)=0, "YES", "NO"), "NO")</f>
        <v/>
      </c>
      <c r="I11" s="13">
        <f>IF(OR(ISNUMBER(SEARCH("consult", C11)), ISNUMBER(SEARCH("legal", C11)), ISNUMBER(SEARCH("advisory", C11)), ISNUMBER(SEARCH("marketing", C11)), ISNUMBER(SEARCH("professional", C11))), "YES", "NO")</f>
        <v/>
      </c>
      <c r="J11" s="15">
        <f>IF(AND(ISNUMBER(D11), D11&gt;=5000, OR(G11="YES", H11="YES"), I11="YES"), "FLAG: SUSPICIOUS ROUND SUM", "OK")</f>
        <v/>
      </c>
      <c r="K11" s="16">
        <f>IF(J11="FLAG: SUSPICIOUS ROUND SUM", D11, 0)</f>
        <v/>
      </c>
      <c r="L11" s="59" t="inlineStr">
        <is>
          <t>Detailed cents amount ($38,415.75); includes fully itemized partner timesheets and travel receipts.</t>
        </is>
      </c>
    </row>
    <row r="12" ht="20" customHeight="1" s="56">
      <c r="A12" s="7" t="inlineStr">
        <is>
          <t>INV-9055</t>
        </is>
      </c>
      <c r="B12" s="59" t="inlineStr">
        <is>
          <t>Baker &amp; McKenzie Legal</t>
        </is>
      </c>
      <c r="C12" s="59" t="inlineStr">
        <is>
          <t>Legal Fees</t>
        </is>
      </c>
      <c r="D12" s="12" t="n">
        <v>9420.5</v>
      </c>
      <c r="E12" s="59" t="inlineStr">
        <is>
          <t>Regulatory filing fees &amp; billed associate hours</t>
        </is>
      </c>
      <c r="F12" s="59" t="inlineStr">
        <is>
          <t>LEGAL_DIR</t>
        </is>
      </c>
      <c r="G12" s="13">
        <f>IF(AND(ISNUMBER(D12), D12&gt;0), IF(MOD(D12, 1000)=0, "YES", "NO"), "NO")</f>
        <v/>
      </c>
      <c r="H12" s="13">
        <f>IF(AND(ISNUMBER(D12), D12&gt;0), IF(MOD(D12, 2500)=0, "YES", "NO"), "NO")</f>
        <v/>
      </c>
      <c r="I12" s="13">
        <f>IF(OR(ISNUMBER(SEARCH("consult", C12)), ISNUMBER(SEARCH("legal", C12)), ISNUMBER(SEARCH("advisory", C12)), ISNUMBER(SEARCH("marketing", C12)), ISNUMBER(SEARCH("professional", C12))), "YES", "NO")</f>
        <v/>
      </c>
      <c r="J12" s="15">
        <f>IF(AND(ISNUMBER(D12), D12&gt;=5000, OR(G12="YES", H12="YES"), I12="YES"), "FLAG: SUSPICIOUS ROUND SUM", "OK")</f>
        <v/>
      </c>
      <c r="K12" s="16">
        <f>IF(J12="FLAG: SUSPICIOUS ROUND SUM", D12, 0)</f>
        <v/>
      </c>
      <c r="L12" s="59" t="inlineStr">
        <is>
          <t>Detailed bill with itemized associate hours and regulatory disbursements. Fully substantiated.</t>
        </is>
      </c>
    </row>
    <row r="13" ht="20" customHeight="1" s="56">
      <c r="A13" s="7" t="inlineStr">
        <is>
          <t>INV-9060</t>
        </is>
      </c>
      <c r="B13" s="59" t="inlineStr">
        <is>
          <t>Digital Pulse Marketing</t>
        </is>
      </c>
      <c r="C13" s="59" t="inlineStr">
        <is>
          <t>Marketing Expenses</t>
        </is>
      </c>
      <c r="D13" s="12" t="n">
        <v>2500</v>
      </c>
      <c r="E13" s="59" t="inlineStr">
        <is>
          <t>Social media ad campaign sprint</t>
        </is>
      </c>
      <c r="F13" s="59" t="inlineStr">
        <is>
          <t>MKT_ASST</t>
        </is>
      </c>
      <c r="G13" s="13">
        <f>IF(AND(ISNUMBER(D13), D13&gt;0), IF(MOD(D13, 1000)=0, "YES", "NO"), "NO")</f>
        <v/>
      </c>
      <c r="H13" s="13">
        <f>IF(AND(ISNUMBER(D13), D13&gt;0), IF(MOD(D13, 2500)=0, "YES", "NO"), "NO")</f>
        <v/>
      </c>
      <c r="I13" s="13">
        <f>IF(OR(ISNUMBER(SEARCH("consult", C13)), ISNUMBER(SEARCH("legal", C13)), ISNUMBER(SEARCH("advisory", C13)), ISNUMBER(SEARCH("marketing", C13)), ISNUMBER(SEARCH("professional", C13))), "YES", "NO")</f>
        <v/>
      </c>
      <c r="J13" s="15">
        <f>IF(AND(ISNUMBER(D13), D13&gt;=5000, OR(G13="YES", H13="YES"), I13="YES"), "FLAG: SUSPICIOUS ROUND SUM", "OK")</f>
        <v/>
      </c>
      <c r="K13" s="16">
        <f>IF(J13="FLAG: SUSPICIOUS ROUND SUM", D13, 0)</f>
        <v/>
      </c>
      <c r="L13" s="59" t="inlineStr">
        <is>
          <t>Small round sum ($2,500) safely below $5,000 high-risk threshold. Routine social ad spend.</t>
        </is>
      </c>
    </row>
    <row r="14" ht="20" customHeight="1" s="56">
      <c r="A14" s="7" t="inlineStr">
        <is>
          <t>INV-9065</t>
        </is>
      </c>
      <c r="B14" s="59" t="inlineStr">
        <is>
          <t>Horizon Business Consulting</t>
        </is>
      </c>
      <c r="C14" s="59" t="inlineStr">
        <is>
          <t>Consulting</t>
        </is>
      </c>
      <c r="D14" s="12" t="n">
        <v>4000</v>
      </c>
      <c r="E14" s="59" t="inlineStr">
        <is>
          <t>Workshop facilitation fee</t>
        </is>
      </c>
      <c r="F14" s="59" t="inlineStr">
        <is>
          <t>HR_DIR</t>
        </is>
      </c>
      <c r="G14" s="13">
        <f>IF(AND(ISNUMBER(D14), D14&gt;0), IF(MOD(D14, 1000)=0, "YES", "NO"), "NO")</f>
        <v/>
      </c>
      <c r="H14" s="13">
        <f>IF(AND(ISNUMBER(D14), D14&gt;0), IF(MOD(D14, 2500)=0, "YES", "NO"), "NO")</f>
        <v/>
      </c>
      <c r="I14" s="13">
        <f>IF(OR(ISNUMBER(SEARCH("consult", C14)), ISNUMBER(SEARCH("legal", C14)), ISNUMBER(SEARCH("advisory", C14)), ISNUMBER(SEARCH("marketing", C14)), ISNUMBER(SEARCH("professional", C14))), "YES", "NO")</f>
        <v/>
      </c>
      <c r="J14" s="15">
        <f>IF(AND(ISNUMBER(D14), D14&gt;=5000, OR(G14="YES", H14="YES"), I14="YES"), "FLAG: SUSPICIOUS ROUND SUM", "OK")</f>
        <v/>
      </c>
      <c r="K14" s="16">
        <f>IF(J14="FLAG: SUSPICIOUS ROUND SUM", D14, 0)</f>
        <v/>
      </c>
      <c r="L14" s="59" t="inlineStr">
        <is>
          <t>Small fee ($4,000) below $5,000 threshold. Controlled training workshop expense.</t>
        </is>
      </c>
    </row>
    <row r="15" ht="20" customHeight="1" s="56">
      <c r="A15" s="30" t="inlineStr">
        <is>
          <t>INV-9070</t>
        </is>
      </c>
      <c r="B15" s="32" t="inlineStr">
        <is>
          <t>Cisco Network Systems</t>
        </is>
      </c>
      <c r="C15" s="32" t="inlineStr">
        <is>
          <t>IT Equipment Lease</t>
        </is>
      </c>
      <c r="D15" s="33" t="n">
        <v>15000</v>
      </c>
      <c r="E15" s="32" t="inlineStr">
        <is>
          <t>Quarterly server hardware lease</t>
        </is>
      </c>
      <c r="F15" s="32" t="inlineStr">
        <is>
          <t>IT_DIR</t>
        </is>
      </c>
      <c r="G15" s="34">
        <f>IF(AND(ISNUMBER(D15), D15&gt;0), IF(MOD(D15, 1000)=0, "YES", "NO"), "NO")</f>
        <v/>
      </c>
      <c r="H15" s="34">
        <f>IF(AND(ISNUMBER(D15), D15&gt;0), IF(MOD(D15, 2500)=0, "YES", "NO"), "NO")</f>
        <v/>
      </c>
      <c r="I15" s="34">
        <f>IF(OR(ISNUMBER(SEARCH("consult", C15)), ISNUMBER(SEARCH("legal", C15)), ISNUMBER(SEARCH("advisory", C15)), ISNUMBER(SEARCH("marketing", C15)), ISNUMBER(SEARCH("professional", C15))), "YES", "NO")</f>
        <v/>
      </c>
      <c r="J15" s="36">
        <f>IF(AND(ISNUMBER(D15), D15&gt;=5000, OR(G15="YES", H15="YES"), I15="YES"), "FLAG: SUSPICIOUS ROUND SUM", "OK")</f>
        <v/>
      </c>
      <c r="K15" s="37">
        <f>IF(J15="FLAG: SUSPICIOUS ROUND SUM", D15, 0)</f>
        <v/>
      </c>
      <c r="L15" s="32" t="inlineStr">
        <is>
          <t>Fixed hardware lease; routine capital equipment commitment.</t>
        </is>
      </c>
    </row>
    <row r="16" ht="15" customHeight="1" s="56">
      <c r="A16" s="30" t="inlineStr">
        <is>
          <t>Total</t>
        </is>
      </c>
      <c r="B16" s="32" t="n"/>
      <c r="C16" s="32" t="inlineStr">
        <is>
          <t>TOTAL PORTFOLIO:</t>
        </is>
      </c>
      <c r="D16" s="33">
        <f>SUBTOTAL(109,Table_Round_Sum_Services[Invoice_Amount])</f>
        <v/>
      </c>
      <c r="E16" s="32" t="n"/>
      <c r="F16" s="32" t="n"/>
      <c r="G16" s="34" t="n"/>
      <c r="H16" s="34" t="n"/>
      <c r="I16" s="34" t="n"/>
      <c r="J16" s="36" t="n"/>
      <c r="K16" s="37">
        <f>SUBTOTAL(109,Table_Round_Sum_Services[Financial_Exposure])</f>
        <v/>
      </c>
      <c r="L16" s="32">
        <f>SUBTOTAL(103,Table_Round_Sum_Services[Audit_Workpaper_Notes])</f>
        <v/>
      </c>
    </row>
  </sheetData>
  <mergeCells count="2">
    <mergeCell ref="A2:L2"/>
    <mergeCell ref="A1:L1"/>
  </mergeCells>
  <conditionalFormatting sqref="J4:J15">
    <cfRule type="expression" priority="1" dxfId="0" stopIfTrue="1">
      <formula>LEFT(J4, 4)="FLAG"</formula>
    </cfRule>
  </conditionalFormatting>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4.5"/>
  <cols>
    <col width="15.36328125" bestFit="1" customWidth="1" style="56" min="1" max="1"/>
    <col width="26.7265625" bestFit="1" customWidth="1" style="56" min="2" max="2"/>
    <col width="89.1796875" bestFit="1" customWidth="1" style="56" min="3" max="3"/>
    <col width="16.81640625" bestFit="1" customWidth="1" style="56" min="4" max="4"/>
    <col width="33.36328125" bestFit="1" customWidth="1" style="56" min="5" max="5"/>
    <col width="11.36328125" bestFit="1" customWidth="1" style="56" min="6" max="6"/>
    <col width="18.81640625" bestFit="1" customWidth="1" style="56" min="7" max="7"/>
    <col width="81.26953125" bestFit="1" customWidth="1" style="56" min="8" max="8"/>
  </cols>
  <sheetData>
    <row r="1" ht="26" customHeight="1" s="56">
      <c r="A1" s="90" t="inlineStr">
        <is>
          <t>INTERNAL AUDIT EXCEPTION SUMMARY &amp; EXPOSURE REGISTER</t>
        </is>
      </c>
    </row>
    <row r="2" ht="18" customHeight="1" s="56">
      <c r="A2" s="91" t="inlineStr">
        <is>
          <t>Automated Population Testing Results: Procurement, Accounts Payable &amp; General Ledger</t>
        </is>
      </c>
    </row>
    <row r="3" ht="20" customHeight="1" s="56">
      <c r="A3" s="96" t="inlineStr">
        <is>
          <t>ENGAGEMENT METADATA &amp; PARAMETERS</t>
        </is>
      </c>
    </row>
    <row r="4" ht="18" customHeight="1" s="56">
      <c r="A4" s="20" t="inlineStr">
        <is>
          <t>Audit Period:</t>
        </is>
      </c>
      <c r="B4" s="21" t="inlineStr">
        <is>
          <t>FY2026 Q1 - Q3 Telemetry Extract</t>
        </is>
      </c>
      <c r="D4" s="20" t="inlineStr">
        <is>
          <t>Lead Practice:</t>
        </is>
      </c>
      <c r="E4" s="21" t="inlineStr">
        <is>
          <t>Internal Audit &amp; Risk Advisory</t>
        </is>
      </c>
    </row>
    <row r="5" ht="18" customHeight="1" s="56">
      <c r="A5" s="81" t="inlineStr">
        <is>
          <t>Scope:</t>
        </is>
      </c>
      <c r="B5" s="97" t="inlineStr">
        <is>
          <t>100% Population of AP Invoices, PO Line Items &amp; GL Journals</t>
        </is>
      </c>
      <c r="D5" s="81" t="inlineStr">
        <is>
          <t>Methodology:</t>
        </is>
      </c>
      <c r="E5" s="97" t="inlineStr">
        <is>
          <t>Automated Continuous Control Exception Testing</t>
        </is>
      </c>
    </row>
    <row r="6">
      <c r="A6" s="40" t="inlineStr">
        <is>
          <t>Framework Architect:</t>
        </is>
      </c>
      <c r="B6" s="42" t="inlineStr">
        <is>
          <t>Majid Mumtaz | CIA, ACA, FCCA, GRCP, GRCA, COSO ERM</t>
        </is>
      </c>
      <c r="D6" s="40" t="inlineStr">
        <is>
          <t>Author Profiles:</t>
        </is>
      </c>
      <c r="E6" s="99" t="inlineStr">
        <is>
          <t>Portfolio &amp; Tools</t>
        </is>
      </c>
      <c r="F6" s="99" t="inlineStr">
        <is>
          <t>The Audit Signal</t>
        </is>
      </c>
      <c r="G6" s="99" t="inlineStr">
        <is>
          <t>LinkedIn Profile</t>
        </is>
      </c>
    </row>
    <row r="7" ht="20" customHeight="1" s="56">
      <c r="A7" s="96" t="inlineStr">
        <is>
          <t>PORTFOLIO SUMMARY METRICS</t>
        </is>
      </c>
    </row>
    <row r="8" ht="18" customHeight="1" s="56">
      <c r="A8" s="71" t="inlineStr">
        <is>
          <t>TOTAL TRANSACTIONS SCANNED</t>
        </is>
      </c>
      <c r="B8" s="61" t="n"/>
      <c r="C8" s="71" t="inlineStr">
        <is>
          <t>TOTAL EXCEPTIONS FLAGGED</t>
        </is>
      </c>
      <c r="D8" s="61" t="n"/>
      <c r="E8" s="71" t="inlineStr">
        <is>
          <t>PORTFOLIO EXCEPTION RATE</t>
        </is>
      </c>
      <c r="F8" s="61" t="n"/>
      <c r="G8" s="71" t="inlineStr">
        <is>
          <t>TOTAL FINANCIAL EXPOSURE</t>
        </is>
      </c>
      <c r="H8" s="61" t="n"/>
    </row>
    <row r="9" ht="30" customHeight="1" s="56">
      <c r="A9" s="74">
        <f>D18</f>
        <v/>
      </c>
      <c r="B9" s="61" t="n"/>
      <c r="C9" s="74">
        <f>E18</f>
        <v/>
      </c>
      <c r="D9" s="61" t="n"/>
      <c r="E9" s="75">
        <f>F18</f>
        <v/>
      </c>
      <c r="F9" s="61" t="n"/>
      <c r="G9" s="78">
        <f>G18</f>
        <v/>
      </c>
      <c r="H9" s="61" t="n"/>
    </row>
    <row r="11" ht="20" customHeight="1" s="56">
      <c r="A11" s="67" t="inlineStr">
        <is>
          <t>DETERMINISTIC TEST FINDINGS &amp; EXPOSURE BREAKDOWN</t>
        </is>
      </c>
    </row>
    <row r="12" ht="24" customHeight="1" s="56">
      <c r="A12" s="1" t="inlineStr">
        <is>
          <t>Test ID</t>
        </is>
      </c>
      <c r="B12" s="1" t="inlineStr">
        <is>
          <t>Anomaly Test Name</t>
        </is>
      </c>
      <c r="C12" s="1" t="inlineStr">
        <is>
          <t>Operational Risk &amp; Control Failure Mechanism</t>
        </is>
      </c>
      <c r="D12" s="1" t="inlineStr">
        <is>
          <t>Transactions Tested</t>
        </is>
      </c>
      <c r="E12" s="1" t="inlineStr">
        <is>
          <t>Exceptions Flagged</t>
        </is>
      </c>
      <c r="F12" s="1" t="inlineStr">
        <is>
          <t>Flag Rate (%)</t>
        </is>
      </c>
      <c r="G12" s="1" t="inlineStr">
        <is>
          <t>Financial Exposure ($)</t>
        </is>
      </c>
      <c r="H12" s="1" t="inlineStr">
        <is>
          <t>Audit Remediation / Fieldwork Reference</t>
        </is>
      </c>
    </row>
    <row r="13" ht="24" customHeight="1" s="56">
      <c r="A13" s="15" t="inlineStr">
        <is>
          <t>Test 1</t>
        </is>
      </c>
      <c r="B13" s="7" t="inlineStr">
        <is>
          <t>Split Purchase Orders</t>
        </is>
      </c>
      <c r="C13" s="59" t="inlineStr">
        <is>
          <t>Evasion of Delegated Authority limits (&lt; $10,000 threshold within 5 days to same vendor by same buyer)</t>
        </is>
      </c>
      <c r="D13" s="22">
        <f>COUNTA(Table_Split_POs[PO_Number])</f>
        <v/>
      </c>
      <c r="E13" s="22">
        <f>COUNTIF(Table_Split_POs[Audit_Flag], "FLAG*")</f>
        <v/>
      </c>
      <c r="F13" s="23">
        <f>E13/D13</f>
        <v/>
      </c>
      <c r="G13" s="24">
        <f>SUM(Table_Split_POs[Financial_Exposure])</f>
        <v/>
      </c>
      <c r="H13" s="59" t="inlineStr">
        <is>
          <t>Audit PO lines for partitioned scopes of work (e.g. Phase 1 / Phase 2); evaluate vendor quote pooling.</t>
        </is>
      </c>
    </row>
    <row r="14" ht="24" customHeight="1" s="56">
      <c r="A14" s="15" t="inlineStr">
        <is>
          <t>Test 2</t>
        </is>
      </c>
      <c r="B14" s="7" t="inlineStr">
        <is>
          <t>Dormant Vendor Resuscitation</t>
        </is>
      </c>
      <c r="C14" s="59" t="inlineStr">
        <is>
          <t>Unauthorized cash diversion via dormant vendor master alteration (&gt; 180 days dormant + bank change &lt;= 30 days)</t>
        </is>
      </c>
      <c r="D14" s="22">
        <f>COUNTA(Table_Dormant_Vendors[Vendor_ID])</f>
        <v/>
      </c>
      <c r="E14" s="22">
        <f>COUNTIF(Table_Dormant_Vendors[Audit_Flag], "FLAG*")</f>
        <v/>
      </c>
      <c r="F14" s="23">
        <f>E14/D14</f>
        <v/>
      </c>
      <c r="G14" s="24">
        <f>SUM(Table_Dormant_Vendors[Financial_Exposure])</f>
        <v/>
      </c>
      <c r="H14" s="59" t="inlineStr">
        <is>
          <t>Freeze pending disbursements; demand independent call-back verification log signed prior to bank alteration.</t>
        </is>
      </c>
    </row>
    <row r="15" ht="24" customHeight="1" s="56">
      <c r="A15" s="15" t="inlineStr">
        <is>
          <t>Test 3</t>
        </is>
      </c>
      <c r="B15" s="7" t="inlineStr">
        <is>
          <t>Near-Duplicate AP Invoices</t>
        </is>
      </c>
      <c r="C15" s="59" t="inlineStr">
        <is>
          <t>Double payment cash leakage bypassing ERP duplicate rules via spaces, hyphens, or punctuation tweaks</t>
        </is>
      </c>
      <c r="D15" s="22">
        <f>COUNTA(Table_Duplicate_Invoices[Vendor_ID])</f>
        <v/>
      </c>
      <c r="E15" s="22">
        <f>COUNTIF(Table_Duplicate_Invoices[Audit_Flag], "FLAG*")</f>
        <v/>
      </c>
      <c r="F15" s="23">
        <f>E15/D15</f>
        <v/>
      </c>
      <c r="G15" s="24">
        <f>SUM(Table_Duplicate_Invoices[Cash_Exposure])</f>
        <v/>
      </c>
      <c r="H15" s="59" t="inlineStr">
        <is>
          <t>Review distinct bank clearing vouchers (EFT references); issue immediate vendor recovery clawback letters.</t>
        </is>
      </c>
    </row>
    <row r="16" ht="24" customHeight="1" s="56">
      <c r="A16" s="15" t="inlineStr">
        <is>
          <t>Test 4</t>
        </is>
      </c>
      <c r="B16" s="7" t="inlineStr">
        <is>
          <t>Off-Hours &amp; Weekend GL Entries</t>
        </is>
      </c>
      <c r="C16" s="59" t="inlineStr">
        <is>
          <t>Evasion of supervisory review during cutoff (manual entries posted on weekends or outside 7:00 AM - 7:00 PM)</t>
        </is>
      </c>
      <c r="D16" s="22">
        <f>COUNTA(Table_Off_Hours_GL[Journal_ID])</f>
        <v/>
      </c>
      <c r="E16" s="22">
        <f>COUNTIF(Table_Off_Hours_GL[Audit_Flag], "FLAG*")</f>
        <v/>
      </c>
      <c r="F16" s="23">
        <f>E16/D16</f>
        <v/>
      </c>
      <c r="G16" s="24">
        <f>SUM(Table_Off_Hours_GL[Financial_Exposure])</f>
        <v/>
      </c>
      <c r="H16" s="59" t="inlineStr">
        <is>
          <t>Inspect credit lines to revenue, inventory scrap, or prepayments; trace manual entries to valid authorizations.</t>
        </is>
      </c>
    </row>
    <row r="17" ht="24" customHeight="1" s="56">
      <c r="A17" s="15" t="inlineStr">
        <is>
          <t>Test 5</t>
        </is>
      </c>
      <c r="B17" s="7" t="inlineStr">
        <is>
          <t>Suspicious Round-Sum Fees</t>
        </is>
      </c>
      <c r="C17" s="59" t="inlineStr">
        <is>
          <t>Unsubstantiated discretionary spend or kickbacks (flat fees &gt;= $5k divisible by $1k/$2.5k in Consulting/Legal/Marketing)</t>
        </is>
      </c>
      <c r="D17" s="22">
        <f>COUNTA(Table_Round_Sum_Services[Invoice_ID])</f>
        <v/>
      </c>
      <c r="E17" s="22">
        <f>COUNTIF(Table_Round_Sum_Services[Audit_Flag], "FLAG*")</f>
        <v/>
      </c>
      <c r="F17" s="23">
        <f>E17/D17</f>
        <v/>
      </c>
      <c r="G17" s="24">
        <f>SUM(Table_Round_Sum_Services[Financial_Exposure])</f>
        <v/>
      </c>
      <c r="H17" s="59" t="inlineStr">
        <is>
          <t>Inspect physical deliverables, timesheets, and formal committee approvals supporting round retainers.</t>
        </is>
      </c>
    </row>
    <row r="18" ht="24" customHeight="1" s="56">
      <c r="A18" s="17" t="n"/>
      <c r="B18" s="17" t="n"/>
      <c r="C18" s="18" t="inlineStr">
        <is>
          <t>PORTFOLIO TOTAL:</t>
        </is>
      </c>
      <c r="D18" s="25">
        <f>SUM(D13:D17)</f>
        <v/>
      </c>
      <c r="E18" s="25">
        <f>SUM(E13:E17)</f>
        <v/>
      </c>
      <c r="F18" s="26">
        <f>E18/D18</f>
        <v/>
      </c>
      <c r="G18" s="27">
        <f>SUM(G13:G17)</f>
        <v/>
      </c>
      <c r="H18" s="17" t="n"/>
    </row>
    <row r="20" ht="20" customHeight="1" s="56">
      <c r="A20" s="96" t="inlineStr">
        <is>
          <t>EXECUTIVE AUDIT COMMENTARY: OPERATIONAL OBSERVATIONS</t>
        </is>
      </c>
    </row>
    <row r="21" ht="22" customHeight="1" s="56">
      <c r="A21" s="98" t="inlineStr">
        <is>
          <t>1. Operational Context vs. Policy Non-Compliance:</t>
        </is>
      </c>
    </row>
    <row r="22" ht="55" customHeight="1" s="56">
      <c r="A22" s="84" t="inlineStr">
        <is>
          <t>Exceptions identified in continuous testing frequently reflect operational coping mechanisms rather than intentional evasion. When procurement approval workflows create bottlenecks during urgent maintenance or stock shortages, department buyers frequently split purchase orders under $10,000 to keep facilities running. Similarly, manual journal entries posted late at night typically reflect finance teams working against month-end reporting deadlines under fragmented subledger interfaces.</t>
        </is>
      </c>
    </row>
    <row r="23" ht="28" customHeight="1" s="56">
      <c r="A23" s="76" t="inlineStr">
        <is>
          <t>Similarly, finance clerks posting journal adjustments at 11:45 PM on month-end close night are not executing fraud; they are struggling against fragmented subledger interfaces to hit executive reporting deadlines.</t>
        </is>
      </c>
    </row>
    <row r="24">
      <c r="A24" s="82" t="inlineStr">
        <is>
          <t>2. Remediation Focus:</t>
        </is>
      </c>
    </row>
    <row r="25" ht="50" customHeight="1" s="56">
      <c r="A25" s="84" t="inlineStr">
        <is>
          <t>Audit remediation must address underlying operational friction. Mandating additional manual signatures or punitive memos often forces workarounds deeper into unmonitored spreadsheets and messaging channels. Sustainable remediation requires automated preventative controls: automated purchase order consolidation at requisition entry, mandatory out-of-band dual approval gates on bank account master changes, and automated duplicate string normalization.</t>
        </is>
      </c>
    </row>
    <row r="26" ht="28" customHeight="1" s="56">
      <c r="A26" s="76" t="n"/>
    </row>
    <row r="27" ht="28" customHeight="1" s="56">
      <c r="A27" s="76" t="n"/>
    </row>
  </sheetData>
  <mergeCells count="20">
    <mergeCell ref="A11:H11"/>
    <mergeCell ref="A1:H1"/>
    <mergeCell ref="G8:H8"/>
    <mergeCell ref="E8:F8"/>
    <mergeCell ref="A7:H7"/>
    <mergeCell ref="A25:H25"/>
    <mergeCell ref="C9:D9"/>
    <mergeCell ref="A27:H27"/>
    <mergeCell ref="E9:F9"/>
    <mergeCell ref="A3:H3"/>
    <mergeCell ref="A21:H21"/>
    <mergeCell ref="A26:H26"/>
    <mergeCell ref="A2:H2"/>
    <mergeCell ref="A23:H23"/>
    <mergeCell ref="A8:B8"/>
    <mergeCell ref="C8:D8"/>
    <mergeCell ref="A22:H22"/>
    <mergeCell ref="A20:H20"/>
    <mergeCell ref="A9:B9"/>
    <mergeCell ref="G9:H9"/>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G6"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2026-10-27T08:34:14Z</dcterms:created>
  <dcterms:modified xmlns:dcterms="http://purl.org/dc/terms/" xmlns:xsi="http://www.w3.org/2001/XMLSchema-instance" xsi:type="dcterms:W3CDTF">2026-10-31T07:05:12Z</dcterms:modified>
  <cp:lastModifiedBy>Majid Mumtaz</cp:lastModifiedBy>
</cp:coreProperties>
</file>