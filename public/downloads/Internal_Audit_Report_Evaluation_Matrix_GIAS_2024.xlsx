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1. Instructions &amp; Advisory" sheetId="1" state="visible" r:id="rId1"/>
    <sheet xmlns:r="http://schemas.openxmlformats.org/officeDocument/2006/relationships" name="2. Details" sheetId="2" state="visible" r:id="rId2"/>
    <sheet xmlns:r="http://schemas.openxmlformats.org/officeDocument/2006/relationships" name="3. Matrix" sheetId="3" state="visible" r:id="rId3"/>
    <sheet xmlns:r="http://schemas.openxmlformats.org/officeDocument/2006/relationships" name="4. Findings" sheetId="4" state="visible" r:id="rId4"/>
    <sheet xmlns:r="http://schemas.openxmlformats.org/officeDocument/2006/relationships" name="5. Scorecard" sheetId="5" state="visible" r:id="rId5"/>
    <sheet xmlns:r="http://schemas.openxmlformats.org/officeDocument/2006/relationships" name="6. Standards" sheetId="6" state="visible" r:id="rId6"/>
  </sheets>
  <definedNames>
    <definedName name="AxisCol">'3. Matrix'!$C$6:$C$47</definedName>
    <definedName name="DocStatus">'2. Details'!$C$14</definedName>
    <definedName name="DomainCol">'3. Matrix'!$B$6:$B$47</definedName>
    <definedName name="EngagementType">'2. Details'!$C$13</definedName>
    <definedName name="EvidenceInHand">'2. Details'!$C$15</definedName>
    <definedName name="InvalidNA">'3. Matrix'!$S$6:$S$47</definedName>
    <definedName name="InvalidNT">'3. Matrix'!$T$6:$T$47</definedName>
    <definedName name="InvalidScore">'3. Matrix'!$AC$6:$AC$47</definedName>
    <definedName name="LevelCol">'3. Matrix'!$D$6:$D$47</definedName>
    <definedName name="MaxPoints">'3. Matrix'!$O$6:$O$47</definedName>
    <definedName name="MustBlank">'3. Matrix'!$R$6:$R$47</definedName>
    <definedName name="MustFail">'3. Matrix'!$P$6:$P$47</definedName>
    <definedName name="MustPartial">'3. Matrix'!$Q$6:$Q$47</definedName>
    <definedName name="Organisation">'2. Details'!$C$7</definedName>
    <definedName name="Points">'3. Matrix'!$N$6:$N$47</definedName>
    <definedName name="ReportRef">'2. Details'!$C$6</definedName>
    <definedName name="ReportTitle">'2. Details'!$C$5</definedName>
    <definedName name="ReviewDate">'2. Details'!$C$20</definedName>
    <definedName name="Reviewer">'2. Details'!$C$19</definedName>
    <definedName name="ScoreCol">'3. Matrix'!$I$6:$I$47</definedName>
    <definedName name="ScoredFlags">'3. Matrix'!$W$6:$W$47</definedName>
    <definedName name="ShouldFail">'3. Matrix'!$U$6:$U$47</definedName>
    <definedName name="ShouldPartial">'3. Matrix'!$V$6:$V$47</definedName>
    <definedName name="StandardsEra">'2. Details'!$C$16</definedName>
    <definedName name="_xlnm.Print_Area" localSheetId="0">'1. Instructions &amp; Advisory'!$A$1:$G$40</definedName>
    <definedName name="_xlnm.Print_Area" localSheetId="1">'2. Details'!$A$1:$E$25</definedName>
    <definedName name="_xlnm._FilterDatabase" localSheetId="2" hidden="1">'3. Matrix'!$A$5:$O$47</definedName>
    <definedName name="_xlnm.Print_Titles" localSheetId="2">'3. Matrix'!$1:$5</definedName>
    <definedName name="_xlnm.Print_Area" localSheetId="2">'3. Matrix'!$A$1:$O$47</definedName>
    <definedName name="_xlnm._FilterDatabase" localSheetId="3" hidden="1">'4. Findings'!$A$7:$K$27</definedName>
    <definedName name="_xlnm.Print_Titles" localSheetId="3">'4. Findings'!$1:$7</definedName>
    <definedName name="_xlnm.Print_Area" localSheetId="3">'4. Findings'!$A$1:$K$39</definedName>
    <definedName name="_xlnm.Print_Area" localSheetId="4">'5. Scorecard'!$A$1:$G$44</definedName>
    <definedName name="_xlnm._FilterDatabase" localSheetId="5" hidden="1">'6. Standards'!$A$4:$E$21</definedName>
    <definedName name="_xlnm.Print_Area" localSheetId="5">'6. Standards'!$A$1:$E$21</definedName>
  </definedNames>
  <calcPr calcId="18102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FF1B3A4B"/>
      <sz val="20"/>
    </font>
    <font>
      <name val="Calibri"/>
      <i val="1"/>
      <color rgb="FF52606D"/>
      <sz val="10"/>
    </font>
    <font>
      <name val="Calibri"/>
      <b val="1"/>
      <color rgb="FF1B3A4B"/>
      <sz val="14"/>
    </font>
    <font>
      <name val="Calibri"/>
      <color rgb="FF1F2933"/>
      <sz val="11"/>
    </font>
    <font>
      <name val="Calibri"/>
      <b val="1"/>
      <color rgb="FFFFFFFF"/>
      <sz val="11"/>
    </font>
    <font>
      <name val="Calibri"/>
      <b val="1"/>
      <color rgb="FF1F2933"/>
      <sz val="11"/>
    </font>
    <font>
      <name val="Calibri"/>
      <color rgb="FF1F2933"/>
      <sz val="10"/>
    </font>
    <font>
      <name val="Calibri"/>
      <b val="1"/>
      <color rgb="FF1F6F6A"/>
      <sz val="12"/>
    </font>
    <font>
      <name val="Calibri"/>
      <b val="1"/>
      <color rgb="FF1B3A4B"/>
      <sz val="10"/>
    </font>
    <font>
      <name val="Calibri"/>
      <b val="1"/>
      <color rgb="FF9B1C1C"/>
      <sz val="10"/>
    </font>
    <font>
      <name val="Calibri"/>
      <b val="1"/>
      <color rgb="FF1F2933"/>
      <sz val="10"/>
    </font>
    <font>
      <name val="Calibri"/>
      <color rgb="FFFFFFFF"/>
      <sz val="8"/>
    </font>
    <font>
      <name val="Calibri"/>
      <color rgb="FF9AA5B1"/>
      <sz val="8"/>
    </font>
    <font>
      <name val="Calibri"/>
      <b val="1"/>
      <color rgb="FF1B3A4B"/>
      <sz val="11"/>
    </font>
    <font>
      <name val="Calibri"/>
      <b val="1"/>
      <color rgb="FF1B3A4B"/>
      <sz val="18"/>
    </font>
    <font>
      <name val="Calibri"/>
      <b val="1"/>
      <color rgb="FF1B3A4B"/>
      <sz val="22"/>
    </font>
    <font>
      <name val="Calibri"/>
      <b val="1"/>
      <color rgb="FF1B3A4B"/>
      <sz val="12"/>
    </font>
    <font>
      <name val="Calibri"/>
      <i val="1"/>
      <color rgb="FF1F4E79"/>
      <sz val="10"/>
    </font>
    <font>
      <name val="Calibri"/>
      <color rgb="FF52606D"/>
      <sz val="10"/>
    </font>
    <font>
      <name val="Calibri"/>
      <color rgb="FF1F2933"/>
      <sz val="9.5"/>
    </font>
    <font>
      <name val="Calibri"/>
      <color rgb="FF0F4C81"/>
      <sz val="9"/>
    </font>
    <font>
      <name val="Calibri"/>
      <b val="1"/>
      <color rgb="001F4E78"/>
      <sz val="11"/>
    </font>
    <font>
      <name val="Calibri"/>
      <b val="1"/>
      <color rgb="001F4E78"/>
      <sz val="9.5"/>
    </font>
    <font>
      <name val="Calibri"/>
      <b val="1"/>
      <color rgb="00333333"/>
      <sz val="9.5"/>
    </font>
    <font>
      <name val="Calibri"/>
      <b val="1"/>
      <color rgb="000563C1"/>
      <sz val="9.5"/>
      <u val="single"/>
    </font>
  </fonts>
  <fills count="24">
    <fill>
      <patternFill/>
    </fill>
    <fill>
      <patternFill patternType="gray125"/>
    </fill>
    <fill>
      <patternFill patternType="solid">
        <fgColor rgb="FF1F6F6A"/>
      </patternFill>
    </fill>
    <fill>
      <patternFill patternType="solid">
        <fgColor rgb="FFB7E4C7"/>
      </patternFill>
    </fill>
    <fill>
      <patternFill patternType="solid">
        <fgColor rgb="FFD8F3DC"/>
      </patternFill>
    </fill>
    <fill>
      <patternFill patternType="solid">
        <fgColor rgb="FFFDE68A"/>
      </patternFill>
    </fill>
    <fill>
      <patternFill patternType="solid">
        <fgColor rgb="FFFECACA"/>
      </patternFill>
    </fill>
    <fill>
      <patternFill patternType="solid">
        <fgColor rgb="FFE5E7EB"/>
      </patternFill>
    </fill>
    <fill>
      <patternFill patternType="solid">
        <fgColor rgb="FFE0E7FF"/>
      </patternFill>
    </fill>
    <fill>
      <patternFill patternType="solid">
        <fgColor rgb="FF1B3A4B"/>
      </patternFill>
    </fill>
    <fill>
      <patternFill patternType="solid">
        <fgColor rgb="FFFFFFFF"/>
      </patternFill>
    </fill>
    <fill>
      <patternFill patternType="solid">
        <fgColor rgb="FFF7F6F3"/>
      </patternFill>
    </fill>
    <fill>
      <patternFill patternType="solid">
        <fgColor rgb="FFFFF6D8"/>
      </patternFill>
    </fill>
    <fill>
      <patternFill patternType="solid">
        <fgColor rgb="FFE7F0F4"/>
      </patternFill>
    </fill>
    <fill>
      <patternFill patternType="solid">
        <fgColor rgb="FFEEF2F5"/>
      </patternFill>
    </fill>
    <fill>
      <patternFill patternType="solid">
        <fgColor rgb="FFE7F4F1"/>
      </patternFill>
    </fill>
    <fill>
      <patternFill patternType="solid">
        <fgColor rgb="FFF8F1E7"/>
      </patternFill>
    </fill>
    <fill>
      <patternFill patternType="solid">
        <fgColor rgb="FFF4EFE7"/>
      </patternFill>
    </fill>
    <fill>
      <patternFill patternType="solid">
        <fgColor rgb="FFEEEAF6"/>
      </patternFill>
    </fill>
    <fill>
      <patternFill patternType="solid">
        <fgColor rgb="FFEAF2EA"/>
      </patternFill>
    </fill>
    <fill>
      <patternFill patternType="solid">
        <fgColor rgb="FFF8EAEA"/>
      </patternFill>
    </fill>
    <fill>
      <patternFill patternType="solid">
        <fgColor rgb="FFEEF2F6"/>
      </patternFill>
    </fill>
    <fill>
      <patternFill patternType="solid">
        <fgColor rgb="FFF3E8FF"/>
      </patternFill>
    </fill>
    <fill>
      <patternFill patternType="solid">
        <fgColor rgb="FF7B8794"/>
      </patternFill>
    </fill>
  </fills>
  <borders count="13">
    <border>
      <left/>
      <right/>
      <top/>
      <bottom/>
      <diagonal/>
    </border>
    <border>
      <left style="thin">
        <color rgb="FFD9E2EC"/>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top/>
      <bottom style="thin">
        <color rgb="FFD9E2EC"/>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style="thin">
        <color rgb="FFD9E2EC"/>
      </right>
      <top/>
      <bottom/>
      <diagonal/>
    </border>
  </borders>
  <cellStyleXfs count="1">
    <xf numFmtId="0" fontId="0" fillId="0" borderId="0"/>
  </cellStyleXfs>
  <cellXfs count="135">
    <xf numFmtId="0" fontId="0" fillId="0" borderId="0" pivotButton="0" quotePrefix="0" xfId="0"/>
    <xf numFmtId="0" fontId="2" fillId="0" borderId="0" pivotButton="0" quotePrefix="0" xfId="0"/>
    <xf numFmtId="0" fontId="5" fillId="2" borderId="0" applyAlignment="1" pivotButton="0" quotePrefix="0" xfId="0">
      <alignment horizontal="center" vertical="center" wrapText="1"/>
    </xf>
    <xf numFmtId="0" fontId="5" fillId="2" borderId="0" applyAlignment="1" pivotButton="0" quotePrefix="0" xfId="0">
      <alignment horizontal="left"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5" fillId="9" borderId="0" pivotButton="0" quotePrefix="0" xfId="0"/>
    <xf numFmtId="0" fontId="6" fillId="10" borderId="1" applyAlignment="1" pivotButton="0" quotePrefix="0" xfId="0">
      <alignment horizontal="left" vertical="center" wrapText="1"/>
    </xf>
    <xf numFmtId="0" fontId="6" fillId="11" borderId="1" applyAlignment="1" pivotButton="0" quotePrefix="0" xfId="0">
      <alignment horizontal="left" vertical="center" wrapText="1"/>
    </xf>
    <xf numFmtId="0" fontId="5" fillId="9" borderId="0" applyAlignment="1" pivotButton="0" quotePrefix="0" xfId="0">
      <alignment horizontal="left" vertical="center" wrapText="1"/>
    </xf>
    <xf numFmtId="0" fontId="5" fillId="9" borderId="1" applyAlignment="1" pivotButton="0" quotePrefix="0" xfId="0">
      <alignment horizontal="center" vertical="center" wrapText="1"/>
    </xf>
    <xf numFmtId="0" fontId="12" fillId="23" borderId="0" pivotButton="0" quotePrefix="0" xfId="0"/>
    <xf numFmtId="0" fontId="9" fillId="13" borderId="1" applyAlignment="1" pivotButton="0" quotePrefix="0" xfId="0">
      <alignment horizontal="center" vertical="center" wrapText="1"/>
    </xf>
    <xf numFmtId="0" fontId="7" fillId="13" borderId="1" applyAlignment="1" pivotButton="0" quotePrefix="0" xfId="0">
      <alignment horizontal="left" vertical="top" wrapText="1"/>
    </xf>
    <xf numFmtId="0" fontId="7" fillId="13" borderId="1" applyAlignment="1" pivotButton="0" quotePrefix="0" xfId="0">
      <alignment horizontal="center" vertical="center" wrapText="1"/>
    </xf>
    <xf numFmtId="0" fontId="10" fillId="13" borderId="1" applyAlignment="1" pivotButton="0" quotePrefix="0" xfId="0">
      <alignment horizontal="center" vertical="center" wrapText="1"/>
    </xf>
    <xf numFmtId="0" fontId="13" fillId="0" borderId="0" pivotButton="0" quotePrefix="0" xfId="0"/>
    <xf numFmtId="0" fontId="9" fillId="15" borderId="1" applyAlignment="1" pivotButton="0" quotePrefix="0" xfId="0">
      <alignment horizontal="center" vertical="center" wrapText="1"/>
    </xf>
    <xf numFmtId="0" fontId="7" fillId="15" borderId="1" applyAlignment="1" pivotButton="0" quotePrefix="0" xfId="0">
      <alignment horizontal="left" vertical="top" wrapText="1"/>
    </xf>
    <xf numFmtId="0" fontId="7" fillId="15" borderId="1" applyAlignment="1" pivotButton="0" quotePrefix="0" xfId="0">
      <alignment horizontal="center" vertical="center" wrapText="1"/>
    </xf>
    <xf numFmtId="0" fontId="10" fillId="15" borderId="1" applyAlignment="1" pivotButton="0" quotePrefix="0" xfId="0">
      <alignment horizontal="center" vertical="center" wrapText="1"/>
    </xf>
    <xf numFmtId="0" fontId="9" fillId="16" borderId="1" applyAlignment="1" pivotButton="0" quotePrefix="0" xfId="0">
      <alignment horizontal="center" vertical="center" wrapText="1"/>
    </xf>
    <xf numFmtId="0" fontId="7" fillId="16" borderId="1" applyAlignment="1" pivotButton="0" quotePrefix="0" xfId="0">
      <alignment horizontal="left" vertical="top" wrapText="1"/>
    </xf>
    <xf numFmtId="0" fontId="7" fillId="16" borderId="1" applyAlignment="1" pivotButton="0" quotePrefix="0" xfId="0">
      <alignment horizontal="center" vertical="center" wrapText="1"/>
    </xf>
    <xf numFmtId="0" fontId="10" fillId="16" borderId="1" applyAlignment="1" pivotButton="0" quotePrefix="0" xfId="0">
      <alignment horizontal="center" vertical="center" wrapText="1"/>
    </xf>
    <xf numFmtId="0" fontId="11" fillId="16" borderId="1" applyAlignment="1" pivotButton="0" quotePrefix="0" xfId="0">
      <alignment horizontal="center" vertical="center" wrapText="1"/>
    </xf>
    <xf numFmtId="0" fontId="9" fillId="17" borderId="1" applyAlignment="1" pivotButton="0" quotePrefix="0" xfId="0">
      <alignment horizontal="center" vertical="center" wrapText="1"/>
    </xf>
    <xf numFmtId="0" fontId="7" fillId="17" borderId="1" applyAlignment="1" pivotButton="0" quotePrefix="0" xfId="0">
      <alignment horizontal="left" vertical="top" wrapText="1"/>
    </xf>
    <xf numFmtId="0" fontId="7" fillId="17" borderId="1" applyAlignment="1" pivotButton="0" quotePrefix="0" xfId="0">
      <alignment horizontal="center" vertical="center" wrapText="1"/>
    </xf>
    <xf numFmtId="0" fontId="10" fillId="17" borderId="1" applyAlignment="1" pivotButton="0" quotePrefix="0" xfId="0">
      <alignment horizontal="center" vertical="center" wrapText="1"/>
    </xf>
    <xf numFmtId="0" fontId="11" fillId="17" borderId="1" applyAlignment="1" pivotButton="0" quotePrefix="0" xfId="0">
      <alignment horizontal="center" vertical="center" wrapText="1"/>
    </xf>
    <xf numFmtId="0" fontId="9" fillId="18" borderId="1" applyAlignment="1" pivotButton="0" quotePrefix="0" xfId="0">
      <alignment horizontal="center" vertical="center" wrapText="1"/>
    </xf>
    <xf numFmtId="0" fontId="7" fillId="18" borderId="1" applyAlignment="1" pivotButton="0" quotePrefix="0" xfId="0">
      <alignment horizontal="left" vertical="top" wrapText="1"/>
    </xf>
    <xf numFmtId="0" fontId="7" fillId="18" borderId="1" applyAlignment="1" pivotButton="0" quotePrefix="0" xfId="0">
      <alignment horizontal="center" vertical="center" wrapText="1"/>
    </xf>
    <xf numFmtId="0" fontId="10" fillId="18" borderId="1" applyAlignment="1" pivotButton="0" quotePrefix="0" xfId="0">
      <alignment horizontal="center" vertical="center" wrapText="1"/>
    </xf>
    <xf numFmtId="0" fontId="9" fillId="19" borderId="1" applyAlignment="1" pivotButton="0" quotePrefix="0" xfId="0">
      <alignment horizontal="center" vertical="center" wrapText="1"/>
    </xf>
    <xf numFmtId="0" fontId="7" fillId="19" borderId="1" applyAlignment="1" pivotButton="0" quotePrefix="0" xfId="0">
      <alignment horizontal="left" vertical="top" wrapText="1"/>
    </xf>
    <xf numFmtId="0" fontId="7" fillId="19" borderId="1" applyAlignment="1" pivotButton="0" quotePrefix="0" xfId="0">
      <alignment horizontal="center" vertical="center" wrapText="1"/>
    </xf>
    <xf numFmtId="0" fontId="10" fillId="19" borderId="1" applyAlignment="1" pivotButton="0" quotePrefix="0" xfId="0">
      <alignment horizontal="center" vertical="center" wrapText="1"/>
    </xf>
    <xf numFmtId="0" fontId="9" fillId="20" borderId="1" applyAlignment="1" pivotButton="0" quotePrefix="0" xfId="0">
      <alignment horizontal="center" vertical="center" wrapText="1"/>
    </xf>
    <xf numFmtId="0" fontId="7" fillId="20" borderId="1" applyAlignment="1" pivotButton="0" quotePrefix="0" xfId="0">
      <alignment horizontal="left" vertical="top" wrapText="1"/>
    </xf>
    <xf numFmtId="0" fontId="7" fillId="20" borderId="1" applyAlignment="1" pivotButton="0" quotePrefix="0" xfId="0">
      <alignment horizontal="center" vertical="center" wrapText="1"/>
    </xf>
    <xf numFmtId="0" fontId="10" fillId="20" borderId="1" applyAlignment="1" pivotButton="0" quotePrefix="0" xfId="0">
      <alignment horizontal="center" vertical="center" wrapText="1"/>
    </xf>
    <xf numFmtId="0" fontId="11" fillId="20" borderId="1" applyAlignment="1" pivotButton="0" quotePrefix="0" xfId="0">
      <alignment horizontal="center" vertical="center" wrapText="1"/>
    </xf>
    <xf numFmtId="0" fontId="9" fillId="21" borderId="1" applyAlignment="1" pivotButton="0" quotePrefix="0" xfId="0">
      <alignment horizontal="center" vertical="center" wrapText="1"/>
    </xf>
    <xf numFmtId="0" fontId="7" fillId="21" borderId="1" applyAlignment="1" pivotButton="0" quotePrefix="0" xfId="0">
      <alignment horizontal="left" vertical="top" wrapText="1"/>
    </xf>
    <xf numFmtId="0" fontId="7" fillId="21" borderId="1" applyAlignment="1" pivotButton="0" quotePrefix="0" xfId="0">
      <alignment horizontal="center" vertical="center" wrapText="1"/>
    </xf>
    <xf numFmtId="0" fontId="11" fillId="21" borderId="1" applyAlignment="1" pivotButton="0" quotePrefix="0" xfId="0">
      <alignment horizontal="center" vertical="center" wrapText="1"/>
    </xf>
    <xf numFmtId="0" fontId="9" fillId="22" borderId="1" applyAlignment="1" pivotButton="0" quotePrefix="0" xfId="0">
      <alignment horizontal="center" vertical="center" wrapText="1"/>
    </xf>
    <xf numFmtId="0" fontId="7" fillId="22" borderId="1" applyAlignment="1" pivotButton="0" quotePrefix="0" xfId="0">
      <alignment horizontal="left" vertical="top" wrapText="1"/>
    </xf>
    <xf numFmtId="0" fontId="7" fillId="22" borderId="1" applyAlignment="1" pivotButton="0" quotePrefix="0" xfId="0">
      <alignment horizontal="center" vertical="center" wrapText="1"/>
    </xf>
    <xf numFmtId="0" fontId="10" fillId="22" borderId="1" applyAlignment="1" pivotButton="0" quotePrefix="0" xfId="0">
      <alignment horizontal="center" vertical="center" wrapText="1"/>
    </xf>
    <xf numFmtId="0" fontId="3" fillId="11" borderId="0" applyAlignment="1" pivotButton="0" quotePrefix="0" xfId="0">
      <alignment horizontal="center" vertical="center" wrapText="1"/>
    </xf>
    <xf numFmtId="2" fontId="14" fillId="14"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5" fillId="9" borderId="0" applyAlignment="1" pivotButton="0" quotePrefix="0" xfId="0">
      <alignment horizontal="center" vertical="center" wrapText="1"/>
    </xf>
    <xf numFmtId="0" fontId="7" fillId="0" borderId="1" applyAlignment="1" pivotButton="0" quotePrefix="0" xfId="0">
      <alignment horizontal="left" vertical="center" wrapText="1"/>
    </xf>
    <xf numFmtId="0" fontId="17" fillId="10" borderId="1" applyAlignment="1" pivotButton="0" quotePrefix="0" xfId="0">
      <alignment horizontal="left" vertical="top" wrapText="1"/>
    </xf>
    <xf numFmtId="0" fontId="7" fillId="10" borderId="1" applyAlignment="1" pivotButton="0" quotePrefix="0" xfId="0">
      <alignment horizontal="left" vertical="top" wrapText="1"/>
    </xf>
    <xf numFmtId="0" fontId="17" fillId="11" borderId="1" applyAlignment="1" pivotButton="0" quotePrefix="0" xfId="0">
      <alignment horizontal="left" vertical="top" wrapText="1"/>
    </xf>
    <xf numFmtId="0" fontId="7" fillId="11" borderId="1" applyAlignment="1" pivotButton="0" quotePrefix="0" xfId="0">
      <alignment horizontal="left" vertical="top" wrapText="1"/>
    </xf>
    <xf numFmtId="0" fontId="13" fillId="14" borderId="1" applyAlignment="1" pivotButton="0" quotePrefix="0" xfId="0">
      <alignment horizontal="center" vertical="center" wrapText="1"/>
    </xf>
    <xf numFmtId="0" fontId="13" fillId="0" borderId="0" applyAlignment="1" pivotButton="0" quotePrefix="0" xfId="0">
      <alignment horizontal="center" vertical="center" wrapText="1"/>
    </xf>
    <xf numFmtId="0" fontId="7" fillId="14" borderId="1" applyAlignment="1" pivotButton="0" quotePrefix="0" xfId="0">
      <alignment horizontal="left" vertical="top" wrapText="1"/>
    </xf>
    <xf numFmtId="0" fontId="4" fillId="12"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left" vertical="top" wrapText="1"/>
      <protection locked="0" hidden="0"/>
    </xf>
    <xf numFmtId="0" fontId="1" fillId="0" borderId="0" pivotButton="0" quotePrefix="0" xfId="0"/>
    <xf numFmtId="0" fontId="0" fillId="0" borderId="0" pivotButton="0" quotePrefix="0" xfId="0"/>
    <xf numFmtId="0" fontId="5" fillId="9" borderId="0" pivotButton="0" quotePrefix="0" xfId="0"/>
    <xf numFmtId="0" fontId="7" fillId="11" borderId="1" applyAlignment="1" pivotButton="0" quotePrefix="0" xfId="0">
      <alignment vertical="top" wrapText="1"/>
    </xf>
    <xf numFmtId="0" fontId="0" fillId="0" borderId="4" pivotButton="0" quotePrefix="0" xfId="0"/>
    <xf numFmtId="0" fontId="0" fillId="0" borderId="5" pivotButton="0" quotePrefix="0" xfId="0"/>
    <xf numFmtId="0" fontId="3" fillId="0" borderId="0" pivotButton="0" quotePrefix="0" xfId="0"/>
    <xf numFmtId="0" fontId="7" fillId="8"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7" borderId="1" applyAlignment="1" pivotButton="0" quotePrefix="0" xfId="0">
      <alignment vertical="top" wrapText="1"/>
    </xf>
    <xf numFmtId="0" fontId="7" fillId="6" borderId="1" applyAlignment="1" pivotButton="0" quotePrefix="0" xfId="0">
      <alignment horizontal="left" vertical="center" wrapText="1"/>
    </xf>
    <xf numFmtId="0" fontId="4" fillId="0" borderId="0" applyAlignment="1" pivotButton="0" quotePrefix="0" xfId="0">
      <alignment vertical="top" wrapText="1"/>
    </xf>
    <xf numFmtId="0" fontId="4" fillId="0" borderId="0" applyAlignment="1" pivotButton="0" quotePrefix="0" xfId="0">
      <alignment horizontal="left" vertical="top" wrapText="1"/>
    </xf>
    <xf numFmtId="0" fontId="7" fillId="3" borderId="1" applyAlignment="1" pivotButton="0" quotePrefix="0" xfId="0">
      <alignment vertical="top" wrapText="1"/>
    </xf>
    <xf numFmtId="0" fontId="18" fillId="0" borderId="0" applyAlignment="1" pivotButton="0" quotePrefix="0" xfId="0">
      <alignment vertical="center" wrapText="1"/>
    </xf>
    <xf numFmtId="0" fontId="5" fillId="2" borderId="0" applyAlignment="1" pivotButton="0" quotePrefix="0" xfId="0">
      <alignment horizontal="left" vertical="center" wrapText="1"/>
    </xf>
    <xf numFmtId="0" fontId="7" fillId="5" borderId="1" applyAlignment="1" pivotButton="0" quotePrefix="0" xfId="0">
      <alignment horizontal="left" vertical="center" wrapText="1"/>
    </xf>
    <xf numFmtId="0" fontId="7" fillId="4" borderId="1" applyAlignment="1" pivotButton="0" quotePrefix="0" xfId="0">
      <alignment horizontal="left" vertical="center" wrapText="1"/>
    </xf>
    <xf numFmtId="0" fontId="7" fillId="11" borderId="1" applyAlignment="1" pivotButton="0" quotePrefix="0" xfId="0">
      <alignment horizontal="left" vertical="center" wrapText="1"/>
    </xf>
    <xf numFmtId="0" fontId="2" fillId="0" borderId="0" applyAlignment="1" pivotButton="0" quotePrefix="0" xfId="0">
      <alignment vertical="top" wrapText="1"/>
    </xf>
    <xf numFmtId="0" fontId="4" fillId="0" borderId="0" applyAlignment="1" pivotButton="0" quotePrefix="0" xfId="0">
      <alignment horizontal="left" vertical="center" wrapText="1"/>
    </xf>
    <xf numFmtId="0" fontId="2" fillId="0" borderId="1" applyAlignment="1" pivotButton="0" quotePrefix="0" xfId="0">
      <alignment horizontal="left" vertical="center" wrapText="1"/>
    </xf>
    <xf numFmtId="0" fontId="2" fillId="0" borderId="0" pivotButton="0" quotePrefix="0" xfId="0"/>
    <xf numFmtId="0" fontId="4" fillId="12" borderId="1" applyAlignment="1" applyProtection="1" pivotButton="0" quotePrefix="0" xfId="0">
      <alignment horizontal="left" vertical="top"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5" fillId="9" borderId="0" applyAlignment="1" pivotButton="0" quotePrefix="0" xfId="0">
      <alignment horizontal="left" vertical="center" wrapText="1"/>
    </xf>
    <xf numFmtId="0" fontId="8"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horizontal="left" vertical="center" wrapText="1"/>
    </xf>
    <xf numFmtId="0" fontId="2" fillId="12" borderId="1" applyAlignment="1" applyProtection="1" pivotButton="0" quotePrefix="0" xfId="0">
      <alignment horizontal="left" vertical="top" wrapText="1"/>
      <protection locked="0" hidden="0"/>
    </xf>
    <xf numFmtId="0" fontId="0" fillId="0" borderId="6"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7" fillId="0" borderId="1" applyAlignment="1" pivotButton="0" quotePrefix="0" xfId="0">
      <alignment horizontal="left" vertical="center" wrapText="1"/>
    </xf>
    <xf numFmtId="0" fontId="15" fillId="11" borderId="1" applyAlignment="1" pivotButton="0" quotePrefix="0" xfId="0">
      <alignment horizontal="left" vertical="center" wrapText="1"/>
    </xf>
    <xf numFmtId="0" fontId="0" fillId="0" borderId="3" pivotButton="0" quotePrefix="0" xfId="0"/>
    <xf numFmtId="0" fontId="0" fillId="0" borderId="8" pivotButton="0" quotePrefix="0" xfId="0"/>
    <xf numFmtId="0" fontId="0" fillId="0" borderId="10" pivotButton="0" quotePrefix="0" xfId="0"/>
    <xf numFmtId="0" fontId="4" fillId="11" borderId="1" applyAlignment="1" pivotButton="0" quotePrefix="0" xfId="0">
      <alignment horizontal="center" vertical="center" wrapText="1"/>
    </xf>
    <xf numFmtId="0" fontId="5" fillId="9" borderId="0" applyAlignment="1" pivotButton="0" quotePrefix="0" xfId="0">
      <alignment horizontal="center" vertical="center" wrapText="1"/>
    </xf>
    <xf numFmtId="0" fontId="16" fillId="11" borderId="1" applyAlignment="1" pivotButton="0" quotePrefix="0" xfId="0">
      <alignment horizontal="center" vertical="center"/>
    </xf>
    <xf numFmtId="0" fontId="0" fillId="0" borderId="11" pivotButton="0" quotePrefix="0" xfId="0"/>
    <xf numFmtId="0" fontId="5" fillId="2" borderId="0" applyAlignment="1" pivotButton="0" quotePrefix="0" xfId="0">
      <alignment horizontal="center" vertical="center" wrapText="1"/>
    </xf>
    <xf numFmtId="0" fontId="3" fillId="0" borderId="0" applyAlignment="1" pivotButton="0" quotePrefix="0" xfId="0">
      <alignment vertical="top" wrapText="1"/>
    </xf>
    <xf numFmtId="0" fontId="15" fillId="0" borderId="0" pivotButton="0" quotePrefix="0" xfId="0"/>
    <xf numFmtId="0" fontId="19" fillId="0" borderId="0" applyAlignment="1" pivotButton="0" quotePrefix="0" xfId="0">
      <alignment vertical="top" wrapText="1"/>
    </xf>
    <xf numFmtId="0" fontId="9" fillId="0" borderId="0" applyAlignment="1" pivotButton="0" quotePrefix="0" xfId="0">
      <alignment vertical="center" wrapText="1"/>
    </xf>
    <xf numFmtId="0" fontId="20" fillId="0" borderId="0" applyAlignment="1" pivotButton="0" quotePrefix="0" xfId="0">
      <alignment vertical="center" wrapText="1"/>
    </xf>
    <xf numFmtId="0" fontId="21" fillId="0" borderId="0" applyAlignment="1" pivotButton="0" quotePrefix="0" xfId="0">
      <alignment vertical="center" wrapText="1"/>
    </xf>
    <xf numFmtId="0" fontId="22" fillId="0" borderId="0" pivotButton="0" quotePrefix="0" xfId="0"/>
    <xf numFmtId="0" fontId="23" fillId="0" borderId="0" pivotButton="0" quotePrefix="0" xfId="0"/>
    <xf numFmtId="0" fontId="24" fillId="0" borderId="0" pivotButton="0" quotePrefix="0" xfId="0"/>
    <xf numFmtId="0" fontId="25" fillId="0" borderId="0" pivotButton="0" quotePrefix="0" xfId="0"/>
  </cellXfs>
  <cellStyles count="1">
    <cellStyle name="Normal" xfId="0" builtinId="0"/>
  </cellStyles>
  <dxfs count="17">
    <dxf>
      <fill>
        <patternFill patternType="solid">
          <fgColor rgb="FFFDE68A"/>
        </patternFill>
      </fill>
    </dxf>
    <dxf>
      <fill>
        <patternFill patternType="solid">
          <fgColor rgb="FFFECACA"/>
        </patternFill>
      </fill>
    </dxf>
    <dxf>
      <font>
        <name val="Calibri"/>
        <b val="1"/>
        <color rgb="FF374151"/>
        <sz val="16"/>
      </font>
      <fill>
        <patternFill patternType="solid">
          <fgColor rgb="FFE5E7EB"/>
        </patternFill>
      </fill>
    </dxf>
    <dxf>
      <font>
        <name val="Calibri"/>
        <b val="1"/>
        <color rgb="FF7F1D1D"/>
        <sz val="16"/>
      </font>
      <fill>
        <patternFill patternType="solid">
          <fgColor rgb="FFFECACA"/>
        </patternFill>
      </fill>
    </dxf>
    <dxf>
      <font>
        <name val="Calibri"/>
        <b val="1"/>
        <color rgb="FF78350F"/>
        <sz val="16"/>
      </font>
      <fill>
        <patternFill patternType="solid">
          <fgColor rgb="FFFDE68A"/>
        </patternFill>
      </fill>
    </dxf>
    <dxf>
      <font>
        <name val="Calibri"/>
        <b val="1"/>
        <color rgb="FF1B4332"/>
        <sz val="16"/>
      </font>
      <fill>
        <patternFill patternType="solid">
          <fgColor rgb="FFD8F3DC"/>
        </patternFill>
      </fill>
    </dxf>
    <dxf>
      <fill>
        <patternFill patternType="solid">
          <fgColor rgb="FFFECACA"/>
        </patternFill>
      </fill>
    </dxf>
    <dxf>
      <fill>
        <patternFill patternType="solid">
          <fgColor rgb="FFFDE68A"/>
        </patternFill>
      </fill>
    </dxf>
    <dxf>
      <fill>
        <patternFill patternType="solid">
          <fgColor rgb="FFD8F3DC"/>
        </patternFill>
      </fill>
    </dxf>
    <dxf>
      <fill>
        <patternFill patternType="solid">
          <fgColor rgb="FFFDE68A"/>
        </patternFill>
      </fill>
    </dxf>
    <dxf>
      <font>
        <name val="Calibri"/>
        <b val="1"/>
        <color rgb="FF6B21A8"/>
        <sz val="10"/>
      </font>
      <fill>
        <patternFill patternType="solid">
          <fgColor rgb="FFE9D5FF"/>
        </patternFill>
      </fill>
    </dxf>
    <dxf>
      <font>
        <name val="Calibri"/>
        <b val="1"/>
        <color rgb="FF312E81"/>
        <sz val="10"/>
      </font>
      <fill>
        <patternFill patternType="solid">
          <fgColor rgb="FFE0E7FF"/>
        </patternFill>
      </fill>
    </dxf>
    <dxf>
      <font>
        <name val="Calibri"/>
        <b val="1"/>
        <color rgb="FF374151"/>
        <sz val="10"/>
      </font>
      <fill>
        <patternFill patternType="solid">
          <fgColor rgb="FFE5E7EB"/>
        </patternFill>
      </fill>
    </dxf>
    <dxf>
      <font>
        <name val="Calibri"/>
        <b val="1"/>
        <color rgb="FF7F1D1D"/>
        <sz val="12"/>
      </font>
      <fill>
        <patternFill patternType="solid">
          <fgColor rgb="FFFECACA"/>
        </patternFill>
      </fill>
    </dxf>
    <dxf>
      <font>
        <name val="Calibri"/>
        <b val="1"/>
        <color rgb="FF78350F"/>
        <sz val="12"/>
      </font>
      <fill>
        <patternFill patternType="solid">
          <fgColor rgb="FFFDE68A"/>
        </patternFill>
      </fill>
    </dxf>
    <dxf>
      <font>
        <name val="Calibri"/>
        <b val="1"/>
        <color rgb="FF1B4332"/>
        <sz val="12"/>
      </font>
      <fill>
        <patternFill patternType="solid">
          <fgColor rgb="FFD8F3DC"/>
        </patternFill>
      </fill>
    </dxf>
    <dxf>
      <font>
        <name val="Calibri"/>
        <b val="1"/>
        <color rgb="FF1B4332"/>
        <sz val="12"/>
      </font>
      <fill>
        <patternFill patternType="solid">
          <fgColor rgb="FFB7E4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linkedin.com/newsletters/the-audit-signal-7339153291630510080/" TargetMode="External" Id="rId1"/><Relationship Type="http://schemas.openxmlformats.org/officeDocument/2006/relationships/hyperlink" Target="https://majidrajpar.github.io/portfolio_my" TargetMode="External" Id="rId2"/><Relationship Type="http://schemas.openxmlformats.org/officeDocument/2006/relationships/hyperlink" Target="https://www.linkedin.com/in/majid-m-4b097118/" TargetMode="External" Id="rId3"/></Relationships>
</file>

<file path=xl/worksheets/sheet1.xml><?xml version="1.0" encoding="utf-8"?>
<worksheet xmlns="http://schemas.openxmlformats.org/spreadsheetml/2006/main">
  <sheetPr>
    <tabColor rgb="FF1B3A4B"/>
    <outlinePr summaryBelow="1" summaryRight="1"/>
    <pageSetUpPr fitToPage="1"/>
  </sheetPr>
  <dimension ref="B2:G44"/>
  <sheetViews>
    <sheetView showGridLines="0" tabSelected="1"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3" customWidth="1" style="79" min="1" max="1"/>
    <col width="42" customWidth="1" style="79" min="2" max="2"/>
    <col width="28" customWidth="1" style="79" min="3" max="3"/>
    <col width="24" customWidth="1" style="79" min="4" max="7"/>
  </cols>
  <sheetData>
    <row r="2" ht="26" customHeight="1" s="79">
      <c r="B2" s="126" t="inlineStr">
        <is>
          <t>Internal Audit Report Evaluation Matrix (GIAS 2024 Conformance)</t>
        </is>
      </c>
    </row>
    <row r="3" ht="36" customHeight="1" s="79">
      <c r="B3" s="127" t="inlineStr">
        <is>
          <t>Scored from the Global Internal Audit Standards (GIAS 2024 edition, effective 9 January 2025). Prepared by Majid Mumtaz | CIA, ACA, FCCA, GRCP, GRCA, COSO ERM | Director of Internal Audit &amp; Risk Advisory, Veritux Advisory | Author of The Audit Signal. Professional QAIP gate and engagement scoring architecture.</t>
        </is>
      </c>
    </row>
    <row r="5" ht="18.5" customHeight="1" s="79">
      <c r="B5" s="84" t="inlineStr">
        <is>
          <t>What this matrix is, and what it is not</t>
        </is>
      </c>
    </row>
    <row r="6" ht="36" customHeight="1" s="79">
      <c r="B6" s="90" t="inlineStr">
        <is>
          <t>This matrix tests one communication against the Requirements in the Standards. The lines that govern a final engagement communication are Standards 15.1, 14.5, 14.4, 14.3, 14.2, 14.1, 13.4, 13.3, 13.1, 11.2, 11.3, 11.4, 11.5, 5.1, and 5.2. Standard 15.2, confirming that actions were implemented, is follow-up. It is not scored on the first assignment report. A line taken from a Requirement is a Must. A line taken from considerations is a Should. Standards 11.4 and 11.5 are Requirements that apply only when the facts exist, so G6 and G7 are Must and are N/A on an ordinary engagement. ICAEW does not publish a separate standard for the form of an internal audit report. Where an ICAEW member performs internal audit, the Standards above are the reporting requirements. The ICAEW Code of Ethics tracks Principles 1, 2, and 5 of the Standards. Those principles are scored here only through Standards 11.2, 5.1, and 5.2. The Chartered IIA Internal Audit Code of Practice, section C, describes reporting to the audit committee across the year, including an annual opinion. It is not used as a scored line on an engagement report. An opinion on the whole organisation is a different product. Score it with document type Overall opinion. That uses Standard 11.3, not the Code.</t>
        </is>
      </c>
    </row>
    <row r="7" ht="36" customHeight="1" s="79"/>
    <row r="8" ht="72" customHeight="1" s="79"/>
    <row r="10" ht="18.5" customHeight="1" s="79">
      <c r="B10" s="84" t="inlineStr">
        <is>
          <t>Start with the document, not the first line</t>
        </is>
      </c>
    </row>
    <row r="11" ht="36" customHeight="1" s="79">
      <c r="B11" s="89" t="inlineStr">
        <is>
          <t>On 2. Details, set the type, the status, and what evidence you have. Not an engagement report: stop. The scorecard returns Outside this matrix. A risk assessment or an annual plan is not scored as a failed audit report. Draft: score the lines, and use Not tested on approval, owners, dates, and management replies that are still open. The decision is prefixed Draft. A draft is not treated as an issued report that failed approval. Report only: if the page is silent on chief audit executive approval, on distribution, or on a confidentiality restriction, enter Not tested. Those requirements still exist. This review cannot see them. Not tested does not, by itself, withhold the report. Score 0 only when the record shows the requirement was broken. On an ordinary assurance or advisory report, score G6 and G7 as N/A. They apply only when this document corrects a significant error, or shows that management accepted risk above appetite.</t>
        </is>
      </c>
    </row>
    <row r="12" ht="78" customHeight="1" s="79"/>
    <row r="14" ht="18.5" customHeight="1" s="79">
      <c r="B14" s="84" t="inlineStr">
        <is>
          <t>Two results</t>
        </is>
      </c>
    </row>
    <row r="15" ht="20" customHeight="1" s="79">
      <c r="B15" s="98" t="inlineStr">
        <is>
          <t>Findings index: criteria, condition, cause, effect, priority, evidence, and whether significant points stand out. Close index: objectives, scope, limitations, the conclusion, the actions, the seven qualities in Standard 11.2, and issuance. A report can test well and still not be issuable. The two indexes keep those facts apart. The issue decision uses the gate, not the higher index.</t>
        </is>
      </c>
    </row>
    <row r="16" ht="32" customHeight="1" s="79"/>
    <row r="18" ht="18.5" customHeight="1" s="79">
      <c r="B18" s="84" t="inlineStr">
        <is>
          <t>How to score</t>
        </is>
      </c>
    </row>
    <row r="19">
      <c r="B19" s="124" t="inlineStr">
        <is>
          <t>Score</t>
        </is>
      </c>
      <c r="C19" s="93" t="inlineStr">
        <is>
          <t>Label</t>
        </is>
      </c>
      <c r="D19" s="93" t="inlineStr">
        <is>
          <t>Use it when</t>
        </is>
      </c>
    </row>
    <row r="20" ht="30" customHeight="1" s="79">
      <c r="B20" s="4" t="inlineStr">
        <is>
          <t>3</t>
        </is>
      </c>
      <c r="C20" s="5" t="inlineStr">
        <is>
          <t>Strong</t>
        </is>
      </c>
      <c r="D20" s="91" t="inlineStr">
        <is>
          <t>The requirement is met, and the report states it specifically enough that the reader can use the point.</t>
        </is>
      </c>
      <c r="E20" s="82" t="n"/>
      <c r="F20" s="82" t="n"/>
      <c r="G20" s="83" t="n"/>
    </row>
    <row r="21" ht="30" customHeight="1" s="79">
      <c r="B21" s="6" t="inlineStr">
        <is>
          <t>2</t>
        </is>
      </c>
      <c r="C21" s="7" t="inlineStr">
        <is>
          <t>Met</t>
        </is>
      </c>
      <c r="D21" s="95" t="inlineStr">
        <is>
          <t>The requirement is met.</t>
        </is>
      </c>
      <c r="E21" s="82" t="n"/>
      <c r="F21" s="82" t="n"/>
      <c r="G21" s="83" t="n"/>
    </row>
    <row r="22" ht="30" customHeight="1" s="79">
      <c r="B22" s="8" t="inlineStr">
        <is>
          <t>1</t>
        </is>
      </c>
      <c r="C22" s="9" t="inlineStr">
        <is>
          <t>Partly met</t>
        </is>
      </c>
      <c r="D22" s="94" t="inlineStr">
        <is>
          <t>The point is present, but it is generic, incomplete, or not usable for a decision. A stated conclusion that the report then disclaims scores 1 on E1, not 0.</t>
        </is>
      </c>
      <c r="E22" s="82" t="n"/>
      <c r="F22" s="82" t="n"/>
      <c r="G22" s="83" t="n"/>
    </row>
    <row r="23" ht="30" customHeight="1" s="79">
      <c r="B23" s="10" t="inlineStr">
        <is>
          <t>0</t>
        </is>
      </c>
      <c r="C23" s="11" t="inlineStr">
        <is>
          <t>Not met</t>
        </is>
      </c>
      <c r="D23" s="88" t="inlineStr">
        <is>
          <t>Missing, contradicted, or misleading. A count of findings, with no conclusion, scores 0 on E1.</t>
        </is>
      </c>
      <c r="E23" s="82" t="n"/>
      <c r="F23" s="82" t="n"/>
      <c r="G23" s="83" t="n"/>
    </row>
    <row r="24" ht="36" customHeight="1" s="79">
      <c r="B24" s="12" t="inlineStr">
        <is>
          <t>N/A</t>
        </is>
      </c>
      <c r="C24" s="13" t="inlineStr">
        <is>
          <t>Not applicable</t>
        </is>
      </c>
      <c r="D24" s="87" t="inlineStr">
        <is>
          <t>Only where column L says Yes. When E1 is 0, the formula switches E2 off. Do not enter a second score for the missing conclusion.</t>
        </is>
      </c>
      <c r="E24" s="82" t="n"/>
      <c r="F24" s="82" t="n"/>
      <c r="G24" s="83" t="n"/>
    </row>
    <row r="25" ht="30" customHeight="1" s="79">
      <c r="B25" s="14" t="inlineStr">
        <is>
          <t>Not tested</t>
        </is>
      </c>
      <c r="C25" s="15" t="inlineStr">
        <is>
          <t>Not tested</t>
        </is>
      </c>
      <c r="D25" s="85" t="inlineStr">
        <is>
          <t>Only where the matrix says Not tested is permitted. The page or the file does not contain the evidence. Excluded from the index and from the gate.</t>
        </is>
      </c>
      <c r="E25" s="82" t="n"/>
      <c r="F25" s="82" t="n"/>
      <c r="G25" s="83" t="n"/>
    </row>
    <row r="27" ht="18.5" customHeight="1" s="79">
      <c r="B27" s="84" t="inlineStr">
        <is>
          <t>Issue decision</t>
        </is>
      </c>
    </row>
    <row r="28" ht="96" customHeight="1" s="79">
      <c r="B28" s="89" t="inlineStr">
        <is>
          <t>Not tested and permitted N/A are ignored by the gate and by both indexes. A Met is 2 out of a maximum of 3, so a report that meets every scored line shows 67%. The decision is the gate. Column G on 3. Matrix looks up 6. Standards. Where a line uses a consideration rather than a Requirement, the label says so. Column H switches E2 off when E1 is 0, B2 off when B1 is N/A, D1 to D5 off when C1 is N/A, G3 off before 9 January 2025, and O1 to O5 off unless the document type is Overall opinion. The gap list shows the first 12 gaps. The counts above it include the rest. Yellow cells are the inputs. The other cells are protected so a sort or a typed formula does not break the workbook. Use Review, Unprotect Sheet. There is no password. The findings sheet holds 20 findings. Its counts feed column H. They do not write the score.</t>
        </is>
      </c>
    </row>
    <row r="30">
      <c r="B30" s="80" t="inlineStr">
        <is>
          <t>Decision</t>
        </is>
      </c>
      <c r="C30" s="80" t="inlineStr">
        <is>
          <t>Rule</t>
        </is>
      </c>
    </row>
    <row r="31" ht="28" customHeight="1" s="79">
      <c r="B31" s="17" t="inlineStr">
        <is>
          <t>Outside this matrix</t>
        </is>
      </c>
      <c r="C31" s="86" t="inlineStr">
        <is>
          <t>Document type is Not an engagement report.</t>
        </is>
      </c>
      <c r="D31" s="82" t="n"/>
      <c r="E31" s="82" t="n"/>
      <c r="F31" s="82" t="n"/>
      <c r="G31" s="83" t="n"/>
    </row>
    <row r="32" ht="28" customHeight="1" s="79">
      <c r="B32" s="18" t="inlineStr">
        <is>
          <t>Draft — plus the gate below</t>
        </is>
      </c>
      <c r="C32" s="96" t="inlineStr">
        <is>
          <t>Status is Draft. The gate says what would happen if this text were issued as it stands.</t>
        </is>
      </c>
      <c r="D32" s="82" t="n"/>
      <c r="E32" s="82" t="n"/>
      <c r="F32" s="82" t="n"/>
      <c r="G32" s="83" t="n"/>
    </row>
    <row r="33" ht="28" customHeight="1" s="79">
      <c r="B33" s="17" t="inlineStr">
        <is>
          <t>Not started</t>
        </is>
      </c>
      <c r="C33" s="86" t="inlineStr">
        <is>
          <t>No scores have been entered.</t>
        </is>
      </c>
      <c r="D33" s="82" t="n"/>
      <c r="E33" s="82" t="n"/>
      <c r="F33" s="82" t="n"/>
      <c r="G33" s="83" t="n"/>
    </row>
    <row r="34" ht="36" customHeight="1" s="79">
      <c r="B34" s="18" t="inlineStr">
        <is>
          <t>Withhold</t>
        </is>
      </c>
      <c r="C34" s="81" t="inlineStr">
        <is>
          <t>Any Must that was scored is 0, any Must that should have been scored is blank, or the score is not 3, 2, 1, 0, N/A, or Not tested.</t>
        </is>
      </c>
      <c r="D34" s="82" t="n"/>
      <c r="E34" s="82" t="n"/>
      <c r="F34" s="82" t="n"/>
      <c r="G34" s="83" t="n"/>
    </row>
    <row r="35" ht="28" customHeight="1" s="79">
      <c r="B35" s="17" t="inlineStr">
        <is>
          <t>Revise before issue</t>
        </is>
      </c>
      <c r="C35" s="86" t="inlineStr">
        <is>
          <t>No Must is 0, but at least one Must is 1, or three or more Should items are 0.</t>
        </is>
      </c>
      <c r="D35" s="82" t="n"/>
      <c r="E35" s="82" t="n"/>
      <c r="F35" s="82" t="n"/>
      <c r="G35" s="83" t="n"/>
    </row>
    <row r="36" ht="28" customHeight="1" s="79">
      <c r="B36" s="18" t="inlineStr">
        <is>
          <t>Accept, and record the gaps</t>
        </is>
      </c>
      <c r="C36" s="96" t="inlineStr">
        <is>
          <t>Every scored Must is 2 or 3, and at least one Should is 0 or 1, with fewer than three Should items at 0.</t>
        </is>
      </c>
      <c r="D36" s="82" t="n"/>
      <c r="E36" s="82" t="n"/>
      <c r="F36" s="82" t="n"/>
      <c r="G36" s="83" t="n"/>
    </row>
    <row r="37" ht="28" customHeight="1" s="79">
      <c r="B37" s="17" t="inlineStr">
        <is>
          <t>Accept</t>
        </is>
      </c>
      <c r="C37" s="86" t="inlineStr">
        <is>
          <t>Every scored Must is 2 or 3, and no Should is 0 or 1.</t>
        </is>
      </c>
      <c r="D37" s="82" t="n"/>
      <c r="E37" s="82" t="n"/>
      <c r="F37" s="82" t="n"/>
      <c r="G37" s="83" t="n"/>
    </row>
    <row r="39" ht="48" customHeight="1" s="79">
      <c r="B39" s="97" t="inlineStr">
        <is>
          <t>This workbook paraphrases the Global Internal Audit Standards so a reviewer can score one communication. It is not the Standards. It is not published or endorsed by the Institute of Internal Auditors or by ICAEW. Where the workbook and the Standards differ, follow the Standards. Edition used: 9 January 2024, effective 9 January 2025.</t>
        </is>
      </c>
    </row>
    <row r="40" ht="48" customHeight="1" s="79">
      <c r="B40" s="128" t="inlineStr">
        <is>
          <t>Tool: Internal Audit Report Evaluation Matrix (GIAS 2024 Conformance) | Author: Majid Mumtaz | CIA, ACA, FCCA, GRCP, GRCA, COSO ERM | Director, Veritux Advisory | Author of The Audit Signal</t>
        </is>
      </c>
    </row>
    <row r="41" ht="20" customHeight="1" s="79">
      <c r="B41" s="129" t="inlineStr">
        <is>
          <t>Author &amp; Advisory: Majid Mumtaz | CIA, ACA, FCCA, GRCP, GRCA, COSO ERM | Director of Internal Audit &amp; Risk Advisory, Veritux Advisory | Author of The Audit Signal (LinkedIn Newsletter)</t>
        </is>
      </c>
    </row>
    <row r="42" ht="20" customHeight="1" s="79">
      <c r="B42" s="130" t="inlineStr">
        <is>
          <t>Executive Portfolio: https://majidrajpar.github.io/portfolio_my/  |  The Audit Signal Newsletter: https://www.linkedin.com/newsletters/the-audit-signal-7339153291630510080/  |  LinkedIn: https://www.linkedin.com/in/majid-m-4b097118/</t>
        </is>
      </c>
    </row>
    <row r="43" ht="20" customHeight="1" s="79">
      <c r="B43" s="128" t="inlineStr">
        <is>
          <t>Continuous Controls Monitoring (CCM) Advisory Note:</t>
        </is>
      </c>
    </row>
    <row r="44" ht="20" customHeight="1" s="79">
      <c r="B44" s="129" t="inlineStr">
        <is>
          <t>For automating recurring audit ratings and continuous controls telemetry directly from your ERP/data warehouse, see the CCM Telemetry Architect: https://majidrajpar.github.io/portfolio_my/tools/ccm-telemetry-architect/</t>
        </is>
      </c>
    </row>
  </sheetData>
  <sheetProtection selectLockedCells="1" selectUnlockedCells="1" sheet="1" objects="0" insertRows="0" insertHyperlinks="1" autoFilter="1" scenarios="0" formatColumns="1" deleteColumns="0" insertColumns="0" pivotTables="1" deleteRows="0" formatCells="1" formatRows="1" sort="1"/>
  <mergeCells count="32">
    <mergeCell ref="B2:G2"/>
    <mergeCell ref="C30:G30"/>
    <mergeCell ref="C34:G34"/>
    <mergeCell ref="B42:G42"/>
    <mergeCell ref="B14:G14"/>
    <mergeCell ref="D25:G25"/>
    <mergeCell ref="C33:G33"/>
    <mergeCell ref="D24:G24"/>
    <mergeCell ref="B44:G44"/>
    <mergeCell ref="D23:G23"/>
    <mergeCell ref="C35:G35"/>
    <mergeCell ref="B10:G10"/>
    <mergeCell ref="B28:G28"/>
    <mergeCell ref="B6:G8"/>
    <mergeCell ref="D20:G20"/>
    <mergeCell ref="B40:G40"/>
    <mergeCell ref="D19:G19"/>
    <mergeCell ref="C31:G31"/>
    <mergeCell ref="D22:G22"/>
    <mergeCell ref="B11:G12"/>
    <mergeCell ref="B5:G5"/>
    <mergeCell ref="B41:G41"/>
    <mergeCell ref="D21:G21"/>
    <mergeCell ref="C36:G36"/>
    <mergeCell ref="B3:G3"/>
    <mergeCell ref="C32:G32"/>
    <mergeCell ref="B15:G16"/>
    <mergeCell ref="B27:G27"/>
    <mergeCell ref="C37:G37"/>
    <mergeCell ref="B43:G43"/>
    <mergeCell ref="B18:G18"/>
    <mergeCell ref="B39:G39"/>
  </mergeCells>
  <printOptions horizontalCentered="1"/>
  <pageMargins left="0.5" right="0.5" top="0.55" bottom="0.5" header="0.25" footer="0.25"/>
  <pageSetup orientation="landscape" paperSize="9" fitToHeight="3"/>
  <headerFooter>
    <oddHeader>&amp;R&amp;"Calibri"&amp;9 Majid Mumtaz (CIA, ACA, FCCA) | Veritux Advisory | The Audit Signal</oddHeader>
    <oddFooter>&amp;LInternal Audit Report Evaluation Matrix (GIAS 2024) | https://majidrajpar.github.io/portfolio_my/&amp;RPage &amp;P of &amp;N</oddFooter>
    <evenHeader/>
    <evenFooter/>
    <firstHeader/>
    <firstFooter/>
  </headerFooter>
</worksheet>
</file>

<file path=xl/worksheets/sheet2.xml><?xml version="1.0" encoding="utf-8"?>
<worksheet xmlns="http://schemas.openxmlformats.org/spreadsheetml/2006/main">
  <sheetPr>
    <tabColor rgb="FF1F6F6A"/>
    <outlinePr summaryBelow="1" summaryRight="1"/>
    <pageSetUpPr fitToPage="1"/>
  </sheetPr>
  <dimension ref="B2:E25"/>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3" customWidth="1" style="79" min="1" max="1"/>
    <col width="32" customWidth="1" style="79" min="2" max="2"/>
    <col width="62" customWidth="1" style="79" min="3" max="3"/>
    <col width="42" customWidth="1" style="79" min="4" max="4"/>
    <col width="28" customWidth="1" style="79" min="5" max="5"/>
  </cols>
  <sheetData>
    <row r="2" ht="28" customHeight="1" s="79">
      <c r="B2" s="78" t="inlineStr">
        <is>
          <t>Engagement details</t>
        </is>
      </c>
    </row>
    <row r="3">
      <c r="B3" s="100" t="inlineStr">
        <is>
          <t>Yellow cells are inputs. Set type, status, evidence, and the standards era before scoring.</t>
        </is>
      </c>
    </row>
    <row r="4">
      <c r="B4" s="107" t="inlineStr">
        <is>
          <t>Field</t>
        </is>
      </c>
      <c r="C4" s="107" t="inlineStr">
        <is>
          <t>Entry</t>
        </is>
      </c>
      <c r="D4" s="107" t="inlineStr">
        <is>
          <t>Note</t>
        </is>
      </c>
    </row>
    <row r="5" ht="22" customHeight="1" s="79">
      <c r="B5" s="18" t="inlineStr">
        <is>
          <t>Report title</t>
        </is>
      </c>
      <c r="C5" s="76" t="n"/>
      <c r="D5" s="99" t="inlineStr">
        <is>
          <t>Title as it appears on the communication.</t>
        </is>
      </c>
      <c r="E5" s="83" t="n"/>
    </row>
    <row r="6" ht="22" customHeight="1" s="79">
      <c r="B6" s="18" t="inlineStr">
        <is>
          <t>Report reference</t>
        </is>
      </c>
      <c r="C6" s="76" t="n"/>
      <c r="D6" s="99" t="inlineStr">
        <is>
          <t>Document number or engagement code.</t>
        </is>
      </c>
      <c r="E6" s="83" t="n"/>
    </row>
    <row r="7" ht="22" customHeight="1" s="79">
      <c r="B7" s="18" t="inlineStr">
        <is>
          <t>Organisation</t>
        </is>
      </c>
      <c r="C7" s="76" t="n"/>
      <c r="D7" s="99" t="inlineStr">
        <is>
          <t>Entity under review.</t>
        </is>
      </c>
      <c r="E7" s="83" t="n"/>
    </row>
    <row r="8" ht="22" customHeight="1" s="79">
      <c r="B8" s="18" t="inlineStr">
        <is>
          <t>Activity reviewed</t>
        </is>
      </c>
      <c r="C8" s="76" t="n"/>
      <c r="D8" s="99" t="inlineStr">
        <is>
          <t>Process, function, or risk area.</t>
        </is>
      </c>
      <c r="E8" s="83" t="n"/>
    </row>
    <row r="9" ht="22" customHeight="1" s="79">
      <c r="B9" s="18" t="inlineStr">
        <is>
          <t>Period covered</t>
        </is>
      </c>
      <c r="C9" s="76" t="n"/>
      <c r="D9" s="99" t="inlineStr">
        <is>
          <t>The period the conclusion relates to.</t>
        </is>
      </c>
      <c r="E9" s="83" t="n"/>
    </row>
    <row r="10" ht="22" customHeight="1" s="79">
      <c r="B10" s="18" t="inlineStr">
        <is>
          <t>Fieldwork completed</t>
        </is>
      </c>
      <c r="C10" s="76" t="n"/>
      <c r="D10" s="99" t="inlineStr">
        <is>
          <t>Date fieldwork ended.</t>
        </is>
      </c>
      <c r="E10" s="83" t="n"/>
    </row>
    <row r="11" ht="22" customHeight="1" s="79">
      <c r="B11" s="18" t="inlineStr">
        <is>
          <t>Report date</t>
        </is>
      </c>
      <c r="C11" s="76" t="n"/>
      <c r="D11" s="99" t="inlineStr">
        <is>
          <t>Date of the version under review. Use the printed date.</t>
        </is>
      </c>
      <c r="E11" s="83" t="n"/>
    </row>
    <row r="12" ht="22" customHeight="1" s="79">
      <c r="B12" s="18" t="inlineStr">
        <is>
          <t>Version</t>
        </is>
      </c>
      <c r="C12" s="76" t="n"/>
      <c r="D12" s="99" t="inlineStr">
        <is>
          <t>Draft number, or Final.</t>
        </is>
      </c>
      <c r="E12" s="83" t="n"/>
    </row>
    <row r="13" ht="22" customHeight="1" s="79">
      <c r="B13" s="18" t="inlineStr">
        <is>
          <t>Document type</t>
        </is>
      </c>
      <c r="C13" s="76" t="n"/>
      <c r="D13" s="99" t="inlineStr">
        <is>
          <t>Assurance, Advisory, Overall opinion, or Not an engagement report.</t>
        </is>
      </c>
      <c r="E13" s="83" t="n"/>
    </row>
    <row r="14" ht="22" customHeight="1" s="79">
      <c r="B14" s="18" t="inlineStr">
        <is>
          <t>Status</t>
        </is>
      </c>
      <c r="C14" s="76" t="n"/>
      <c r="D14" s="99" t="inlineStr">
        <is>
          <t>Final or Draft.</t>
        </is>
      </c>
      <c r="E14" s="83" t="n"/>
    </row>
    <row r="15" ht="22" customHeight="1" s="79">
      <c r="B15" s="18" t="inlineStr">
        <is>
          <t>Evidence in this review</t>
        </is>
      </c>
      <c r="C15" s="76" t="n"/>
      <c r="D15" s="99" t="inlineStr">
        <is>
          <t>Report only, or Report and file.</t>
        </is>
      </c>
      <c r="E15" s="83" t="n"/>
    </row>
    <row r="16" ht="22" customHeight="1" s="79">
      <c r="B16" s="18" t="inlineStr">
        <is>
          <t>Standards era</t>
        </is>
      </c>
      <c r="C16" s="76" t="n"/>
      <c r="D16" s="99" t="inlineStr">
        <is>
          <t>Before 9 January 2025, or On or after 9 January 2025. This drives line G3.</t>
        </is>
      </c>
      <c r="E16" s="83" t="n"/>
    </row>
    <row r="17" ht="22" customHeight="1" s="79">
      <c r="B17" s="18" t="inlineStr">
        <is>
          <t>Conclusion as printed</t>
        </is>
      </c>
      <c r="C17" s="76" t="n"/>
      <c r="D17" s="99" t="inlineStr">
        <is>
          <t>Copy the conclusion or rating phrase. Write None if there is no conclusion.</t>
        </is>
      </c>
      <c r="E17" s="83" t="n"/>
    </row>
    <row r="18" ht="22" customHeight="1" s="79">
      <c r="B18" s="18" t="inlineStr">
        <is>
          <t>Chief audit executive</t>
        </is>
      </c>
      <c r="C18" s="76" t="n"/>
      <c r="D18" s="99" t="inlineStr">
        <is>
          <t>Name, if the report or the file shows one.</t>
        </is>
      </c>
      <c r="E18" s="83" t="n"/>
    </row>
    <row r="19" ht="22" customHeight="1" s="79">
      <c r="B19" s="18" t="inlineStr">
        <is>
          <t>Reviewer</t>
        </is>
      </c>
      <c r="C19" s="76" t="n"/>
      <c r="D19" s="99" t="inlineStr">
        <is>
          <t>Person completing this matrix.</t>
        </is>
      </c>
      <c r="E19" s="83" t="n"/>
    </row>
    <row r="20" ht="22" customHeight="1" s="79">
      <c r="B20" s="18" t="inlineStr">
        <is>
          <t>Review date</t>
        </is>
      </c>
      <c r="C20" s="76" t="n"/>
      <c r="D20" s="99" t="inlineStr">
        <is>
          <t>Date of this review.</t>
        </is>
      </c>
      <c r="E20" s="83" t="n"/>
    </row>
    <row r="21" ht="22" customHeight="1" s="79">
      <c r="B21" s="18" t="inlineStr">
        <is>
          <t>File reference</t>
        </is>
      </c>
      <c r="C21" s="76" t="n"/>
      <c r="D21" s="99" t="inlineStr">
        <is>
          <t>Where the working papers are, if they were used.</t>
        </is>
      </c>
      <c r="E21" s="83" t="n"/>
    </row>
    <row r="23" ht="18.5" customHeight="1" s="79">
      <c r="B23" s="84" t="inlineStr">
        <is>
          <t>Scope of this review</t>
        </is>
      </c>
    </row>
    <row r="24" ht="22" customHeight="1" s="79">
      <c r="B24" s="101" t="inlineStr">
        <is>
          <t>Record what you could not see: a missing appendix, a sanitized copy, or a file that was not opened. Redaction is not an audit failure. Enter Not tested on an owner, a date, or timeliness when the copy has removed them.</t>
        </is>
      </c>
      <c r="C24" s="102" t="n"/>
      <c r="D24" s="102" t="n"/>
      <c r="E24" s="103" t="n"/>
    </row>
    <row r="25" ht="22" customHeight="1" s="79">
      <c r="B25" s="104" t="n"/>
      <c r="C25" s="105" t="n"/>
      <c r="D25" s="105" t="n"/>
      <c r="E25" s="106" t="n"/>
    </row>
  </sheetData>
  <sheetProtection selectLockedCells="1" selectUnlockedCells="1" sheet="1" objects="0" insertRows="0" insertHyperlinks="1" autoFilter="1" scenarios="0" formatColumns="1" deleteColumns="0" insertColumns="0" pivotTables="1" deleteRows="0" formatCells="1" formatRows="1" sort="1"/>
  <mergeCells count="22">
    <mergeCell ref="D20:E20"/>
    <mergeCell ref="D10:E10"/>
    <mergeCell ref="D19:E19"/>
    <mergeCell ref="D21:E21"/>
    <mergeCell ref="D6:E6"/>
    <mergeCell ref="D11:E11"/>
    <mergeCell ref="D13:E13"/>
    <mergeCell ref="B3:E3"/>
    <mergeCell ref="D17:E17"/>
    <mergeCell ref="B24:E25"/>
    <mergeCell ref="D16:E16"/>
    <mergeCell ref="D7:E7"/>
    <mergeCell ref="D4:E4"/>
    <mergeCell ref="B2:E2"/>
    <mergeCell ref="D18:E18"/>
    <mergeCell ref="D9:E9"/>
    <mergeCell ref="D12:E12"/>
    <mergeCell ref="D8:E8"/>
    <mergeCell ref="B23:E23"/>
    <mergeCell ref="D15:E15"/>
    <mergeCell ref="D5:E5"/>
    <mergeCell ref="D14:E14"/>
  </mergeCells>
  <dataValidations count="4">
    <dataValidation sqref="C13" showDropDown="0" showInputMessage="0" showErrorMessage="0" allowBlank="1" type="list">
      <formula1>"Assurance,Advisory,Overall opinion,Not an engagement report"</formula1>
    </dataValidation>
    <dataValidation sqref="C14" showDropDown="0" showInputMessage="0" showErrorMessage="0" allowBlank="1" type="list">
      <formula1>"Final,Draft"</formula1>
    </dataValidation>
    <dataValidation sqref="C15" showDropDown="0" showInputMessage="0" showErrorMessage="0" allowBlank="1" type="list">
      <formula1>"Report only,Report and file"</formula1>
    </dataValidation>
    <dataValidation sqref="C16" showDropDown="0" showInputMessage="0" showErrorMessage="0" allowBlank="1" type="list">
      <formula1>"Before 9 January 2025,On or after 9 January 2025"</formula1>
    </dataValidation>
  </dataValidations>
  <printOptions horizontalCentered="1"/>
  <pageMargins left="0.5" right="0.5" top="0.55" bottom="0.5" header="0.25" footer="0.25"/>
  <pageSetup orientation="landscape" paperSize="9"/>
  <headerFooter>
    <oddHeader>&amp;R&amp;"Calibri"&amp;9 Majid Mumtaz (CIA, ACA, FCCA) | Veritux Advisory | The Audit Signal</oddHeader>
    <oddFooter>&amp;LEngagement details&amp;RPage &amp;P of &amp;N</oddFooter>
    <evenHeader/>
    <evenFooter/>
    <firstHeader/>
    <firstFooter/>
  </headerFooter>
</worksheet>
</file>

<file path=xl/worksheets/sheet3.xml><?xml version="1.0" encoding="utf-8"?>
<worksheet xmlns="http://schemas.openxmlformats.org/spreadsheetml/2006/main">
  <sheetPr>
    <tabColor rgb="FFB8860B"/>
    <outlinePr summaryBelow="1" summaryRight="1"/>
    <pageSetUpPr fitToPage="1"/>
  </sheetPr>
  <dimension ref="A1:AC47"/>
  <sheetViews>
    <sheetView showGridLines="0" zoomScale="11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4.5"/>
  <cols>
    <col width="8" customWidth="1" style="79" min="1" max="1"/>
    <col width="22" customWidth="1" style="79" min="2" max="2"/>
    <col width="12" customWidth="1" style="79" min="3" max="3"/>
    <col width="10" customWidth="1" style="79" min="4" max="4"/>
    <col width="36" customWidth="1" style="79" min="5" max="5"/>
    <col width="46" customWidth="1" style="79" min="6" max="6"/>
    <col width="38" customWidth="1" style="79" min="7" max="7"/>
    <col width="44" customWidth="1" style="79" min="8" max="8"/>
    <col width="14" customWidth="1" style="79" min="9" max="9"/>
    <col width="22" customWidth="1" style="79" min="10" max="10"/>
    <col width="28" customWidth="1" style="79" min="11" max="11"/>
    <col width="12" customWidth="1" style="79" min="12" max="12"/>
    <col width="14" customWidth="1" style="79" min="13" max="13"/>
    <col width="10" customWidth="1" style="79" min="14" max="15"/>
    <col hidden="1" width="10" customWidth="1" style="79" min="16" max="29"/>
  </cols>
  <sheetData>
    <row r="1" ht="26" customHeight="1" s="79">
      <c r="A1" s="78" t="inlineStr">
        <is>
          <t>Evaluation matrix</t>
        </is>
      </c>
    </row>
    <row r="2" ht="32" customHeight="1" s="79">
      <c r="A2" s="109" t="inlineStr">
        <is>
          <t>Column G looks up the Standard on 6. Standards. Column H is a formula and shows when another line switches this one off. Score in column I: 3, 2, 1, 0, N/A, or Not tested. N/A and Not tested only where the columns say Yes. A score of 0, 1, N/A, or Not tested needs a comment.</t>
        </is>
      </c>
    </row>
    <row r="3" ht="15.5" customHeight="1" s="79">
      <c r="A3" s="108">
        <f>IF(ReportTitle="","Set 2. Details first.","Report: "&amp;ReportTitle&amp;"  |  "&amp;IF(EngagementType="","(set document type)",EngagementType)&amp;"  |  "&amp;IF(DocStatus="","(set status)",DocStatus)&amp;"  |  "&amp;IF(StandardsEra="","(set standards era)",StandardsEra))</f>
        <v/>
      </c>
    </row>
    <row r="5" ht="30" customHeight="1" s="79">
      <c r="A5" s="20" t="inlineStr">
        <is>
          <t>Ref</t>
        </is>
      </c>
      <c r="B5" s="20" t="inlineStr">
        <is>
          <t>Domain</t>
        </is>
      </c>
      <c r="C5" s="20" t="inlineStr">
        <is>
          <t>Index</t>
        </is>
      </c>
      <c r="D5" s="20" t="inlineStr">
        <is>
          <t>Level</t>
        </is>
      </c>
      <c r="E5" s="20" t="inlineStr">
        <is>
          <t>Criterion</t>
        </is>
      </c>
      <c r="F5" s="20" t="inlineStr">
        <is>
          <t>What the standard requires</t>
        </is>
      </c>
      <c r="G5" s="20" t="inlineStr">
        <is>
          <t>Source</t>
        </is>
      </c>
      <c r="H5" s="20" t="inlineStr">
        <is>
          <t>Depends on</t>
        </is>
      </c>
      <c r="I5" s="20" t="inlineStr">
        <is>
          <t>Score</t>
        </is>
      </c>
      <c r="J5" s="20" t="inlineStr">
        <is>
          <t>Evidence</t>
        </is>
      </c>
      <c r="K5" s="20" t="inlineStr">
        <is>
          <t>Comment</t>
        </is>
      </c>
      <c r="L5" s="20" t="inlineStr">
        <is>
          <t>N/A ok</t>
        </is>
      </c>
      <c r="M5" s="20" t="inlineStr">
        <is>
          <t>Not tested ok</t>
        </is>
      </c>
      <c r="N5" s="20" t="inlineStr">
        <is>
          <t>Points</t>
        </is>
      </c>
      <c r="O5" s="20" t="inlineStr">
        <is>
          <t>Max</t>
        </is>
      </c>
      <c r="P5" s="21" t="inlineStr">
        <is>
          <t>Must0</t>
        </is>
      </c>
      <c r="Q5" s="21" t="inlineStr">
        <is>
          <t>Must1</t>
        </is>
      </c>
      <c r="R5" s="21" t="inlineStr">
        <is>
          <t>MustBlank</t>
        </is>
      </c>
      <c r="S5" s="21" t="inlineStr">
        <is>
          <t>BadNA</t>
        </is>
      </c>
      <c r="T5" s="21" t="inlineStr">
        <is>
          <t>BadNT</t>
        </is>
      </c>
      <c r="U5" s="21" t="inlineStr">
        <is>
          <t>Should0</t>
        </is>
      </c>
      <c r="V5" s="21" t="inlineStr">
        <is>
          <t>Should1</t>
        </is>
      </c>
      <c r="W5" s="21" t="inlineStr">
        <is>
          <t>Scored</t>
        </is>
      </c>
      <c r="X5" s="21" t="inlineStr">
        <is>
          <t>Num</t>
        </is>
      </c>
      <c r="Y5" s="21" t="inlineStr">
        <is>
          <t>Gap</t>
        </is>
      </c>
      <c r="Z5" s="21" t="inlineStr">
        <is>
          <t>GapNo</t>
        </is>
      </c>
      <c r="AA5" s="21" t="inlineStr">
        <is>
          <t>Switch</t>
        </is>
      </c>
      <c r="AB5" s="21" t="inlineStr">
        <is>
          <t>StdKey</t>
        </is>
      </c>
      <c r="AC5" t="inlineStr">
        <is>
          <t>BadScore</t>
        </is>
      </c>
    </row>
    <row r="6" ht="48" customHeight="1" s="79">
      <c r="A6" s="22" t="inlineStr">
        <is>
          <t>A1</t>
        </is>
      </c>
      <c r="B6" s="23" t="inlineStr">
        <is>
          <t>Objectives and scope</t>
        </is>
      </c>
      <c r="C6" s="24" t="inlineStr">
        <is>
          <t>Close</t>
        </is>
      </c>
      <c r="D6" s="25" t="inlineStr">
        <is>
          <t>Must</t>
        </is>
      </c>
      <c r="E6" s="23" t="inlineStr">
        <is>
          <t>Objectives state the purpose and the specific goals</t>
        </is>
      </c>
      <c r="F6" s="23" t="inlineStr">
        <is>
          <t>The report states what the engagement set out to achieve, specifically enough that the conclusion can answer it. A single line that only says the work reviewed the existence and effectiveness of key controls scores 1.</t>
        </is>
      </c>
      <c r="G6" s="23">
        <f>"13.3 "&amp;INDEX('6. Standards'!$B$5:$B$21,MATCH("13.3",'6. Standards'!$A$5:$A$21,0))&amp;" — "&amp;INDEX('6. Standards'!$C$5:$C$21,MATCH("13.3",'6. Standards'!$A$5:$A$21,0))&amp;CHAR(10)&amp;"15.1 "&amp;INDEX('6. Standards'!$B$5:$B$21,MATCH("15.1",'6. Standards'!$A$5:$A$21,0))&amp;" — "&amp;INDEX('6. Standards'!$C$5:$C$21,MATCH("15.1",'6. Standards'!$A$5:$A$21,0))</f>
        <v/>
      </c>
      <c r="H6" s="23">
        <f>"No other line switches this off."</f>
        <v/>
      </c>
      <c r="I6" s="77" t="n"/>
      <c r="J6" s="77" t="n"/>
      <c r="K6" s="77" t="n"/>
      <c r="L6" s="24" t="inlineStr">
        <is>
          <t>No</t>
        </is>
      </c>
      <c r="M6" s="24" t="inlineStr">
        <is>
          <t>No</t>
        </is>
      </c>
      <c r="N6" s="73">
        <f>IF(OR(OR(AA6,AND(UPPER(TRIM(I6&amp;""))="N/A",L6="Yes"),AND(UPPER(TRIM(I6&amp;""))="NOT TESTED",M6="Yes")),OR(AND(UPPER(TRIM(I6&amp;""))="N/A",L6&lt;&gt;"Yes"),AND(UPPER(TRIM(I6&amp;""))="NOT TESTED",M6&lt;&gt;"Yes"),AND(NOT(I6=""),NOT(UPPER(TRIM(I6&amp;""))="N/A"),NOT(UPPER(TRIM(I6&amp;""))="NOT TESTED"),NOT(AND(ISNUMBER(IFERROR(VALUE(I6&amp;""),"")),OR(IFERROR(VALUE(I6&amp;""),"")=0,IFERROR(VALUE(I6&amp;""),"")=1,IFERROR(VALUE(I6&amp;""),"")=2,IFERROR(VALUE(I6&amp;""),"")=3)))))),0,IF(AND(ISNUMBER(IFERROR(VALUE(I6&amp;""),"")),OR(IFERROR(VALUE(I6&amp;""),"")=0,IFERROR(VALUE(I6&amp;""),"")=1,IFERROR(VALUE(I6&amp;""),"")=2,IFERROR(VALUE(I6&amp;""),"")=3)),IFERROR(VALUE(I6&amp;""),"")*IF(D6="Must",2,1),0))</f>
        <v/>
      </c>
      <c r="O6" s="73">
        <f>IF(OR(AA6,AND(UPPER(TRIM(I6&amp;""))="N/A",L6="Yes"),AND(UPPER(TRIM(I6&amp;""))="NOT TESTED",M6="Yes")),0,IF(OR(OR(AND(UPPER(TRIM(I6&amp;""))="N/A",L6&lt;&gt;"Yes"),AND(UPPER(TRIM(I6&amp;""))="NOT TESTED",M6&lt;&gt;"Yes"),AND(NOT(I6=""),NOT(UPPER(TRIM(I6&amp;""))="N/A"),NOT(UPPER(TRIM(I6&amp;""))="NOT TESTED"),NOT(AND(ISNUMBER(IFERROR(VALUE(I6&amp;""),"")),OR(IFERROR(VALUE(I6&amp;""),"")=0,IFERROR(VALUE(I6&amp;""),"")=1,IFERROR(VALUE(I6&amp;""),"")=2,IFERROR(VALUE(I6&amp;""),"")=3))))),AND(ISNUMBER(IFERROR(VALUE(I6&amp;""),"")),OR(IFERROR(VALUE(I6&amp;""),"")=0,IFERROR(VALUE(I6&amp;""),"")=1,IFERROR(VALUE(I6&amp;""),"")=2,IFERROR(VALUE(I6&amp;""),"")=3))),3*IF(D6="Must",2,1),0))</f>
        <v/>
      </c>
      <c r="P6" s="74">
        <f>IF(OR(AA6,NOT(AND(D6="Must",ISNUMBER(X6),X6=0))),0,1)</f>
        <v/>
      </c>
      <c r="Q6" s="74">
        <f>IF(OR(AA6,NOT(AND(D6="Must",ISNUMBER(X6),X6=1))),0,1)</f>
        <v/>
      </c>
      <c r="R6" s="74">
        <f>IF(AND(NOT(AA6),D6="Must",I6=""),1,0)</f>
        <v/>
      </c>
      <c r="S6" s="74">
        <f>IF(AND(NOT(AA6),UPPER(TRIM(I6&amp;""))="N/A",L6&lt;&gt;"Yes"),1,0)</f>
        <v/>
      </c>
      <c r="T6" s="74">
        <f>IF(AND(NOT(AA6),UPPER(TRIM(I6&amp;""))="NOT TESTED",M6&lt;&gt;"Yes"),1,0)</f>
        <v/>
      </c>
      <c r="U6" s="74">
        <f>IF(OR(AA6,NOT(AND(D6="Should",ISNUMBER(X6),X6=0))),0,1)</f>
        <v/>
      </c>
      <c r="V6" s="74">
        <f>IF(OR(AA6,NOT(AND(D6="Should",ISNUMBER(X6),X6=1))),0,1)</f>
        <v/>
      </c>
      <c r="W6" s="74">
        <f>IF(OR(I6="",AA6),0,1)</f>
        <v/>
      </c>
      <c r="X6" s="74">
        <f>IF(I6="","",IF(UPPER(TRIM(I6&amp;""))="N/A","N/A",IF(UPPER(TRIM(I6&amp;""))="NOT TESTED","NT",IF(AND(ISNUMBER(IFERROR(VALUE(I6&amp;""),"")),OR(IFERROR(VALUE(I6&amp;""),"")=0,IFERROR(VALUE(I6&amp;""),"")=1,IFERROR(VALUE(I6&amp;""),"")=2,IFERROR(VALUE(I6&amp;""),"")=3)),IFERROR(VALUE(I6&amp;""),""),"BAD"))))</f>
        <v/>
      </c>
      <c r="Y6" s="74">
        <f>IF(OR(AA6,NOT(OR(AND(D6="Must",I6="",SUM($W$6:$W$47)&gt;0),AND(ISNUMBER(X6),X6&lt;2),AND(UPPER(TRIM(I6&amp;""))="N/A",L6&lt;&gt;"Yes"),AND(UPPER(TRIM(I6&amp;""))="NOT TESTED",M6&lt;&gt;"Yes"),AND(NOT(I6=""),NOT(UPPER(TRIM(I6&amp;""))="N/A"),NOT(UPPER(TRIM(I6&amp;""))="NOT TESTED"),NOT(AND(ISNUMBER(IFERROR(VALUE(I6&amp;""),"")),OR(IFERROR(VALUE(I6&amp;""),"")=0,IFERROR(VALUE(I6&amp;""),"")=1,IFERROR(VALUE(I6&amp;""),"")=2,IFERROR(VALUE(I6&amp;""),"")=3))))))),0,1)</f>
        <v/>
      </c>
      <c r="Z6" s="74">
        <f>IF(Y6=1,COUNTIF($Y$6:Y6,1),0)</f>
        <v/>
      </c>
      <c r="AA6" s="74">
        <f>OR(AND(LEFT(A6,1)="O",EngagementType&lt;&gt;"Overall opinion"),AND(A6="G3",StandardsEra="Before 9 January 2025"),AND(A6="E2",OR(INDEX($I$6:$I$47,MATCH("E1",$A$6:$A$47,0))=0,INDEX($I$6:$I$47,MATCH("E1",$A$6:$A$47,0))="0")),AND(A6="B2",UPPER(TRIM(INDEX($I$6:$I$47,MATCH("B1",$A$6:$A$47,0))&amp;""))="N/A"),AND(OR(A6="D1",A6="D2",A6="D3",A6="D4",A6="D5"),UPPER(TRIM(INDEX($I$6:$I$47,MATCH("C1",$A$6:$A$47,0))&amp;""))="N/A"))</f>
        <v/>
      </c>
      <c r="AB6" s="26" t="inlineStr">
        <is>
          <t>13.3;15.1</t>
        </is>
      </c>
      <c r="AC6">
        <f>IF(AND(NOT(AA6),AND(NOT(I6=""),NOT(UPPER(TRIM(I6&amp;""))="N/A"),NOT(UPPER(TRIM(I6&amp;""))="NOT TESTED"),NOT(AND(ISNUMBER(IFERROR(VALUE(I6&amp;""),"")),OR(IFERROR(VALUE(I6&amp;""),"")=0,IFERROR(VALUE(I6&amp;""),"")=1,IFERROR(VALUE(I6&amp;""),"")=2,IFERROR(VALUE(I6&amp;""),"")=3))))),1,0)</f>
        <v/>
      </c>
    </row>
    <row r="7" ht="48" customHeight="1" s="79">
      <c r="A7" s="22" t="inlineStr">
        <is>
          <t>A2</t>
        </is>
      </c>
      <c r="B7" s="23" t="inlineStr">
        <is>
          <t>Objectives and scope</t>
        </is>
      </c>
      <c r="C7" s="24" t="inlineStr">
        <is>
          <t>Close</t>
        </is>
      </c>
      <c r="D7" s="25" t="inlineStr">
        <is>
          <t>Must</t>
        </is>
      </c>
      <c r="E7" s="23" t="inlineStr">
        <is>
          <t>Scope sets the boundaries</t>
        </is>
      </c>
      <c r="F7" s="23" t="inlineStr">
        <is>
          <t>Scope names the activities, the locations or units, the processes or systems, and the period, and it is wide enough to meet the objectives. A period and a process name, with no units and no boundary, scores 1.</t>
        </is>
      </c>
      <c r="G7" s="23">
        <f>"13.3 "&amp;INDEX('6. Standards'!$B$5:$B$21,MATCH("13.3",'6. Standards'!$A$5:$A$21,0))&amp;" — "&amp;INDEX('6. Standards'!$C$5:$C$21,MATCH("13.3",'6. Standards'!$A$5:$A$21,0))&amp;CHAR(10)&amp;"15.1 "&amp;INDEX('6. Standards'!$B$5:$B$21,MATCH("15.1",'6. Standards'!$A$5:$A$21,0))&amp;" — "&amp;INDEX('6. Standards'!$C$5:$C$21,MATCH("15.1",'6. Standards'!$A$5:$A$21,0))</f>
        <v/>
      </c>
      <c r="H7" s="23">
        <f>"No other line switches this off."</f>
        <v/>
      </c>
      <c r="I7" s="77" t="n"/>
      <c r="J7" s="77" t="n"/>
      <c r="K7" s="77" t="n"/>
      <c r="L7" s="24" t="inlineStr">
        <is>
          <t>No</t>
        </is>
      </c>
      <c r="M7" s="24" t="inlineStr">
        <is>
          <t>No</t>
        </is>
      </c>
      <c r="N7" s="73">
        <f>IF(OR(OR(AA7,AND(UPPER(TRIM(I7&amp;""))="N/A",L7="Yes"),AND(UPPER(TRIM(I7&amp;""))="NOT TESTED",M7="Yes")),OR(AND(UPPER(TRIM(I7&amp;""))="N/A",L7&lt;&gt;"Yes"),AND(UPPER(TRIM(I7&amp;""))="NOT TESTED",M7&lt;&gt;"Yes"),AND(NOT(I7=""),NOT(UPPER(TRIM(I7&amp;""))="N/A"),NOT(UPPER(TRIM(I7&amp;""))="NOT TESTED"),NOT(AND(ISNUMBER(IFERROR(VALUE(I7&amp;""),"")),OR(IFERROR(VALUE(I7&amp;""),"")=0,IFERROR(VALUE(I7&amp;""),"")=1,IFERROR(VALUE(I7&amp;""),"")=2,IFERROR(VALUE(I7&amp;""),"")=3)))))),0,IF(AND(ISNUMBER(IFERROR(VALUE(I7&amp;""),"")),OR(IFERROR(VALUE(I7&amp;""),"")=0,IFERROR(VALUE(I7&amp;""),"")=1,IFERROR(VALUE(I7&amp;""),"")=2,IFERROR(VALUE(I7&amp;""),"")=3)),IFERROR(VALUE(I7&amp;""),"")*IF(D7="Must",2,1),0))</f>
        <v/>
      </c>
      <c r="O7" s="73">
        <f>IF(OR(AA7,AND(UPPER(TRIM(I7&amp;""))="N/A",L7="Yes"),AND(UPPER(TRIM(I7&amp;""))="NOT TESTED",M7="Yes")),0,IF(OR(OR(AND(UPPER(TRIM(I7&amp;""))="N/A",L7&lt;&gt;"Yes"),AND(UPPER(TRIM(I7&amp;""))="NOT TESTED",M7&lt;&gt;"Yes"),AND(NOT(I7=""),NOT(UPPER(TRIM(I7&amp;""))="N/A"),NOT(UPPER(TRIM(I7&amp;""))="NOT TESTED"),NOT(AND(ISNUMBER(IFERROR(VALUE(I7&amp;""),"")),OR(IFERROR(VALUE(I7&amp;""),"")=0,IFERROR(VALUE(I7&amp;""),"")=1,IFERROR(VALUE(I7&amp;""),"")=2,IFERROR(VALUE(I7&amp;""),"")=3))))),AND(ISNUMBER(IFERROR(VALUE(I7&amp;""),"")),OR(IFERROR(VALUE(I7&amp;""),"")=0,IFERROR(VALUE(I7&amp;""),"")=1,IFERROR(VALUE(I7&amp;""),"")=2,IFERROR(VALUE(I7&amp;""),"")=3))),3*IF(D7="Must",2,1),0))</f>
        <v/>
      </c>
      <c r="P7" s="74">
        <f>IF(OR(AA7,NOT(AND(D7="Must",ISNUMBER(X7),X7=0))),0,1)</f>
        <v/>
      </c>
      <c r="Q7" s="74">
        <f>IF(OR(AA7,NOT(AND(D7="Must",ISNUMBER(X7),X7=1))),0,1)</f>
        <v/>
      </c>
      <c r="R7" s="74">
        <f>IF(AND(NOT(AA7),D7="Must",I7=""),1,0)</f>
        <v/>
      </c>
      <c r="S7" s="74">
        <f>IF(AND(NOT(AA7),UPPER(TRIM(I7&amp;""))="N/A",L7&lt;&gt;"Yes"),1,0)</f>
        <v/>
      </c>
      <c r="T7" s="74">
        <f>IF(AND(NOT(AA7),UPPER(TRIM(I7&amp;""))="NOT TESTED",M7&lt;&gt;"Yes"),1,0)</f>
        <v/>
      </c>
      <c r="U7" s="74">
        <f>IF(OR(AA7,NOT(AND(D7="Should",ISNUMBER(X7),X7=0))),0,1)</f>
        <v/>
      </c>
      <c r="V7" s="74">
        <f>IF(OR(AA7,NOT(AND(D7="Should",ISNUMBER(X7),X7=1))),0,1)</f>
        <v/>
      </c>
      <c r="W7" s="74">
        <f>IF(OR(I7="",AA7),0,1)</f>
        <v/>
      </c>
      <c r="X7" s="74">
        <f>IF(I7="","",IF(UPPER(TRIM(I7&amp;""))="N/A","N/A",IF(UPPER(TRIM(I7&amp;""))="NOT TESTED","NT",IF(AND(ISNUMBER(IFERROR(VALUE(I7&amp;""),"")),OR(IFERROR(VALUE(I7&amp;""),"")=0,IFERROR(VALUE(I7&amp;""),"")=1,IFERROR(VALUE(I7&amp;""),"")=2,IFERROR(VALUE(I7&amp;""),"")=3)),IFERROR(VALUE(I7&amp;""),""),"BAD"))))</f>
        <v/>
      </c>
      <c r="Y7" s="74">
        <f>IF(OR(AA7,NOT(OR(AND(D7="Must",I7="",SUM($W$6:$W$47)&gt;0),AND(ISNUMBER(X7),X7&lt;2),AND(UPPER(TRIM(I7&amp;""))="N/A",L7&lt;&gt;"Yes"),AND(UPPER(TRIM(I7&amp;""))="NOT TESTED",M7&lt;&gt;"Yes"),AND(NOT(I7=""),NOT(UPPER(TRIM(I7&amp;""))="N/A"),NOT(UPPER(TRIM(I7&amp;""))="NOT TESTED"),NOT(AND(ISNUMBER(IFERROR(VALUE(I7&amp;""),"")),OR(IFERROR(VALUE(I7&amp;""),"")=0,IFERROR(VALUE(I7&amp;""),"")=1,IFERROR(VALUE(I7&amp;""),"")=2,IFERROR(VALUE(I7&amp;""),"")=3))))))),0,1)</f>
        <v/>
      </c>
      <c r="Z7" s="74">
        <f>IF(Y7=1,COUNTIF($Y$6:Y7,1),0)</f>
        <v/>
      </c>
      <c r="AA7" s="74">
        <f>OR(AND(LEFT(A7,1)="O",EngagementType&lt;&gt;"Overall opinion"),AND(A7="G3",StandardsEra="Before 9 January 2025"),AND(A7="E2",OR(INDEX($I$6:$I$47,MATCH("E1",$A$6:$A$47,0))=0,INDEX($I$6:$I$47,MATCH("E1",$A$6:$A$47,0))="0")),AND(A7="B2",UPPER(TRIM(INDEX($I$6:$I$47,MATCH("B1",$A$6:$A$47,0))&amp;""))="N/A"),AND(OR(A7="D1",A7="D2",A7="D3",A7="D4",A7="D5"),UPPER(TRIM(INDEX($I$6:$I$47,MATCH("C1",$A$6:$A$47,0))&amp;""))="N/A"))</f>
        <v/>
      </c>
      <c r="AB7" s="26" t="inlineStr">
        <is>
          <t>13.3;15.1</t>
        </is>
      </c>
      <c r="AC7">
        <f>IF(AND(NOT(AA7),AND(NOT(I7=""),NOT(UPPER(TRIM(I7&amp;""))="N/A"),NOT(UPPER(TRIM(I7&amp;""))="NOT TESTED"),NOT(AND(ISNUMBER(IFERROR(VALUE(I7&amp;""),"")),OR(IFERROR(VALUE(I7&amp;""),"")=0,IFERROR(VALUE(I7&amp;""),"")=1,IFERROR(VALUE(I7&amp;""),"")=2,IFERROR(VALUE(I7&amp;""),"")=3))))),1,0)</f>
        <v/>
      </c>
    </row>
    <row r="8" ht="48" customHeight="1" s="79">
      <c r="A8" s="22" t="inlineStr">
        <is>
          <t>A3</t>
        </is>
      </c>
      <c r="B8" s="23" t="inlineStr">
        <is>
          <t>Objectives and scope</t>
        </is>
      </c>
      <c r="C8" s="24" t="inlineStr">
        <is>
          <t>Close</t>
        </is>
      </c>
      <c r="D8" s="25" t="inlineStr">
        <is>
          <t>Must</t>
        </is>
      </c>
      <c r="E8" s="23" t="inlineStr">
        <is>
          <t>Scope limitations are explained</t>
        </is>
      </c>
      <c r="F8" s="23" t="inlineStr">
        <is>
          <t>A limitation that stopped the work is described, with its effect on the conclusion. Use N/A when the report does not show a scope limitation. A general sentence that the work may not have found every weakness, with no effect on the conclusion, scores 1.</t>
        </is>
      </c>
      <c r="G8" s="23">
        <f>"15.1 "&amp;INDEX('6. Standards'!$B$5:$B$21,MATCH("15.1",'6. Standards'!$A$5:$A$21,0))&amp;" — "&amp;INDEX('6. Standards'!$C$5:$C$21,MATCH("15.1",'6. Standards'!$A$5:$A$21,0))&amp;CHAR(10)&amp;"13.3 "&amp;INDEX('6. Standards'!$B$5:$B$21,MATCH("13.3",'6. Standards'!$A$5:$A$21,0))&amp;" — "&amp;INDEX('6. Standards'!$C$5:$C$21,MATCH("13.3",'6. Standards'!$A$5:$A$21,0))</f>
        <v/>
      </c>
      <c r="H8" s="23">
        <f>"No other line switches this off."</f>
        <v/>
      </c>
      <c r="I8" s="77" t="n"/>
      <c r="J8" s="77" t="n"/>
      <c r="K8" s="77" t="n"/>
      <c r="L8" s="24" t="inlineStr">
        <is>
          <t>Yes</t>
        </is>
      </c>
      <c r="M8" s="24" t="inlineStr">
        <is>
          <t>No</t>
        </is>
      </c>
      <c r="N8" s="73">
        <f>IF(OR(OR(AA8,AND(UPPER(TRIM(I8&amp;""))="N/A",L8="Yes"),AND(UPPER(TRIM(I8&amp;""))="NOT TESTED",M8="Yes")),OR(AND(UPPER(TRIM(I8&amp;""))="N/A",L8&lt;&gt;"Yes"),AND(UPPER(TRIM(I8&amp;""))="NOT TESTED",M8&lt;&gt;"Yes"),AND(NOT(I8=""),NOT(UPPER(TRIM(I8&amp;""))="N/A"),NOT(UPPER(TRIM(I8&amp;""))="NOT TESTED"),NOT(AND(ISNUMBER(IFERROR(VALUE(I8&amp;""),"")),OR(IFERROR(VALUE(I8&amp;""),"")=0,IFERROR(VALUE(I8&amp;""),"")=1,IFERROR(VALUE(I8&amp;""),"")=2,IFERROR(VALUE(I8&amp;""),"")=3)))))),0,IF(AND(ISNUMBER(IFERROR(VALUE(I8&amp;""),"")),OR(IFERROR(VALUE(I8&amp;""),"")=0,IFERROR(VALUE(I8&amp;""),"")=1,IFERROR(VALUE(I8&amp;""),"")=2,IFERROR(VALUE(I8&amp;""),"")=3)),IFERROR(VALUE(I8&amp;""),"")*IF(D8="Must",2,1),0))</f>
        <v/>
      </c>
      <c r="O8" s="73">
        <f>IF(OR(AA8,AND(UPPER(TRIM(I8&amp;""))="N/A",L8="Yes"),AND(UPPER(TRIM(I8&amp;""))="NOT TESTED",M8="Yes")),0,IF(OR(OR(AND(UPPER(TRIM(I8&amp;""))="N/A",L8&lt;&gt;"Yes"),AND(UPPER(TRIM(I8&amp;""))="NOT TESTED",M8&lt;&gt;"Yes"),AND(NOT(I8=""),NOT(UPPER(TRIM(I8&amp;""))="N/A"),NOT(UPPER(TRIM(I8&amp;""))="NOT TESTED"),NOT(AND(ISNUMBER(IFERROR(VALUE(I8&amp;""),"")),OR(IFERROR(VALUE(I8&amp;""),"")=0,IFERROR(VALUE(I8&amp;""),"")=1,IFERROR(VALUE(I8&amp;""),"")=2,IFERROR(VALUE(I8&amp;""),"")=3))))),AND(ISNUMBER(IFERROR(VALUE(I8&amp;""),"")),OR(IFERROR(VALUE(I8&amp;""),"")=0,IFERROR(VALUE(I8&amp;""),"")=1,IFERROR(VALUE(I8&amp;""),"")=2,IFERROR(VALUE(I8&amp;""),"")=3))),3*IF(D8="Must",2,1),0))</f>
        <v/>
      </c>
      <c r="P8" s="74">
        <f>IF(OR(AA8,NOT(AND(D8="Must",ISNUMBER(X8),X8=0))),0,1)</f>
        <v/>
      </c>
      <c r="Q8" s="74">
        <f>IF(OR(AA8,NOT(AND(D8="Must",ISNUMBER(X8),X8=1))),0,1)</f>
        <v/>
      </c>
      <c r="R8" s="74">
        <f>IF(AND(NOT(AA8),D8="Must",I8=""),1,0)</f>
        <v/>
      </c>
      <c r="S8" s="74">
        <f>IF(AND(NOT(AA8),UPPER(TRIM(I8&amp;""))="N/A",L8&lt;&gt;"Yes"),1,0)</f>
        <v/>
      </c>
      <c r="T8" s="74">
        <f>IF(AND(NOT(AA8),UPPER(TRIM(I8&amp;""))="NOT TESTED",M8&lt;&gt;"Yes"),1,0)</f>
        <v/>
      </c>
      <c r="U8" s="74">
        <f>IF(OR(AA8,NOT(AND(D8="Should",ISNUMBER(X8),X8=0))),0,1)</f>
        <v/>
      </c>
      <c r="V8" s="74">
        <f>IF(OR(AA8,NOT(AND(D8="Should",ISNUMBER(X8),X8=1))),0,1)</f>
        <v/>
      </c>
      <c r="W8" s="74">
        <f>IF(OR(I8="",AA8),0,1)</f>
        <v/>
      </c>
      <c r="X8" s="74">
        <f>IF(I8="","",IF(UPPER(TRIM(I8&amp;""))="N/A","N/A",IF(UPPER(TRIM(I8&amp;""))="NOT TESTED","NT",IF(AND(ISNUMBER(IFERROR(VALUE(I8&amp;""),"")),OR(IFERROR(VALUE(I8&amp;""),"")=0,IFERROR(VALUE(I8&amp;""),"")=1,IFERROR(VALUE(I8&amp;""),"")=2,IFERROR(VALUE(I8&amp;""),"")=3)),IFERROR(VALUE(I8&amp;""),""),"BAD"))))</f>
        <v/>
      </c>
      <c r="Y8" s="74">
        <f>IF(OR(AA8,NOT(OR(AND(D8="Must",I8="",SUM($W$6:$W$47)&gt;0),AND(ISNUMBER(X8),X8&lt;2),AND(UPPER(TRIM(I8&amp;""))="N/A",L8&lt;&gt;"Yes"),AND(UPPER(TRIM(I8&amp;""))="NOT TESTED",M8&lt;&gt;"Yes"),AND(NOT(I8=""),NOT(UPPER(TRIM(I8&amp;""))="N/A"),NOT(UPPER(TRIM(I8&amp;""))="NOT TESTED"),NOT(AND(ISNUMBER(IFERROR(VALUE(I8&amp;""),"")),OR(IFERROR(VALUE(I8&amp;""),"")=0,IFERROR(VALUE(I8&amp;""),"")=1,IFERROR(VALUE(I8&amp;""),"")=2,IFERROR(VALUE(I8&amp;""),"")=3))))))),0,1)</f>
        <v/>
      </c>
      <c r="Z8" s="74">
        <f>IF(Y8=1,COUNTIF($Y$6:Y8,1),0)</f>
        <v/>
      </c>
      <c r="AA8" s="74">
        <f>OR(AND(LEFT(A8,1)="O",EngagementType&lt;&gt;"Overall opinion"),AND(A8="G3",StandardsEra="Before 9 January 2025"),AND(A8="E2",OR(INDEX($I$6:$I$47,MATCH("E1",$A$6:$A$47,0))=0,INDEX($I$6:$I$47,MATCH("E1",$A$6:$A$47,0))="0")),AND(A8="B2",UPPER(TRIM(INDEX($I$6:$I$47,MATCH("B1",$A$6:$A$47,0))&amp;""))="N/A"),AND(OR(A8="D1",A8="D2",A8="D3",A8="D4",A8="D5"),UPPER(TRIM(INDEX($I$6:$I$47,MATCH("C1",$A$6:$A$47,0))&amp;""))="N/A"))</f>
        <v/>
      </c>
      <c r="AB8" s="26" t="inlineStr">
        <is>
          <t>15.1;13.3</t>
        </is>
      </c>
      <c r="AC8">
        <f>IF(AND(NOT(AA8),AND(NOT(I8=""),NOT(UPPER(TRIM(I8&amp;""))="N/A"),NOT(UPPER(TRIM(I8&amp;""))="NOT TESTED"),NOT(AND(ISNUMBER(IFERROR(VALUE(I8&amp;""),"")),OR(IFERROR(VALUE(I8&amp;""),"")=0,IFERROR(VALUE(I8&amp;""),"")=1,IFERROR(VALUE(I8&amp;""),"")=2,IFERROR(VALUE(I8&amp;""),"")=3))))),1,0)</f>
        <v/>
      </c>
    </row>
    <row r="9" ht="48" customHeight="1" s="79">
      <c r="A9" s="27" t="inlineStr">
        <is>
          <t>B1</t>
        </is>
      </c>
      <c r="B9" s="28" t="inlineStr">
        <is>
          <t>Criteria</t>
        </is>
      </c>
      <c r="C9" s="29" t="inlineStr">
        <is>
          <t>Findings</t>
        </is>
      </c>
      <c r="D9" s="30" t="inlineStr">
        <is>
          <t>Must</t>
        </is>
      </c>
      <c r="E9" s="28" t="inlineStr">
        <is>
          <t>Evaluation criteria are identified</t>
        </is>
      </c>
      <c r="F9" s="28" t="inlineStr">
        <is>
          <t>The report names the benchmark: a policy, law, regulation, contract, framework, or stated control objective. “As per practice” or “key controls,” with no source, scores 1. Use N/A only for an advisory engagement whose terms did not require criteria.</t>
        </is>
      </c>
      <c r="G9" s="28">
        <f>"13.4 "&amp;INDEX('6. Standards'!$B$5:$B$21,MATCH("13.4",'6. Standards'!$A$5:$A$21,0))&amp;" — "&amp;INDEX('6. Standards'!$C$5:$C$21,MATCH("13.4",'6. Standards'!$A$5:$A$21,0))&amp;CHAR(10)&amp;"14.2 "&amp;INDEX('6. Standards'!$B$5:$B$21,MATCH("14.2",'6. Standards'!$A$5:$A$21,0))&amp;" — "&amp;INDEX('6. Standards'!$C$5:$C$21,MATCH("14.2",'6. Standards'!$A$5:$A$21,0))</f>
        <v/>
      </c>
      <c r="H9" s="28">
        <f>"No other line switches this off."&amp;IF(COUNTA('4. Findings'!A8:A27)=0,""," Findings sheet, criteria: "&amp;COUNTIF('4. Findings'!C$8:C$27,"Y")&amp;" Y, "&amp;COUNTIF('4. Findings'!C$8:C$27,"P")&amp;" P, "&amp;COUNTIF('4. Findings'!C$8:C$27,"N")&amp;" N.")</f>
        <v/>
      </c>
      <c r="I9" s="77" t="n"/>
      <c r="J9" s="77" t="n"/>
      <c r="K9" s="77" t="n"/>
      <c r="L9" s="29" t="inlineStr">
        <is>
          <t>Yes</t>
        </is>
      </c>
      <c r="M9" s="29" t="inlineStr">
        <is>
          <t>No</t>
        </is>
      </c>
      <c r="N9" s="73">
        <f>IF(OR(OR(AA9,AND(UPPER(TRIM(I9&amp;""))="N/A",L9="Yes"),AND(UPPER(TRIM(I9&amp;""))="NOT TESTED",M9="Yes")),OR(AND(UPPER(TRIM(I9&amp;""))="N/A",L9&lt;&gt;"Yes"),AND(UPPER(TRIM(I9&amp;""))="NOT TESTED",M9&lt;&gt;"Yes"),AND(NOT(I9=""),NOT(UPPER(TRIM(I9&amp;""))="N/A"),NOT(UPPER(TRIM(I9&amp;""))="NOT TESTED"),NOT(AND(ISNUMBER(IFERROR(VALUE(I9&amp;""),"")),OR(IFERROR(VALUE(I9&amp;""),"")=0,IFERROR(VALUE(I9&amp;""),"")=1,IFERROR(VALUE(I9&amp;""),"")=2,IFERROR(VALUE(I9&amp;""),"")=3)))))),0,IF(AND(ISNUMBER(IFERROR(VALUE(I9&amp;""),"")),OR(IFERROR(VALUE(I9&amp;""),"")=0,IFERROR(VALUE(I9&amp;""),"")=1,IFERROR(VALUE(I9&amp;""),"")=2,IFERROR(VALUE(I9&amp;""),"")=3)),IFERROR(VALUE(I9&amp;""),"")*IF(D9="Must",2,1),0))</f>
        <v/>
      </c>
      <c r="O9" s="73">
        <f>IF(OR(AA9,AND(UPPER(TRIM(I9&amp;""))="N/A",L9="Yes"),AND(UPPER(TRIM(I9&amp;""))="NOT TESTED",M9="Yes")),0,IF(OR(OR(AND(UPPER(TRIM(I9&amp;""))="N/A",L9&lt;&gt;"Yes"),AND(UPPER(TRIM(I9&amp;""))="NOT TESTED",M9&lt;&gt;"Yes"),AND(NOT(I9=""),NOT(UPPER(TRIM(I9&amp;""))="N/A"),NOT(UPPER(TRIM(I9&amp;""))="NOT TESTED"),NOT(AND(ISNUMBER(IFERROR(VALUE(I9&amp;""),"")),OR(IFERROR(VALUE(I9&amp;""),"")=0,IFERROR(VALUE(I9&amp;""),"")=1,IFERROR(VALUE(I9&amp;""),"")=2,IFERROR(VALUE(I9&amp;""),"")=3))))),AND(ISNUMBER(IFERROR(VALUE(I9&amp;""),"")),OR(IFERROR(VALUE(I9&amp;""),"")=0,IFERROR(VALUE(I9&amp;""),"")=1,IFERROR(VALUE(I9&amp;""),"")=2,IFERROR(VALUE(I9&amp;""),"")=3))),3*IF(D9="Must",2,1),0))</f>
        <v/>
      </c>
      <c r="P9" s="74">
        <f>IF(OR(AA9,NOT(AND(D9="Must",ISNUMBER(X9),X9=0))),0,1)</f>
        <v/>
      </c>
      <c r="Q9" s="74">
        <f>IF(OR(AA9,NOT(AND(D9="Must",ISNUMBER(X9),X9=1))),0,1)</f>
        <v/>
      </c>
      <c r="R9" s="74">
        <f>IF(AND(NOT(AA9),D9="Must",I9=""),1,0)</f>
        <v/>
      </c>
      <c r="S9" s="74">
        <f>IF(AND(NOT(AA9),UPPER(TRIM(I9&amp;""))="N/A",L9&lt;&gt;"Yes"),1,0)</f>
        <v/>
      </c>
      <c r="T9" s="74">
        <f>IF(AND(NOT(AA9),UPPER(TRIM(I9&amp;""))="NOT TESTED",M9&lt;&gt;"Yes"),1,0)</f>
        <v/>
      </c>
      <c r="U9" s="74">
        <f>IF(OR(AA9,NOT(AND(D9="Should",ISNUMBER(X9),X9=0))),0,1)</f>
        <v/>
      </c>
      <c r="V9" s="74">
        <f>IF(OR(AA9,NOT(AND(D9="Should",ISNUMBER(X9),X9=1))),0,1)</f>
        <v/>
      </c>
      <c r="W9" s="74">
        <f>IF(OR(I9="",AA9),0,1)</f>
        <v/>
      </c>
      <c r="X9" s="74">
        <f>IF(I9="","",IF(UPPER(TRIM(I9&amp;""))="N/A","N/A",IF(UPPER(TRIM(I9&amp;""))="NOT TESTED","NT",IF(AND(ISNUMBER(IFERROR(VALUE(I9&amp;""),"")),OR(IFERROR(VALUE(I9&amp;""),"")=0,IFERROR(VALUE(I9&amp;""),"")=1,IFERROR(VALUE(I9&amp;""),"")=2,IFERROR(VALUE(I9&amp;""),"")=3)),IFERROR(VALUE(I9&amp;""),""),"BAD"))))</f>
        <v/>
      </c>
      <c r="Y9" s="74">
        <f>IF(OR(AA9,NOT(OR(AND(D9="Must",I9="",SUM($W$6:$W$47)&gt;0),AND(ISNUMBER(X9),X9&lt;2),AND(UPPER(TRIM(I9&amp;""))="N/A",L9&lt;&gt;"Yes"),AND(UPPER(TRIM(I9&amp;""))="NOT TESTED",M9&lt;&gt;"Yes"),AND(NOT(I9=""),NOT(UPPER(TRIM(I9&amp;""))="N/A"),NOT(UPPER(TRIM(I9&amp;""))="NOT TESTED"),NOT(AND(ISNUMBER(IFERROR(VALUE(I9&amp;""),"")),OR(IFERROR(VALUE(I9&amp;""),"")=0,IFERROR(VALUE(I9&amp;""),"")=1,IFERROR(VALUE(I9&amp;""),"")=2,IFERROR(VALUE(I9&amp;""),"")=3))))))),0,1)</f>
        <v/>
      </c>
      <c r="Z9" s="74">
        <f>IF(Y9=1,COUNTIF($Y$6:Y9,1),0)</f>
        <v/>
      </c>
      <c r="AA9" s="74">
        <f>OR(AND(LEFT(A9,1)="O",EngagementType&lt;&gt;"Overall opinion"),AND(A9="G3",StandardsEra="Before 9 January 2025"),AND(A9="E2",OR(INDEX($I$6:$I$47,MATCH("E1",$A$6:$A$47,0))=0,INDEX($I$6:$I$47,MATCH("E1",$A$6:$A$47,0))="0")),AND(A9="B2",UPPER(TRIM(INDEX($I$6:$I$47,MATCH("B1",$A$6:$A$47,0))&amp;""))="N/A"),AND(OR(A9="D1",A9="D2",A9="D3",A9="D4",A9="D5"),UPPER(TRIM(INDEX($I$6:$I$47,MATCH("C1",$A$6:$A$47,0))&amp;""))="N/A"))</f>
        <v/>
      </c>
      <c r="AB9" s="26" t="inlineStr">
        <is>
          <t>13.4;14.2</t>
        </is>
      </c>
      <c r="AC9">
        <f>IF(AND(NOT(AA9),AND(NOT(I9=""),NOT(UPPER(TRIM(I9&amp;""))="N/A"),NOT(UPPER(TRIM(I9&amp;""))="NOT TESTED"),NOT(AND(ISNUMBER(IFERROR(VALUE(I9&amp;""),"")),OR(IFERROR(VALUE(I9&amp;""),"")=0,IFERROR(VALUE(I9&amp;""),"")=1,IFERROR(VALUE(I9&amp;""),"")=2,IFERROR(VALUE(I9&amp;""),"")=3))))),1,0)</f>
        <v/>
      </c>
    </row>
    <row r="10" ht="48" customHeight="1" s="79">
      <c r="A10" s="27" t="inlineStr">
        <is>
          <t>B2</t>
        </is>
      </c>
      <c r="B10" s="28" t="inlineStr">
        <is>
          <t>Criteria</t>
        </is>
      </c>
      <c r="C10" s="29" t="inlineStr">
        <is>
          <t>Findings</t>
        </is>
      </c>
      <c r="D10" s="30" t="inlineStr">
        <is>
          <t>Must</t>
        </is>
      </c>
      <c r="E10" s="28" t="inlineStr">
        <is>
          <t>Criteria are adequate</t>
        </is>
      </c>
      <c r="F10" s="28" t="inlineStr">
        <is>
          <t>The criteria are relevant, aligned to the objectives of the activity, and able to support a reliable comparison. Another competent auditor could apply them. Use N/A when B1 is N/A.</t>
        </is>
      </c>
      <c r="G10" s="28">
        <f>"13.4 "&amp;INDEX('6. Standards'!$B$5:$B$21,MATCH("13.4",'6. Standards'!$A$5:$A$21,0))&amp;" — "&amp;INDEX('6. Standards'!$C$5:$C$21,MATCH("13.4",'6. Standards'!$A$5:$A$21,0))</f>
        <v/>
      </c>
      <c r="H10" s="28">
        <f>IF(UPPER(TRIM(INDEX($I$6:$I$47,MATCH("B1",$A$6:$A$47,0))&amp;""))="N/A","Off. "&amp;INDEX($A$6:$A$47,MATCH("B1",$A$6:$A$47,0))&amp;" is N/A, so this line is not scored.","On. Use N/A only when "&amp;INDEX($A$6:$A$47,MATCH("B1",$A$6:$A$47,0))&amp;" is N/A. "&amp;INDEX($A$6:$A$47,MATCH("B1",$A$6:$A$47,0))&amp;" is "&amp;IF(INDEX($I$6:$I$47,MATCH("B1",$A$6:$A$47,0))="","blank",INDEX($I$6:$I$47,MATCH("B1",$A$6:$A$47,0)))&amp;".")&amp;IF(COUNTA('4. Findings'!A8:A27)=0,""," Findings sheet, criteria: "&amp;COUNTIF('4. Findings'!C$8:C$27,"Y")&amp;" Y, "&amp;COUNTIF('4. Findings'!C$8:C$27,"P")&amp;" P, "&amp;COUNTIF('4. Findings'!C$8:C$27,"N")&amp;" N.")</f>
        <v/>
      </c>
      <c r="I10" s="77" t="n"/>
      <c r="J10" s="77" t="n"/>
      <c r="K10" s="77" t="n"/>
      <c r="L10" s="29" t="inlineStr">
        <is>
          <t>Yes</t>
        </is>
      </c>
      <c r="M10" s="29" t="inlineStr">
        <is>
          <t>No</t>
        </is>
      </c>
      <c r="N10" s="73">
        <f>IF(OR(OR(AA10,AND(UPPER(TRIM(I10&amp;""))="N/A",L10="Yes"),AND(UPPER(TRIM(I10&amp;""))="NOT TESTED",M10="Yes")),OR(AND(UPPER(TRIM(I10&amp;""))="N/A",L10&lt;&gt;"Yes"),AND(UPPER(TRIM(I10&amp;""))="NOT TESTED",M10&lt;&gt;"Yes"),AND(NOT(I10=""),NOT(UPPER(TRIM(I10&amp;""))="N/A"),NOT(UPPER(TRIM(I10&amp;""))="NOT TESTED"),NOT(AND(ISNUMBER(IFERROR(VALUE(I10&amp;""),"")),OR(IFERROR(VALUE(I10&amp;""),"")=0,IFERROR(VALUE(I10&amp;""),"")=1,IFERROR(VALUE(I10&amp;""),"")=2,IFERROR(VALUE(I10&amp;""),"")=3)))))),0,IF(AND(ISNUMBER(IFERROR(VALUE(I10&amp;""),"")),OR(IFERROR(VALUE(I10&amp;""),"")=0,IFERROR(VALUE(I10&amp;""),"")=1,IFERROR(VALUE(I10&amp;""),"")=2,IFERROR(VALUE(I10&amp;""),"")=3)),IFERROR(VALUE(I10&amp;""),"")*IF(D10="Must",2,1),0))</f>
        <v/>
      </c>
      <c r="O10" s="73">
        <f>IF(OR(AA10,AND(UPPER(TRIM(I10&amp;""))="N/A",L10="Yes"),AND(UPPER(TRIM(I10&amp;""))="NOT TESTED",M10="Yes")),0,IF(OR(OR(AND(UPPER(TRIM(I10&amp;""))="N/A",L10&lt;&gt;"Yes"),AND(UPPER(TRIM(I10&amp;""))="NOT TESTED",M10&lt;&gt;"Yes"),AND(NOT(I10=""),NOT(UPPER(TRIM(I10&amp;""))="N/A"),NOT(UPPER(TRIM(I10&amp;""))="NOT TESTED"),NOT(AND(ISNUMBER(IFERROR(VALUE(I10&amp;""),"")),OR(IFERROR(VALUE(I10&amp;""),"")=0,IFERROR(VALUE(I10&amp;""),"")=1,IFERROR(VALUE(I10&amp;""),"")=2,IFERROR(VALUE(I10&amp;""),"")=3))))),AND(ISNUMBER(IFERROR(VALUE(I10&amp;""),"")),OR(IFERROR(VALUE(I10&amp;""),"")=0,IFERROR(VALUE(I10&amp;""),"")=1,IFERROR(VALUE(I10&amp;""),"")=2,IFERROR(VALUE(I10&amp;""),"")=3))),3*IF(D10="Must",2,1),0))</f>
        <v/>
      </c>
      <c r="P10" s="74">
        <f>IF(OR(AA10,NOT(AND(D10="Must",ISNUMBER(X10),X10=0))),0,1)</f>
        <v/>
      </c>
      <c r="Q10" s="74">
        <f>IF(OR(AA10,NOT(AND(D10="Must",ISNUMBER(X10),X10=1))),0,1)</f>
        <v/>
      </c>
      <c r="R10" s="74">
        <f>IF(AND(NOT(AA10),D10="Must",I10=""),1,0)</f>
        <v/>
      </c>
      <c r="S10" s="74">
        <f>IF(AND(NOT(AA10),UPPER(TRIM(I10&amp;""))="N/A",L10&lt;&gt;"Yes"),1,0)</f>
        <v/>
      </c>
      <c r="T10" s="74">
        <f>IF(AND(NOT(AA10),UPPER(TRIM(I10&amp;""))="NOT TESTED",M10&lt;&gt;"Yes"),1,0)</f>
        <v/>
      </c>
      <c r="U10" s="74">
        <f>IF(OR(AA10,NOT(AND(D10="Should",ISNUMBER(X10),X10=0))),0,1)</f>
        <v/>
      </c>
      <c r="V10" s="74">
        <f>IF(OR(AA10,NOT(AND(D10="Should",ISNUMBER(X10),X10=1))),0,1)</f>
        <v/>
      </c>
      <c r="W10" s="74">
        <f>IF(OR(I10="",AA10),0,1)</f>
        <v/>
      </c>
      <c r="X10" s="74">
        <f>IF(I10="","",IF(UPPER(TRIM(I10&amp;""))="N/A","N/A",IF(UPPER(TRIM(I10&amp;""))="NOT TESTED","NT",IF(AND(ISNUMBER(IFERROR(VALUE(I10&amp;""),"")),OR(IFERROR(VALUE(I10&amp;""),"")=0,IFERROR(VALUE(I10&amp;""),"")=1,IFERROR(VALUE(I10&amp;""),"")=2,IFERROR(VALUE(I10&amp;""),"")=3)),IFERROR(VALUE(I10&amp;""),""),"BAD"))))</f>
        <v/>
      </c>
      <c r="Y10" s="74">
        <f>IF(OR(AA10,NOT(OR(AND(D10="Must",I10="",SUM($W$6:$W$47)&gt;0),AND(ISNUMBER(X10),X10&lt;2),AND(UPPER(TRIM(I10&amp;""))="N/A",L10&lt;&gt;"Yes"),AND(UPPER(TRIM(I10&amp;""))="NOT TESTED",M10&lt;&gt;"Yes"),AND(NOT(I10=""),NOT(UPPER(TRIM(I10&amp;""))="N/A"),NOT(UPPER(TRIM(I10&amp;""))="NOT TESTED"),NOT(AND(ISNUMBER(IFERROR(VALUE(I10&amp;""),"")),OR(IFERROR(VALUE(I10&amp;""),"")=0,IFERROR(VALUE(I10&amp;""),"")=1,IFERROR(VALUE(I10&amp;""),"")=2,IFERROR(VALUE(I10&amp;""),"")=3))))))),0,1)</f>
        <v/>
      </c>
      <c r="Z10" s="74">
        <f>IF(Y10=1,COUNTIF($Y$6:Y10,1),0)</f>
        <v/>
      </c>
      <c r="AA10" s="74">
        <f>OR(AND(LEFT(A10,1)="O",EngagementType&lt;&gt;"Overall opinion"),AND(A10="G3",StandardsEra="Before 9 January 2025"),AND(A10="E2",OR(INDEX($I$6:$I$47,MATCH("E1",$A$6:$A$47,0))=0,INDEX($I$6:$I$47,MATCH("E1",$A$6:$A$47,0))="0")),AND(A10="B2",UPPER(TRIM(INDEX($I$6:$I$47,MATCH("B1",$A$6:$A$47,0))&amp;""))="N/A"),AND(OR(A10="D1",A10="D2",A10="D3",A10="D4",A10="D5"),UPPER(TRIM(INDEX($I$6:$I$47,MATCH("C1",$A$6:$A$47,0))&amp;""))="N/A"))</f>
        <v/>
      </c>
      <c r="AB10" s="26" t="inlineStr">
        <is>
          <t>13.4</t>
        </is>
      </c>
      <c r="AC10">
        <f>IF(AND(NOT(AA10),AND(NOT(I10=""),NOT(UPPER(TRIM(I10&amp;""))="N/A"),NOT(UPPER(TRIM(I10&amp;""))="NOT TESTED"),NOT(AND(ISNUMBER(IFERROR(VALUE(I10&amp;""),"")),OR(IFERROR(VALUE(I10&amp;""),"")=0,IFERROR(VALUE(I10&amp;""),"")=1,IFERROR(VALUE(I10&amp;""),"")=2,IFERROR(VALUE(I10&amp;""),"")=3))))),1,0)</f>
        <v/>
      </c>
    </row>
    <row r="11" ht="48" customHeight="1" s="79">
      <c r="A11" s="31" t="inlineStr">
        <is>
          <t>C1</t>
        </is>
      </c>
      <c r="B11" s="32" t="inlineStr">
        <is>
          <t>Findings</t>
        </is>
      </c>
      <c r="C11" s="33" t="inlineStr">
        <is>
          <t>Findings</t>
        </is>
      </c>
      <c r="D11" s="34" t="inlineStr">
        <is>
          <t>Must</t>
        </is>
      </c>
      <c r="E11" s="32" t="inlineStr">
        <is>
          <t>Condition is set against the criteria</t>
        </is>
      </c>
      <c r="F11" s="32" t="inlineStr">
        <is>
          <t>Each finding states what is happening and how that differs from the criteria. Use N/A only when the engagement has no findings. In that case the conclusion must give the positive assurance required by Standard 14.2.</t>
        </is>
      </c>
      <c r="G11" s="32">
        <f>"14.2 "&amp;INDEX('6. Standards'!$B$5:$B$21,MATCH("14.2",'6. Standards'!$A$5:$A$21,0))&amp;" — "&amp;INDEX('6. Standards'!$C$5:$C$21,MATCH("14.2",'6. Standards'!$A$5:$A$21,0))</f>
        <v/>
      </c>
      <c r="H11" s="32">
        <f>"No other line switches this off. Use N/A only when the engagement has no findings."&amp;IF(COUNTA('4. Findings'!A8:A27)=0,""," Findings sheet, condition: "&amp;COUNTIF('4. Findings'!D$8:D$27,"Y")&amp;" Y, "&amp;COUNTIF('4. Findings'!D$8:D$27,"P")&amp;" P, "&amp;COUNTIF('4. Findings'!D$8:D$27,"N")&amp;" N.")</f>
        <v/>
      </c>
      <c r="I11" s="77" t="n"/>
      <c r="J11" s="77" t="n"/>
      <c r="K11" s="77" t="n"/>
      <c r="L11" s="33" t="inlineStr">
        <is>
          <t>Yes</t>
        </is>
      </c>
      <c r="M11" s="33" t="inlineStr">
        <is>
          <t>No</t>
        </is>
      </c>
      <c r="N11" s="73">
        <f>IF(OR(OR(AA11,AND(UPPER(TRIM(I11&amp;""))="N/A",L11="Yes"),AND(UPPER(TRIM(I11&amp;""))="NOT TESTED",M11="Yes")),OR(AND(UPPER(TRIM(I11&amp;""))="N/A",L11&lt;&gt;"Yes"),AND(UPPER(TRIM(I11&amp;""))="NOT TESTED",M11&lt;&gt;"Yes"),AND(NOT(I11=""),NOT(UPPER(TRIM(I11&amp;""))="N/A"),NOT(UPPER(TRIM(I11&amp;""))="NOT TESTED"),NOT(AND(ISNUMBER(IFERROR(VALUE(I11&amp;""),"")),OR(IFERROR(VALUE(I11&amp;""),"")=0,IFERROR(VALUE(I11&amp;""),"")=1,IFERROR(VALUE(I11&amp;""),"")=2,IFERROR(VALUE(I11&amp;""),"")=3)))))),0,IF(AND(ISNUMBER(IFERROR(VALUE(I11&amp;""),"")),OR(IFERROR(VALUE(I11&amp;""),"")=0,IFERROR(VALUE(I11&amp;""),"")=1,IFERROR(VALUE(I11&amp;""),"")=2,IFERROR(VALUE(I11&amp;""),"")=3)),IFERROR(VALUE(I11&amp;""),"")*IF(D11="Must",2,1),0))</f>
        <v/>
      </c>
      <c r="O11" s="73">
        <f>IF(OR(AA11,AND(UPPER(TRIM(I11&amp;""))="N/A",L11="Yes"),AND(UPPER(TRIM(I11&amp;""))="NOT TESTED",M11="Yes")),0,IF(OR(OR(AND(UPPER(TRIM(I11&amp;""))="N/A",L11&lt;&gt;"Yes"),AND(UPPER(TRIM(I11&amp;""))="NOT TESTED",M11&lt;&gt;"Yes"),AND(NOT(I11=""),NOT(UPPER(TRIM(I11&amp;""))="N/A"),NOT(UPPER(TRIM(I11&amp;""))="NOT TESTED"),NOT(AND(ISNUMBER(IFERROR(VALUE(I11&amp;""),"")),OR(IFERROR(VALUE(I11&amp;""),"")=0,IFERROR(VALUE(I11&amp;""),"")=1,IFERROR(VALUE(I11&amp;""),"")=2,IFERROR(VALUE(I11&amp;""),"")=3))))),AND(ISNUMBER(IFERROR(VALUE(I11&amp;""),"")),OR(IFERROR(VALUE(I11&amp;""),"")=0,IFERROR(VALUE(I11&amp;""),"")=1,IFERROR(VALUE(I11&amp;""),"")=2,IFERROR(VALUE(I11&amp;""),"")=3))),3*IF(D11="Must",2,1),0))</f>
        <v/>
      </c>
      <c r="P11" s="74">
        <f>IF(OR(AA11,NOT(AND(D11="Must",ISNUMBER(X11),X11=0))),0,1)</f>
        <v/>
      </c>
      <c r="Q11" s="74">
        <f>IF(OR(AA11,NOT(AND(D11="Must",ISNUMBER(X11),X11=1))),0,1)</f>
        <v/>
      </c>
      <c r="R11" s="74">
        <f>IF(AND(NOT(AA11),D11="Must",I11=""),1,0)</f>
        <v/>
      </c>
      <c r="S11" s="74">
        <f>IF(AND(NOT(AA11),UPPER(TRIM(I11&amp;""))="N/A",L11&lt;&gt;"Yes"),1,0)</f>
        <v/>
      </c>
      <c r="T11" s="74">
        <f>IF(AND(NOT(AA11),UPPER(TRIM(I11&amp;""))="NOT TESTED",M11&lt;&gt;"Yes"),1,0)</f>
        <v/>
      </c>
      <c r="U11" s="74">
        <f>IF(OR(AA11,NOT(AND(D11="Should",ISNUMBER(X11),X11=0))),0,1)</f>
        <v/>
      </c>
      <c r="V11" s="74">
        <f>IF(OR(AA11,NOT(AND(D11="Should",ISNUMBER(X11),X11=1))),0,1)</f>
        <v/>
      </c>
      <c r="W11" s="74">
        <f>IF(OR(I11="",AA11),0,1)</f>
        <v/>
      </c>
      <c r="X11" s="74">
        <f>IF(I11="","",IF(UPPER(TRIM(I11&amp;""))="N/A","N/A",IF(UPPER(TRIM(I11&amp;""))="NOT TESTED","NT",IF(AND(ISNUMBER(IFERROR(VALUE(I11&amp;""),"")),OR(IFERROR(VALUE(I11&amp;""),"")=0,IFERROR(VALUE(I11&amp;""),"")=1,IFERROR(VALUE(I11&amp;""),"")=2,IFERROR(VALUE(I11&amp;""),"")=3)),IFERROR(VALUE(I11&amp;""),""),"BAD"))))</f>
        <v/>
      </c>
      <c r="Y11" s="74">
        <f>IF(OR(AA11,NOT(OR(AND(D11="Must",I11="",SUM($W$6:$W$47)&gt;0),AND(ISNUMBER(X11),X11&lt;2),AND(UPPER(TRIM(I11&amp;""))="N/A",L11&lt;&gt;"Yes"),AND(UPPER(TRIM(I11&amp;""))="NOT TESTED",M11&lt;&gt;"Yes"),AND(NOT(I11=""),NOT(UPPER(TRIM(I11&amp;""))="N/A"),NOT(UPPER(TRIM(I11&amp;""))="NOT TESTED"),NOT(AND(ISNUMBER(IFERROR(VALUE(I11&amp;""),"")),OR(IFERROR(VALUE(I11&amp;""),"")=0,IFERROR(VALUE(I11&amp;""),"")=1,IFERROR(VALUE(I11&amp;""),"")=2,IFERROR(VALUE(I11&amp;""),"")=3))))))),0,1)</f>
        <v/>
      </c>
      <c r="Z11" s="74">
        <f>IF(Y11=1,COUNTIF($Y$6:Y11,1),0)</f>
        <v/>
      </c>
      <c r="AA11" s="74">
        <f>OR(AND(LEFT(A11,1)="O",EngagementType&lt;&gt;"Overall opinion"),AND(A11="G3",StandardsEra="Before 9 January 2025"),AND(A11="E2",OR(INDEX($I$6:$I$47,MATCH("E1",$A$6:$A$47,0))=0,INDEX($I$6:$I$47,MATCH("E1",$A$6:$A$47,0))="0")),AND(A11="B2",UPPER(TRIM(INDEX($I$6:$I$47,MATCH("B1",$A$6:$A$47,0))&amp;""))="N/A"),AND(OR(A11="D1",A11="D2",A11="D3",A11="D4",A11="D5"),UPPER(TRIM(INDEX($I$6:$I$47,MATCH("C1",$A$6:$A$47,0))&amp;""))="N/A"))</f>
        <v/>
      </c>
      <c r="AB11" s="26" t="inlineStr">
        <is>
          <t>14.2</t>
        </is>
      </c>
      <c r="AC11">
        <f>IF(AND(NOT(AA11),AND(NOT(I11=""),NOT(UPPER(TRIM(I11&amp;""))="N/A"),NOT(UPPER(TRIM(I11&amp;""))="NOT TESTED"),NOT(AND(ISNUMBER(IFERROR(VALUE(I11&amp;""),"")),OR(IFERROR(VALUE(I11&amp;""),"")=0,IFERROR(VALUE(I11&amp;""),"")=1,IFERROR(VALUE(I11&amp;""),"")=2,IFERROR(VALUE(I11&amp;""),"")=3))))),1,0)</f>
        <v/>
      </c>
    </row>
    <row r="12" ht="48" customHeight="1" s="79">
      <c r="A12" s="31" t="inlineStr">
        <is>
          <t>C2</t>
        </is>
      </c>
      <c r="B12" s="32" t="inlineStr">
        <is>
          <t>Findings</t>
        </is>
      </c>
      <c r="C12" s="33" t="inlineStr">
        <is>
          <t>Findings</t>
        </is>
      </c>
      <c r="D12" s="34" t="inlineStr">
        <is>
          <t>Must</t>
        </is>
      </c>
      <c r="E12" s="32" t="inlineStr">
        <is>
          <t>Root cause is identified when it can be</t>
        </is>
      </c>
      <c r="F12" s="32" t="inlineStr">
        <is>
          <t>The report gives the cause of the difference and, where it can be determined, the root cause. Saying the cause could not be determined, and why, scores 2. Restating the condition scores 1. Silence scores 1. Score 0 only when a significant finding asserts a cause that the evidence contradicts.</t>
        </is>
      </c>
      <c r="G12" s="32">
        <f>"14.3 "&amp;INDEX('6. Standards'!$B$5:$B$21,MATCH("14.3",'6. Standards'!$A$5:$A$21,0))&amp;" — "&amp;INDEX('6. Standards'!$C$5:$C$21,MATCH("14.3",'6. Standards'!$A$5:$A$21,0))</f>
        <v/>
      </c>
      <c r="H12" s="32">
        <f>"No other line switches this off."&amp;IF(COUNTA('4. Findings'!A8:A27)=0,""," Findings sheet, cause: "&amp;COUNTIF('4. Findings'!E$8:E$27,"Y")&amp;" Y, "&amp;COUNTIF('4. Findings'!E$8:E$27,"P")&amp;" P, "&amp;COUNTIF('4. Findings'!E$8:E$27,"N")&amp;" N.")</f>
        <v/>
      </c>
      <c r="I12" s="77" t="n"/>
      <c r="J12" s="77" t="n"/>
      <c r="K12" s="77" t="n"/>
      <c r="L12" s="33" t="inlineStr">
        <is>
          <t>No</t>
        </is>
      </c>
      <c r="M12" s="33" t="inlineStr">
        <is>
          <t>No</t>
        </is>
      </c>
      <c r="N12" s="73">
        <f>IF(OR(OR(AA12,AND(UPPER(TRIM(I12&amp;""))="N/A",L12="Yes"),AND(UPPER(TRIM(I12&amp;""))="NOT TESTED",M12="Yes")),OR(AND(UPPER(TRIM(I12&amp;""))="N/A",L12&lt;&gt;"Yes"),AND(UPPER(TRIM(I12&amp;""))="NOT TESTED",M12&lt;&gt;"Yes"),AND(NOT(I12=""),NOT(UPPER(TRIM(I12&amp;""))="N/A"),NOT(UPPER(TRIM(I12&amp;""))="NOT TESTED"),NOT(AND(ISNUMBER(IFERROR(VALUE(I12&amp;""),"")),OR(IFERROR(VALUE(I12&amp;""),"")=0,IFERROR(VALUE(I12&amp;""),"")=1,IFERROR(VALUE(I12&amp;""),"")=2,IFERROR(VALUE(I12&amp;""),"")=3)))))),0,IF(AND(ISNUMBER(IFERROR(VALUE(I12&amp;""),"")),OR(IFERROR(VALUE(I12&amp;""),"")=0,IFERROR(VALUE(I12&amp;""),"")=1,IFERROR(VALUE(I12&amp;""),"")=2,IFERROR(VALUE(I12&amp;""),"")=3)),IFERROR(VALUE(I12&amp;""),"")*IF(D12="Must",2,1),0))</f>
        <v/>
      </c>
      <c r="O12" s="73">
        <f>IF(OR(AA12,AND(UPPER(TRIM(I12&amp;""))="N/A",L12="Yes"),AND(UPPER(TRIM(I12&amp;""))="NOT TESTED",M12="Yes")),0,IF(OR(OR(AND(UPPER(TRIM(I12&amp;""))="N/A",L12&lt;&gt;"Yes"),AND(UPPER(TRIM(I12&amp;""))="NOT TESTED",M12&lt;&gt;"Yes"),AND(NOT(I12=""),NOT(UPPER(TRIM(I12&amp;""))="N/A"),NOT(UPPER(TRIM(I12&amp;""))="NOT TESTED"),NOT(AND(ISNUMBER(IFERROR(VALUE(I12&amp;""),"")),OR(IFERROR(VALUE(I12&amp;""),"")=0,IFERROR(VALUE(I12&amp;""),"")=1,IFERROR(VALUE(I12&amp;""),"")=2,IFERROR(VALUE(I12&amp;""),"")=3))))),AND(ISNUMBER(IFERROR(VALUE(I12&amp;""),"")),OR(IFERROR(VALUE(I12&amp;""),"")=0,IFERROR(VALUE(I12&amp;""),"")=1,IFERROR(VALUE(I12&amp;""),"")=2,IFERROR(VALUE(I12&amp;""),"")=3))),3*IF(D12="Must",2,1),0))</f>
        <v/>
      </c>
      <c r="P12" s="74">
        <f>IF(OR(AA12,NOT(AND(D12="Must",ISNUMBER(X12),X12=0))),0,1)</f>
        <v/>
      </c>
      <c r="Q12" s="74">
        <f>IF(OR(AA12,NOT(AND(D12="Must",ISNUMBER(X12),X12=1))),0,1)</f>
        <v/>
      </c>
      <c r="R12" s="74">
        <f>IF(AND(NOT(AA12),D12="Must",I12=""),1,0)</f>
        <v/>
      </c>
      <c r="S12" s="74">
        <f>IF(AND(NOT(AA12),UPPER(TRIM(I12&amp;""))="N/A",L12&lt;&gt;"Yes"),1,0)</f>
        <v/>
      </c>
      <c r="T12" s="74">
        <f>IF(AND(NOT(AA12),UPPER(TRIM(I12&amp;""))="NOT TESTED",M12&lt;&gt;"Yes"),1,0)</f>
        <v/>
      </c>
      <c r="U12" s="74">
        <f>IF(OR(AA12,NOT(AND(D12="Should",ISNUMBER(X12),X12=0))),0,1)</f>
        <v/>
      </c>
      <c r="V12" s="74">
        <f>IF(OR(AA12,NOT(AND(D12="Should",ISNUMBER(X12),X12=1))),0,1)</f>
        <v/>
      </c>
      <c r="W12" s="74">
        <f>IF(OR(I12="",AA12),0,1)</f>
        <v/>
      </c>
      <c r="X12" s="74">
        <f>IF(I12="","",IF(UPPER(TRIM(I12&amp;""))="N/A","N/A",IF(UPPER(TRIM(I12&amp;""))="NOT TESTED","NT",IF(AND(ISNUMBER(IFERROR(VALUE(I12&amp;""),"")),OR(IFERROR(VALUE(I12&amp;""),"")=0,IFERROR(VALUE(I12&amp;""),"")=1,IFERROR(VALUE(I12&amp;""),"")=2,IFERROR(VALUE(I12&amp;""),"")=3)),IFERROR(VALUE(I12&amp;""),""),"BAD"))))</f>
        <v/>
      </c>
      <c r="Y12" s="74">
        <f>IF(OR(AA12,NOT(OR(AND(D12="Must",I12="",SUM($W$6:$W$47)&gt;0),AND(ISNUMBER(X12),X12&lt;2),AND(UPPER(TRIM(I12&amp;""))="N/A",L12&lt;&gt;"Yes"),AND(UPPER(TRIM(I12&amp;""))="NOT TESTED",M12&lt;&gt;"Yes"),AND(NOT(I12=""),NOT(UPPER(TRIM(I12&amp;""))="N/A"),NOT(UPPER(TRIM(I12&amp;""))="NOT TESTED"),NOT(AND(ISNUMBER(IFERROR(VALUE(I12&amp;""),"")),OR(IFERROR(VALUE(I12&amp;""),"")=0,IFERROR(VALUE(I12&amp;""),"")=1,IFERROR(VALUE(I12&amp;""),"")=2,IFERROR(VALUE(I12&amp;""),"")=3))))))),0,1)</f>
        <v/>
      </c>
      <c r="Z12" s="74">
        <f>IF(Y12=1,COUNTIF($Y$6:Y12,1),0)</f>
        <v/>
      </c>
      <c r="AA12" s="74">
        <f>OR(AND(LEFT(A12,1)="O",EngagementType&lt;&gt;"Overall opinion"),AND(A12="G3",StandardsEra="Before 9 January 2025"),AND(A12="E2",OR(INDEX($I$6:$I$47,MATCH("E1",$A$6:$A$47,0))=0,INDEX($I$6:$I$47,MATCH("E1",$A$6:$A$47,0))="0")),AND(A12="B2",UPPER(TRIM(INDEX($I$6:$I$47,MATCH("B1",$A$6:$A$47,0))&amp;""))="N/A"),AND(OR(A12="D1",A12="D2",A12="D3",A12="D4",A12="D5"),UPPER(TRIM(INDEX($I$6:$I$47,MATCH("C1",$A$6:$A$47,0))&amp;""))="N/A"))</f>
        <v/>
      </c>
      <c r="AB12" s="26" t="inlineStr">
        <is>
          <t>14.3</t>
        </is>
      </c>
      <c r="AC12">
        <f>IF(AND(NOT(AA12),AND(NOT(I12=""),NOT(UPPER(TRIM(I12&amp;""))="N/A"),NOT(UPPER(TRIM(I12&amp;""))="NOT TESTED"),NOT(AND(ISNUMBER(IFERROR(VALUE(I12&amp;""),"")),OR(IFERROR(VALUE(I12&amp;""),"")=0,IFERROR(VALUE(I12&amp;""),"")=1,IFERROR(VALUE(I12&amp;""),"")=2,IFERROR(VALUE(I12&amp;""),"")=3))))),1,0)</f>
        <v/>
      </c>
    </row>
    <row r="13" ht="48" customHeight="1" s="79">
      <c r="A13" s="31" t="inlineStr">
        <is>
          <t>C3</t>
        </is>
      </c>
      <c r="B13" s="32" t="inlineStr">
        <is>
          <t>Findings</t>
        </is>
      </c>
      <c r="C13" s="33" t="inlineStr">
        <is>
          <t>Findings</t>
        </is>
      </c>
      <c r="D13" s="34" t="inlineStr">
        <is>
          <t>Must</t>
        </is>
      </c>
      <c r="E13" s="32" t="inlineStr">
        <is>
          <t>Effect is evaluated</t>
        </is>
      </c>
      <c r="F13" s="32" t="inlineStr">
        <is>
          <t>The report states the effect, including the impact and, where it changes the rating, the likelihood, on governance, risk management, or control. A generic line such as “financial loss” or “business interruption,” with no link to the finding, scores 1.</t>
        </is>
      </c>
      <c r="G13" s="32">
        <f>"14.3 "&amp;INDEX('6. Standards'!$B$5:$B$21,MATCH("14.3",'6. Standards'!$A$5:$A$21,0))&amp;" — "&amp;INDEX('6. Standards'!$C$5:$C$21,MATCH("14.3",'6. Standards'!$A$5:$A$21,0))</f>
        <v/>
      </c>
      <c r="H13" s="32">
        <f>"No other line switches this off."&amp;IF(COUNTA('4. Findings'!A8:A27)=0,""," Findings sheet, effect: "&amp;COUNTIF('4. Findings'!F$8:F$27,"Y")&amp;" Y, "&amp;COUNTIF('4. Findings'!F$8:F$27,"P")&amp;" P, "&amp;COUNTIF('4. Findings'!F$8:F$27,"N")&amp;" N.")</f>
        <v/>
      </c>
      <c r="I13" s="77" t="n"/>
      <c r="J13" s="77" t="n"/>
      <c r="K13" s="77" t="n"/>
      <c r="L13" s="33" t="inlineStr">
        <is>
          <t>No</t>
        </is>
      </c>
      <c r="M13" s="33" t="inlineStr">
        <is>
          <t>No</t>
        </is>
      </c>
      <c r="N13" s="73">
        <f>IF(OR(OR(AA13,AND(UPPER(TRIM(I13&amp;""))="N/A",L13="Yes"),AND(UPPER(TRIM(I13&amp;""))="NOT TESTED",M13="Yes")),OR(AND(UPPER(TRIM(I13&amp;""))="N/A",L13&lt;&gt;"Yes"),AND(UPPER(TRIM(I13&amp;""))="NOT TESTED",M13&lt;&gt;"Yes"),AND(NOT(I13=""),NOT(UPPER(TRIM(I13&amp;""))="N/A"),NOT(UPPER(TRIM(I13&amp;""))="NOT TESTED"),NOT(AND(ISNUMBER(IFERROR(VALUE(I13&amp;""),"")),OR(IFERROR(VALUE(I13&amp;""),"")=0,IFERROR(VALUE(I13&amp;""),"")=1,IFERROR(VALUE(I13&amp;""),"")=2,IFERROR(VALUE(I13&amp;""),"")=3)))))),0,IF(AND(ISNUMBER(IFERROR(VALUE(I13&amp;""),"")),OR(IFERROR(VALUE(I13&amp;""),"")=0,IFERROR(VALUE(I13&amp;""),"")=1,IFERROR(VALUE(I13&amp;""),"")=2,IFERROR(VALUE(I13&amp;""),"")=3)),IFERROR(VALUE(I13&amp;""),"")*IF(D13="Must",2,1),0))</f>
        <v/>
      </c>
      <c r="O13" s="73">
        <f>IF(OR(AA13,AND(UPPER(TRIM(I13&amp;""))="N/A",L13="Yes"),AND(UPPER(TRIM(I13&amp;""))="NOT TESTED",M13="Yes")),0,IF(OR(OR(AND(UPPER(TRIM(I13&amp;""))="N/A",L13&lt;&gt;"Yes"),AND(UPPER(TRIM(I13&amp;""))="NOT TESTED",M13&lt;&gt;"Yes"),AND(NOT(I13=""),NOT(UPPER(TRIM(I13&amp;""))="N/A"),NOT(UPPER(TRIM(I13&amp;""))="NOT TESTED"),NOT(AND(ISNUMBER(IFERROR(VALUE(I13&amp;""),"")),OR(IFERROR(VALUE(I13&amp;""),"")=0,IFERROR(VALUE(I13&amp;""),"")=1,IFERROR(VALUE(I13&amp;""),"")=2,IFERROR(VALUE(I13&amp;""),"")=3))))),AND(ISNUMBER(IFERROR(VALUE(I13&amp;""),"")),OR(IFERROR(VALUE(I13&amp;""),"")=0,IFERROR(VALUE(I13&amp;""),"")=1,IFERROR(VALUE(I13&amp;""),"")=2,IFERROR(VALUE(I13&amp;""),"")=3))),3*IF(D13="Must",2,1),0))</f>
        <v/>
      </c>
      <c r="P13" s="74">
        <f>IF(OR(AA13,NOT(AND(D13="Must",ISNUMBER(X13),X13=0))),0,1)</f>
        <v/>
      </c>
      <c r="Q13" s="74">
        <f>IF(OR(AA13,NOT(AND(D13="Must",ISNUMBER(X13),X13=1))),0,1)</f>
        <v/>
      </c>
      <c r="R13" s="74">
        <f>IF(AND(NOT(AA13),D13="Must",I13=""),1,0)</f>
        <v/>
      </c>
      <c r="S13" s="74">
        <f>IF(AND(NOT(AA13),UPPER(TRIM(I13&amp;""))="N/A",L13&lt;&gt;"Yes"),1,0)</f>
        <v/>
      </c>
      <c r="T13" s="74">
        <f>IF(AND(NOT(AA13),UPPER(TRIM(I13&amp;""))="NOT TESTED",M13&lt;&gt;"Yes"),1,0)</f>
        <v/>
      </c>
      <c r="U13" s="74">
        <f>IF(OR(AA13,NOT(AND(D13="Should",ISNUMBER(X13),X13=0))),0,1)</f>
        <v/>
      </c>
      <c r="V13" s="74">
        <f>IF(OR(AA13,NOT(AND(D13="Should",ISNUMBER(X13),X13=1))),0,1)</f>
        <v/>
      </c>
      <c r="W13" s="74">
        <f>IF(OR(I13="",AA13),0,1)</f>
        <v/>
      </c>
      <c r="X13" s="74">
        <f>IF(I13="","",IF(UPPER(TRIM(I13&amp;""))="N/A","N/A",IF(UPPER(TRIM(I13&amp;""))="NOT TESTED","NT",IF(AND(ISNUMBER(IFERROR(VALUE(I13&amp;""),"")),OR(IFERROR(VALUE(I13&amp;""),"")=0,IFERROR(VALUE(I13&amp;""),"")=1,IFERROR(VALUE(I13&amp;""),"")=2,IFERROR(VALUE(I13&amp;""),"")=3)),IFERROR(VALUE(I13&amp;""),""),"BAD"))))</f>
        <v/>
      </c>
      <c r="Y13" s="74">
        <f>IF(OR(AA13,NOT(OR(AND(D13="Must",I13="",SUM($W$6:$W$47)&gt;0),AND(ISNUMBER(X13),X13&lt;2),AND(UPPER(TRIM(I13&amp;""))="N/A",L13&lt;&gt;"Yes"),AND(UPPER(TRIM(I13&amp;""))="NOT TESTED",M13&lt;&gt;"Yes"),AND(NOT(I13=""),NOT(UPPER(TRIM(I13&amp;""))="N/A"),NOT(UPPER(TRIM(I13&amp;""))="NOT TESTED"),NOT(AND(ISNUMBER(IFERROR(VALUE(I13&amp;""),"")),OR(IFERROR(VALUE(I13&amp;""),"")=0,IFERROR(VALUE(I13&amp;""),"")=1,IFERROR(VALUE(I13&amp;""),"")=2,IFERROR(VALUE(I13&amp;""),"")=3))))))),0,1)</f>
        <v/>
      </c>
      <c r="Z13" s="74">
        <f>IF(Y13=1,COUNTIF($Y$6:Y13,1),0)</f>
        <v/>
      </c>
      <c r="AA13" s="74">
        <f>OR(AND(LEFT(A13,1)="O",EngagementType&lt;&gt;"Overall opinion"),AND(A13="G3",StandardsEra="Before 9 January 2025"),AND(A13="E2",OR(INDEX($I$6:$I$47,MATCH("E1",$A$6:$A$47,0))=0,INDEX($I$6:$I$47,MATCH("E1",$A$6:$A$47,0))="0")),AND(A13="B2",UPPER(TRIM(INDEX($I$6:$I$47,MATCH("B1",$A$6:$A$47,0))&amp;""))="N/A"),AND(OR(A13="D1",A13="D2",A13="D3",A13="D4",A13="D5"),UPPER(TRIM(INDEX($I$6:$I$47,MATCH("C1",$A$6:$A$47,0))&amp;""))="N/A"))</f>
        <v/>
      </c>
      <c r="AB13" s="26" t="inlineStr">
        <is>
          <t>14.3</t>
        </is>
      </c>
      <c r="AC13">
        <f>IF(AND(NOT(AA13),AND(NOT(I13=""),NOT(UPPER(TRIM(I13&amp;""))="N/A"),NOT(UPPER(TRIM(I13&amp;""))="NOT TESTED"),NOT(AND(ISNUMBER(IFERROR(VALUE(I13&amp;""),"")),OR(IFERROR(VALUE(I13&amp;""),"")=0,IFERROR(VALUE(I13&amp;""),"")=1,IFERROR(VALUE(I13&amp;""),"")=2,IFERROR(VALUE(I13&amp;""),"")=3))))),1,0)</f>
        <v/>
      </c>
    </row>
    <row r="14" ht="48" customHeight="1" s="79">
      <c r="A14" s="31" t="inlineStr">
        <is>
          <t>C4</t>
        </is>
      </c>
      <c r="B14" s="32" t="inlineStr">
        <is>
          <t>Findings</t>
        </is>
      </c>
      <c r="C14" s="33" t="inlineStr">
        <is>
          <t>Findings</t>
        </is>
      </c>
      <c r="D14" s="34" t="inlineStr">
        <is>
          <t>Must</t>
        </is>
      </c>
      <c r="E14" s="32" t="inlineStr">
        <is>
          <t>Findings are prioritised</t>
        </is>
      </c>
      <c r="F14" s="32" t="inlineStr">
        <is>
          <t>Every finding has a significance or priority, using the function’s scale, and the scale is defined or referenced. Labels with no meaning score 1. No priority scores 0. Use N/A for an advisory engagement that did not undertake to prioritise findings.</t>
        </is>
      </c>
      <c r="G14" s="32">
        <f>"14.3 "&amp;INDEX('6. Standards'!$B$5:$B$21,MATCH("14.3",'6. Standards'!$A$5:$A$21,0))&amp;" — "&amp;INDEX('6. Standards'!$C$5:$C$21,MATCH("14.3",'6. Standards'!$A$5:$A$21,0))&amp;CHAR(10)&amp;"15.1 "&amp;INDEX('6. Standards'!$B$5:$B$21,MATCH("15.1",'6. Standards'!$A$5:$A$21,0))&amp;" — "&amp;INDEX('6. Standards'!$C$5:$C$21,MATCH("15.1",'6. Standards'!$A$5:$A$21,0))</f>
        <v/>
      </c>
      <c r="H14" s="32">
        <f>"No other line switches this off."&amp;IF(COUNTA('4. Findings'!A8:A27)=0,""," Findings sheet, priority: "&amp;COUNTIF('4. Findings'!G$8:G$27,"Y")&amp;" Y, "&amp;COUNTIF('4. Findings'!G$8:G$27,"P")&amp;" P, "&amp;COUNTIF('4. Findings'!G$8:G$27,"N")&amp;" N.")</f>
        <v/>
      </c>
      <c r="I14" s="77" t="n"/>
      <c r="J14" s="77" t="n"/>
      <c r="K14" s="77" t="n"/>
      <c r="L14" s="33" t="inlineStr">
        <is>
          <t>Yes</t>
        </is>
      </c>
      <c r="M14" s="33" t="inlineStr">
        <is>
          <t>No</t>
        </is>
      </c>
      <c r="N14" s="73">
        <f>IF(OR(OR(AA14,AND(UPPER(TRIM(I14&amp;""))="N/A",L14="Yes"),AND(UPPER(TRIM(I14&amp;""))="NOT TESTED",M14="Yes")),OR(AND(UPPER(TRIM(I14&amp;""))="N/A",L14&lt;&gt;"Yes"),AND(UPPER(TRIM(I14&amp;""))="NOT TESTED",M14&lt;&gt;"Yes"),AND(NOT(I14=""),NOT(UPPER(TRIM(I14&amp;""))="N/A"),NOT(UPPER(TRIM(I14&amp;""))="NOT TESTED"),NOT(AND(ISNUMBER(IFERROR(VALUE(I14&amp;""),"")),OR(IFERROR(VALUE(I14&amp;""),"")=0,IFERROR(VALUE(I14&amp;""),"")=1,IFERROR(VALUE(I14&amp;""),"")=2,IFERROR(VALUE(I14&amp;""),"")=3)))))),0,IF(AND(ISNUMBER(IFERROR(VALUE(I14&amp;""),"")),OR(IFERROR(VALUE(I14&amp;""),"")=0,IFERROR(VALUE(I14&amp;""),"")=1,IFERROR(VALUE(I14&amp;""),"")=2,IFERROR(VALUE(I14&amp;""),"")=3)),IFERROR(VALUE(I14&amp;""),"")*IF(D14="Must",2,1),0))</f>
        <v/>
      </c>
      <c r="O14" s="73">
        <f>IF(OR(AA14,AND(UPPER(TRIM(I14&amp;""))="N/A",L14="Yes"),AND(UPPER(TRIM(I14&amp;""))="NOT TESTED",M14="Yes")),0,IF(OR(OR(AND(UPPER(TRIM(I14&amp;""))="N/A",L14&lt;&gt;"Yes"),AND(UPPER(TRIM(I14&amp;""))="NOT TESTED",M14&lt;&gt;"Yes"),AND(NOT(I14=""),NOT(UPPER(TRIM(I14&amp;""))="N/A"),NOT(UPPER(TRIM(I14&amp;""))="NOT TESTED"),NOT(AND(ISNUMBER(IFERROR(VALUE(I14&amp;""),"")),OR(IFERROR(VALUE(I14&amp;""),"")=0,IFERROR(VALUE(I14&amp;""),"")=1,IFERROR(VALUE(I14&amp;""),"")=2,IFERROR(VALUE(I14&amp;""),"")=3))))),AND(ISNUMBER(IFERROR(VALUE(I14&amp;""),"")),OR(IFERROR(VALUE(I14&amp;""),"")=0,IFERROR(VALUE(I14&amp;""),"")=1,IFERROR(VALUE(I14&amp;""),"")=2,IFERROR(VALUE(I14&amp;""),"")=3))),3*IF(D14="Must",2,1),0))</f>
        <v/>
      </c>
      <c r="P14" s="74">
        <f>IF(OR(AA14,NOT(AND(D14="Must",ISNUMBER(X14),X14=0))),0,1)</f>
        <v/>
      </c>
      <c r="Q14" s="74">
        <f>IF(OR(AA14,NOT(AND(D14="Must",ISNUMBER(X14),X14=1))),0,1)</f>
        <v/>
      </c>
      <c r="R14" s="74">
        <f>IF(AND(NOT(AA14),D14="Must",I14=""),1,0)</f>
        <v/>
      </c>
      <c r="S14" s="74">
        <f>IF(AND(NOT(AA14),UPPER(TRIM(I14&amp;""))="N/A",L14&lt;&gt;"Yes"),1,0)</f>
        <v/>
      </c>
      <c r="T14" s="74">
        <f>IF(AND(NOT(AA14),UPPER(TRIM(I14&amp;""))="NOT TESTED",M14&lt;&gt;"Yes"),1,0)</f>
        <v/>
      </c>
      <c r="U14" s="74">
        <f>IF(OR(AA14,NOT(AND(D14="Should",ISNUMBER(X14),X14=0))),0,1)</f>
        <v/>
      </c>
      <c r="V14" s="74">
        <f>IF(OR(AA14,NOT(AND(D14="Should",ISNUMBER(X14),X14=1))),0,1)</f>
        <v/>
      </c>
      <c r="W14" s="74">
        <f>IF(OR(I14="",AA14),0,1)</f>
        <v/>
      </c>
      <c r="X14" s="74">
        <f>IF(I14="","",IF(UPPER(TRIM(I14&amp;""))="N/A","N/A",IF(UPPER(TRIM(I14&amp;""))="NOT TESTED","NT",IF(AND(ISNUMBER(IFERROR(VALUE(I14&amp;""),"")),OR(IFERROR(VALUE(I14&amp;""),"")=0,IFERROR(VALUE(I14&amp;""),"")=1,IFERROR(VALUE(I14&amp;""),"")=2,IFERROR(VALUE(I14&amp;""),"")=3)),IFERROR(VALUE(I14&amp;""),""),"BAD"))))</f>
        <v/>
      </c>
      <c r="Y14" s="74">
        <f>IF(OR(AA14,NOT(OR(AND(D14="Must",I14="",SUM($W$6:$W$47)&gt;0),AND(ISNUMBER(X14),X14&lt;2),AND(UPPER(TRIM(I14&amp;""))="N/A",L14&lt;&gt;"Yes"),AND(UPPER(TRIM(I14&amp;""))="NOT TESTED",M14&lt;&gt;"Yes"),AND(NOT(I14=""),NOT(UPPER(TRIM(I14&amp;""))="N/A"),NOT(UPPER(TRIM(I14&amp;""))="NOT TESTED"),NOT(AND(ISNUMBER(IFERROR(VALUE(I14&amp;""),"")),OR(IFERROR(VALUE(I14&amp;""),"")=0,IFERROR(VALUE(I14&amp;""),"")=1,IFERROR(VALUE(I14&amp;""),"")=2,IFERROR(VALUE(I14&amp;""),"")=3))))))),0,1)</f>
        <v/>
      </c>
      <c r="Z14" s="74">
        <f>IF(Y14=1,COUNTIF($Y$6:Y14,1),0)</f>
        <v/>
      </c>
      <c r="AA14" s="74">
        <f>OR(AND(LEFT(A14,1)="O",EngagementType&lt;&gt;"Overall opinion"),AND(A14="G3",StandardsEra="Before 9 January 2025"),AND(A14="E2",OR(INDEX($I$6:$I$47,MATCH("E1",$A$6:$A$47,0))=0,INDEX($I$6:$I$47,MATCH("E1",$A$6:$A$47,0))="0")),AND(A14="B2",UPPER(TRIM(INDEX($I$6:$I$47,MATCH("B1",$A$6:$A$47,0))&amp;""))="N/A"),AND(OR(A14="D1",A14="D2",A14="D3",A14="D4",A14="D5"),UPPER(TRIM(INDEX($I$6:$I$47,MATCH("C1",$A$6:$A$47,0))&amp;""))="N/A"))</f>
        <v/>
      </c>
      <c r="AB14" s="26" t="inlineStr">
        <is>
          <t>14.3;15.1</t>
        </is>
      </c>
      <c r="AC14">
        <f>IF(AND(NOT(AA14),AND(NOT(I14=""),NOT(UPPER(TRIM(I14&amp;""))="N/A"),NOT(UPPER(TRIM(I14&amp;""))="NOT TESTED"),NOT(AND(ISNUMBER(IFERROR(VALUE(I14&amp;""),"")),OR(IFERROR(VALUE(I14&amp;""),"")=0,IFERROR(VALUE(I14&amp;""),"")=1,IFERROR(VALUE(I14&amp;""),"")=2,IFERROR(VALUE(I14&amp;""),"")=3))))),1,0)</f>
        <v/>
      </c>
    </row>
    <row r="15" ht="48" customHeight="1" s="79">
      <c r="A15" s="31" t="inlineStr">
        <is>
          <t>C5</t>
        </is>
      </c>
      <c r="B15" s="32" t="inlineStr">
        <is>
          <t>Findings</t>
        </is>
      </c>
      <c r="C15" s="33" t="inlineStr">
        <is>
          <t>Findings</t>
        </is>
      </c>
      <c r="D15" s="34" t="inlineStr">
        <is>
          <t>Must</t>
        </is>
      </c>
      <c r="E15" s="32" t="inlineStr">
        <is>
          <t>The basis of the finding is in the report</t>
        </is>
      </c>
      <c r="F15" s="32" t="inlineStr">
        <is>
          <t>A reader can see relevant, reliable, and sufficient evidence: what was tested, the population or sample, and the result. Redacted names or amounts do not fail this line when the test and the result remain readable.</t>
        </is>
      </c>
      <c r="G15" s="32">
        <f>"14.1 "&amp;INDEX('6. Standards'!$B$5:$B$21,MATCH("14.1",'6. Standards'!$A$5:$A$21,0))&amp;" — "&amp;INDEX('6. Standards'!$C$5:$C$21,MATCH("14.1",'6. Standards'!$A$5:$A$21,0))&amp;CHAR(10)&amp;"11.2 "&amp;INDEX('6. Standards'!$B$5:$B$21,MATCH("11.2",'6. Standards'!$A$5:$A$21,0))&amp;" — "&amp;INDEX('6. Standards'!$C$5:$C$21,MATCH("11.2",'6. Standards'!$A$5:$A$21,0))</f>
        <v/>
      </c>
      <c r="H15" s="32">
        <f>"No other line switches this off."&amp;IF(COUNTA('4. Findings'!A8:A27)=0,""," Findings sheet, evidence: "&amp;COUNTIF('4. Findings'!H$8:H$27,"Y")&amp;" Y, "&amp;COUNTIF('4. Findings'!H$8:H$27,"P")&amp;" P, "&amp;COUNTIF('4. Findings'!H$8:H$27,"N")&amp;" N.")</f>
        <v/>
      </c>
      <c r="I15" s="77" t="n"/>
      <c r="J15" s="77" t="n"/>
      <c r="K15" s="77" t="n"/>
      <c r="L15" s="33" t="inlineStr">
        <is>
          <t>No</t>
        </is>
      </c>
      <c r="M15" s="33" t="inlineStr">
        <is>
          <t>No</t>
        </is>
      </c>
      <c r="N15" s="73">
        <f>IF(OR(OR(AA15,AND(UPPER(TRIM(I15&amp;""))="N/A",L15="Yes"),AND(UPPER(TRIM(I15&amp;""))="NOT TESTED",M15="Yes")),OR(AND(UPPER(TRIM(I15&amp;""))="N/A",L15&lt;&gt;"Yes"),AND(UPPER(TRIM(I15&amp;""))="NOT TESTED",M15&lt;&gt;"Yes"),AND(NOT(I15=""),NOT(UPPER(TRIM(I15&amp;""))="N/A"),NOT(UPPER(TRIM(I15&amp;""))="NOT TESTED"),NOT(AND(ISNUMBER(IFERROR(VALUE(I15&amp;""),"")),OR(IFERROR(VALUE(I15&amp;""),"")=0,IFERROR(VALUE(I15&amp;""),"")=1,IFERROR(VALUE(I15&amp;""),"")=2,IFERROR(VALUE(I15&amp;""),"")=3)))))),0,IF(AND(ISNUMBER(IFERROR(VALUE(I15&amp;""),"")),OR(IFERROR(VALUE(I15&amp;""),"")=0,IFERROR(VALUE(I15&amp;""),"")=1,IFERROR(VALUE(I15&amp;""),"")=2,IFERROR(VALUE(I15&amp;""),"")=3)),IFERROR(VALUE(I15&amp;""),"")*IF(D15="Must",2,1),0))</f>
        <v/>
      </c>
      <c r="O15" s="73">
        <f>IF(OR(AA15,AND(UPPER(TRIM(I15&amp;""))="N/A",L15="Yes"),AND(UPPER(TRIM(I15&amp;""))="NOT TESTED",M15="Yes")),0,IF(OR(OR(AND(UPPER(TRIM(I15&amp;""))="N/A",L15&lt;&gt;"Yes"),AND(UPPER(TRIM(I15&amp;""))="NOT TESTED",M15&lt;&gt;"Yes"),AND(NOT(I15=""),NOT(UPPER(TRIM(I15&amp;""))="N/A"),NOT(UPPER(TRIM(I15&amp;""))="NOT TESTED"),NOT(AND(ISNUMBER(IFERROR(VALUE(I15&amp;""),"")),OR(IFERROR(VALUE(I15&amp;""),"")=0,IFERROR(VALUE(I15&amp;""),"")=1,IFERROR(VALUE(I15&amp;""),"")=2,IFERROR(VALUE(I15&amp;""),"")=3))))),AND(ISNUMBER(IFERROR(VALUE(I15&amp;""),"")),OR(IFERROR(VALUE(I15&amp;""),"")=0,IFERROR(VALUE(I15&amp;""),"")=1,IFERROR(VALUE(I15&amp;""),"")=2,IFERROR(VALUE(I15&amp;""),"")=3))),3*IF(D15="Must",2,1),0))</f>
        <v/>
      </c>
      <c r="P15" s="74">
        <f>IF(OR(AA15,NOT(AND(D15="Must",ISNUMBER(X15),X15=0))),0,1)</f>
        <v/>
      </c>
      <c r="Q15" s="74">
        <f>IF(OR(AA15,NOT(AND(D15="Must",ISNUMBER(X15),X15=1))),0,1)</f>
        <v/>
      </c>
      <c r="R15" s="74">
        <f>IF(AND(NOT(AA15),D15="Must",I15=""),1,0)</f>
        <v/>
      </c>
      <c r="S15" s="74">
        <f>IF(AND(NOT(AA15),UPPER(TRIM(I15&amp;""))="N/A",L15&lt;&gt;"Yes"),1,0)</f>
        <v/>
      </c>
      <c r="T15" s="74">
        <f>IF(AND(NOT(AA15),UPPER(TRIM(I15&amp;""))="NOT TESTED",M15&lt;&gt;"Yes"),1,0)</f>
        <v/>
      </c>
      <c r="U15" s="74">
        <f>IF(OR(AA15,NOT(AND(D15="Should",ISNUMBER(X15),X15=0))),0,1)</f>
        <v/>
      </c>
      <c r="V15" s="74">
        <f>IF(OR(AA15,NOT(AND(D15="Should",ISNUMBER(X15),X15=1))),0,1)</f>
        <v/>
      </c>
      <c r="W15" s="74">
        <f>IF(OR(I15="",AA15),0,1)</f>
        <v/>
      </c>
      <c r="X15" s="74">
        <f>IF(I15="","",IF(UPPER(TRIM(I15&amp;""))="N/A","N/A",IF(UPPER(TRIM(I15&amp;""))="NOT TESTED","NT",IF(AND(ISNUMBER(IFERROR(VALUE(I15&amp;""),"")),OR(IFERROR(VALUE(I15&amp;""),"")=0,IFERROR(VALUE(I15&amp;""),"")=1,IFERROR(VALUE(I15&amp;""),"")=2,IFERROR(VALUE(I15&amp;""),"")=3)),IFERROR(VALUE(I15&amp;""),""),"BAD"))))</f>
        <v/>
      </c>
      <c r="Y15" s="74">
        <f>IF(OR(AA15,NOT(OR(AND(D15="Must",I15="",SUM($W$6:$W$47)&gt;0),AND(ISNUMBER(X15),X15&lt;2),AND(UPPER(TRIM(I15&amp;""))="N/A",L15&lt;&gt;"Yes"),AND(UPPER(TRIM(I15&amp;""))="NOT TESTED",M15&lt;&gt;"Yes"),AND(NOT(I15=""),NOT(UPPER(TRIM(I15&amp;""))="N/A"),NOT(UPPER(TRIM(I15&amp;""))="NOT TESTED"),NOT(AND(ISNUMBER(IFERROR(VALUE(I15&amp;""),"")),OR(IFERROR(VALUE(I15&amp;""),"")=0,IFERROR(VALUE(I15&amp;""),"")=1,IFERROR(VALUE(I15&amp;""),"")=2,IFERROR(VALUE(I15&amp;""),"")=3))))))),0,1)</f>
        <v/>
      </c>
      <c r="Z15" s="74">
        <f>IF(Y15=1,COUNTIF($Y$6:Y15,1),0)</f>
        <v/>
      </c>
      <c r="AA15" s="74">
        <f>OR(AND(LEFT(A15,1)="O",EngagementType&lt;&gt;"Overall opinion"),AND(A15="G3",StandardsEra="Before 9 January 2025"),AND(A15="E2",OR(INDEX($I$6:$I$47,MATCH("E1",$A$6:$A$47,0))=0,INDEX($I$6:$I$47,MATCH("E1",$A$6:$A$47,0))="0")),AND(A15="B2",UPPER(TRIM(INDEX($I$6:$I$47,MATCH("B1",$A$6:$A$47,0))&amp;""))="N/A"),AND(OR(A15="D1",A15="D2",A15="D3",A15="D4",A15="D5"),UPPER(TRIM(INDEX($I$6:$I$47,MATCH("C1",$A$6:$A$47,0))&amp;""))="N/A"))</f>
        <v/>
      </c>
      <c r="AB15" s="26" t="inlineStr">
        <is>
          <t>14.1;11.2</t>
        </is>
      </c>
      <c r="AC15">
        <f>IF(AND(NOT(AA15),AND(NOT(I15=""),NOT(UPPER(TRIM(I15&amp;""))="N/A"),NOT(UPPER(TRIM(I15&amp;""))="NOT TESTED"),NOT(AND(ISNUMBER(IFERROR(VALUE(I15&amp;""),"")),OR(IFERROR(VALUE(I15&amp;""),"")=0,IFERROR(VALUE(I15&amp;""),"")=1,IFERROR(VALUE(I15&amp;""),"")=2,IFERROR(VALUE(I15&amp;""),"")=3))))),1,0)</f>
        <v/>
      </c>
    </row>
    <row r="16" ht="48" customHeight="1" s="79">
      <c r="A16" s="31" t="inlineStr">
        <is>
          <t>C6</t>
        </is>
      </c>
      <c r="B16" s="32" t="inlineStr">
        <is>
          <t>Findings</t>
        </is>
      </c>
      <c r="C16" s="33" t="inlineStr">
        <is>
          <t>Findings</t>
        </is>
      </c>
      <c r="D16" s="35" t="inlineStr">
        <is>
          <t>Should</t>
        </is>
      </c>
      <c r="E16" s="32" t="inlineStr">
        <is>
          <t>Effective performance is acknowledged</t>
        </is>
      </c>
      <c r="F16" s="32" t="inlineStr">
        <is>
          <t>Where the work found processes operating effectively, the report says so. An exception-only report that is silent on effective controls scores 1. Score 2 when the report found no effective area and does not invent one. The conclusion’s own acknowledgment of effective processes is scored on E1.</t>
        </is>
      </c>
      <c r="G16" s="32">
        <f>"11.3 "&amp;INDEX('6. Standards'!$B$5:$B$21,MATCH("11.3",'6. Standards'!$A$5:$A$21,0))&amp;" — "&amp;"considerations"&amp;CHAR(10)&amp;"14.5 "&amp;INDEX('6. Standards'!$B$5:$B$21,MATCH("14.5",'6. Standards'!$A$5:$A$21,0))&amp;" — "&amp;"Requirements, scored on E1"</f>
        <v/>
      </c>
      <c r="H16" s="32">
        <f>"See "&amp;INDEX($A$6:$A$47,MATCH("E1",$A$6:$A$47,0))&amp;". Standard 14.5 requires the conclusion to acknowledge effective processes. That judgment is scored on "&amp;INDEX($A$6:$A$47,MATCH("E1",$A$6:$A$47,0))&amp;", which is "&amp;IF(INDEX($I$6:$I$47,MATCH("E1",$A$6:$A$47,0))="","blank",INDEX($I$6:$I$47,MATCH("E1",$A$6:$A$47,0)))&amp;". This line scores the narrative."</f>
        <v/>
      </c>
      <c r="I16" s="77" t="n"/>
      <c r="J16" s="77" t="n"/>
      <c r="K16" s="77" t="n"/>
      <c r="L16" s="33" t="inlineStr">
        <is>
          <t>No</t>
        </is>
      </c>
      <c r="M16" s="33" t="inlineStr">
        <is>
          <t>No</t>
        </is>
      </c>
      <c r="N16" s="73">
        <f>IF(OR(OR(AA16,AND(UPPER(TRIM(I16&amp;""))="N/A",L16="Yes"),AND(UPPER(TRIM(I16&amp;""))="NOT TESTED",M16="Yes")),OR(AND(UPPER(TRIM(I16&amp;""))="N/A",L16&lt;&gt;"Yes"),AND(UPPER(TRIM(I16&amp;""))="NOT TESTED",M16&lt;&gt;"Yes"),AND(NOT(I16=""),NOT(UPPER(TRIM(I16&amp;""))="N/A"),NOT(UPPER(TRIM(I16&amp;""))="NOT TESTED"),NOT(AND(ISNUMBER(IFERROR(VALUE(I16&amp;""),"")),OR(IFERROR(VALUE(I16&amp;""),"")=0,IFERROR(VALUE(I16&amp;""),"")=1,IFERROR(VALUE(I16&amp;""),"")=2,IFERROR(VALUE(I16&amp;""),"")=3)))))),0,IF(AND(ISNUMBER(IFERROR(VALUE(I16&amp;""),"")),OR(IFERROR(VALUE(I16&amp;""),"")=0,IFERROR(VALUE(I16&amp;""),"")=1,IFERROR(VALUE(I16&amp;""),"")=2,IFERROR(VALUE(I16&amp;""),"")=3)),IFERROR(VALUE(I16&amp;""),"")*IF(D16="Must",2,1),0))</f>
        <v/>
      </c>
      <c r="O16" s="73">
        <f>IF(OR(AA16,AND(UPPER(TRIM(I16&amp;""))="N/A",L16="Yes"),AND(UPPER(TRIM(I16&amp;""))="NOT TESTED",M16="Yes")),0,IF(OR(OR(AND(UPPER(TRIM(I16&amp;""))="N/A",L16&lt;&gt;"Yes"),AND(UPPER(TRIM(I16&amp;""))="NOT TESTED",M16&lt;&gt;"Yes"),AND(NOT(I16=""),NOT(UPPER(TRIM(I16&amp;""))="N/A"),NOT(UPPER(TRIM(I16&amp;""))="NOT TESTED"),NOT(AND(ISNUMBER(IFERROR(VALUE(I16&amp;""),"")),OR(IFERROR(VALUE(I16&amp;""),"")=0,IFERROR(VALUE(I16&amp;""),"")=1,IFERROR(VALUE(I16&amp;""),"")=2,IFERROR(VALUE(I16&amp;""),"")=3))))),AND(ISNUMBER(IFERROR(VALUE(I16&amp;""),"")),OR(IFERROR(VALUE(I16&amp;""),"")=0,IFERROR(VALUE(I16&amp;""),"")=1,IFERROR(VALUE(I16&amp;""),"")=2,IFERROR(VALUE(I16&amp;""),"")=3))),3*IF(D16="Must",2,1),0))</f>
        <v/>
      </c>
      <c r="P16" s="74">
        <f>IF(OR(AA16,NOT(AND(D16="Must",ISNUMBER(X16),X16=0))),0,1)</f>
        <v/>
      </c>
      <c r="Q16" s="74">
        <f>IF(OR(AA16,NOT(AND(D16="Must",ISNUMBER(X16),X16=1))),0,1)</f>
        <v/>
      </c>
      <c r="R16" s="74">
        <f>IF(AND(NOT(AA16),D16="Must",I16=""),1,0)</f>
        <v/>
      </c>
      <c r="S16" s="74">
        <f>IF(AND(NOT(AA16),UPPER(TRIM(I16&amp;""))="N/A",L16&lt;&gt;"Yes"),1,0)</f>
        <v/>
      </c>
      <c r="T16" s="74">
        <f>IF(AND(NOT(AA16),UPPER(TRIM(I16&amp;""))="NOT TESTED",M16&lt;&gt;"Yes"),1,0)</f>
        <v/>
      </c>
      <c r="U16" s="74">
        <f>IF(OR(AA16,NOT(AND(D16="Should",ISNUMBER(X16),X16=0))),0,1)</f>
        <v/>
      </c>
      <c r="V16" s="74">
        <f>IF(OR(AA16,NOT(AND(D16="Should",ISNUMBER(X16),X16=1))),0,1)</f>
        <v/>
      </c>
      <c r="W16" s="74">
        <f>IF(OR(I16="",AA16),0,1)</f>
        <v/>
      </c>
      <c r="X16" s="74">
        <f>IF(I16="","",IF(UPPER(TRIM(I16&amp;""))="N/A","N/A",IF(UPPER(TRIM(I16&amp;""))="NOT TESTED","NT",IF(AND(ISNUMBER(IFERROR(VALUE(I16&amp;""),"")),OR(IFERROR(VALUE(I16&amp;""),"")=0,IFERROR(VALUE(I16&amp;""),"")=1,IFERROR(VALUE(I16&amp;""),"")=2,IFERROR(VALUE(I16&amp;""),"")=3)),IFERROR(VALUE(I16&amp;""),""),"BAD"))))</f>
        <v/>
      </c>
      <c r="Y16" s="74">
        <f>IF(OR(AA16,NOT(OR(AND(D16="Must",I16="",SUM($W$6:$W$47)&gt;0),AND(ISNUMBER(X16),X16&lt;2),AND(UPPER(TRIM(I16&amp;""))="N/A",L16&lt;&gt;"Yes"),AND(UPPER(TRIM(I16&amp;""))="NOT TESTED",M16&lt;&gt;"Yes"),AND(NOT(I16=""),NOT(UPPER(TRIM(I16&amp;""))="N/A"),NOT(UPPER(TRIM(I16&amp;""))="NOT TESTED"),NOT(AND(ISNUMBER(IFERROR(VALUE(I16&amp;""),"")),OR(IFERROR(VALUE(I16&amp;""),"")=0,IFERROR(VALUE(I16&amp;""),"")=1,IFERROR(VALUE(I16&amp;""),"")=2,IFERROR(VALUE(I16&amp;""),"")=3))))))),0,1)</f>
        <v/>
      </c>
      <c r="Z16" s="74">
        <f>IF(Y16=1,COUNTIF($Y$6:Y16,1),0)</f>
        <v/>
      </c>
      <c r="AA16" s="74">
        <f>OR(AND(LEFT(A16,1)="O",EngagementType&lt;&gt;"Overall opinion"),AND(A16="G3",StandardsEra="Before 9 January 2025"),AND(A16="E2",OR(INDEX($I$6:$I$47,MATCH("E1",$A$6:$A$47,0))=0,INDEX($I$6:$I$47,MATCH("E1",$A$6:$A$47,0))="0")),AND(A16="B2",UPPER(TRIM(INDEX($I$6:$I$47,MATCH("B1",$A$6:$A$47,0))&amp;""))="N/A"),AND(OR(A16="D1",A16="D2",A16="D3",A16="D4",A16="D5"),UPPER(TRIM(INDEX($I$6:$I$47,MATCH("C1",$A$6:$A$47,0))&amp;""))="N/A"))</f>
        <v/>
      </c>
      <c r="AB16" s="26" t="inlineStr">
        <is>
          <t>11.3;14.5</t>
        </is>
      </c>
      <c r="AC16">
        <f>IF(AND(NOT(AA16),AND(NOT(I16=""),NOT(UPPER(TRIM(I16&amp;""))="N/A"),NOT(UPPER(TRIM(I16&amp;""))="NOT TESTED"),NOT(AND(ISNUMBER(IFERROR(VALUE(I16&amp;""),"")),OR(IFERROR(VALUE(I16&amp;""),"")=0,IFERROR(VALUE(I16&amp;""),"")=1,IFERROR(VALUE(I16&amp;""),"")=2,IFERROR(VALUE(I16&amp;""),"")=3))))),1,0)</f>
        <v/>
      </c>
    </row>
    <row r="17" ht="48" customHeight="1" s="79">
      <c r="A17" s="36" t="inlineStr">
        <is>
          <t>D1</t>
        </is>
      </c>
      <c r="B17" s="37" t="inlineStr">
        <is>
          <t>Actions</t>
        </is>
      </c>
      <c r="C17" s="38" t="inlineStr">
        <is>
          <t>Close</t>
        </is>
      </c>
      <c r="D17" s="39" t="inlineStr">
        <is>
          <t>Must</t>
        </is>
      </c>
      <c r="E17" s="37" t="inlineStr">
        <is>
          <t>The action addresses the cause and the gap</t>
        </is>
      </c>
      <c r="F17" s="37" t="inlineStr">
        <is>
          <t>Each finding has a recommendation or an agreed action that closes the gap, mitigates the risk, or addresses the root cause. An action that only restates the symptom scores 1. Use N/A when there are no findings.</t>
        </is>
      </c>
      <c r="G17" s="37">
        <f>"14.4 "&amp;INDEX('6. Standards'!$B$5:$B$21,MATCH("14.4",'6. Standards'!$A$5:$A$21,0))&amp;" — "&amp;INDEX('6. Standards'!$C$5:$C$21,MATCH("14.4",'6. Standards'!$A$5:$A$21,0))&amp;CHAR(10)&amp;"15.1 "&amp;INDEX('6. Standards'!$B$5:$B$21,MATCH("15.1",'6. Standards'!$A$5:$A$21,0))&amp;" — "&amp;INDEX('6. Standards'!$C$5:$C$21,MATCH("15.1",'6. Standards'!$A$5:$A$21,0))</f>
        <v/>
      </c>
      <c r="H17" s="37">
        <f>IF(UPPER(TRIM(INDEX($I$6:$I$47,MATCH("C1",$A$6:$A$47,0))&amp;""))="N/A","Off. "&amp;INDEX($A$6:$A$47,MATCH("C1",$A$6:$A$47,0))&amp;" is N/A, so there are no findings and actions are not scored.","On while "&amp;INDEX($A$6:$A$47,MATCH("C1",$A$6:$A$47,0))&amp;" is scored. "&amp;INDEX($A$6:$A$47,MATCH("C1",$A$6:$A$47,0))&amp;" is "&amp;IF(INDEX($I$6:$I$47,MATCH("C1",$A$6:$A$47,0))="","blank",INDEX($I$6:$I$47,MATCH("C1",$A$6:$A$47,0)))&amp;".")&amp;IF(COUNTA('4. Findings'!A8:A27)=0,""," Findings sheet, action: "&amp;COUNTIF('4. Findings'!I$8:I$27,"Y")&amp;" Y, "&amp;COUNTIF('4. Findings'!I$8:I$27,"P")&amp;" P, "&amp;COUNTIF('4. Findings'!I$8:I$27,"N")&amp;" N.")</f>
        <v/>
      </c>
      <c r="I17" s="77" t="n"/>
      <c r="J17" s="77" t="n"/>
      <c r="K17" s="77" t="n"/>
      <c r="L17" s="38" t="inlineStr">
        <is>
          <t>Yes</t>
        </is>
      </c>
      <c r="M17" s="38" t="inlineStr">
        <is>
          <t>No</t>
        </is>
      </c>
      <c r="N17" s="73">
        <f>IF(OR(OR(AA17,AND(UPPER(TRIM(I17&amp;""))="N/A",L17="Yes"),AND(UPPER(TRIM(I17&amp;""))="NOT TESTED",M17="Yes")),OR(AND(UPPER(TRIM(I17&amp;""))="N/A",L17&lt;&gt;"Yes"),AND(UPPER(TRIM(I17&amp;""))="NOT TESTED",M17&lt;&gt;"Yes"),AND(NOT(I17=""),NOT(UPPER(TRIM(I17&amp;""))="N/A"),NOT(UPPER(TRIM(I17&amp;""))="NOT TESTED"),NOT(AND(ISNUMBER(IFERROR(VALUE(I17&amp;""),"")),OR(IFERROR(VALUE(I17&amp;""),"")=0,IFERROR(VALUE(I17&amp;""),"")=1,IFERROR(VALUE(I17&amp;""),"")=2,IFERROR(VALUE(I17&amp;""),"")=3)))))),0,IF(AND(ISNUMBER(IFERROR(VALUE(I17&amp;""),"")),OR(IFERROR(VALUE(I17&amp;""),"")=0,IFERROR(VALUE(I17&amp;""),"")=1,IFERROR(VALUE(I17&amp;""),"")=2,IFERROR(VALUE(I17&amp;""),"")=3)),IFERROR(VALUE(I17&amp;""),"")*IF(D17="Must",2,1),0))</f>
        <v/>
      </c>
      <c r="O17" s="73">
        <f>IF(OR(AA17,AND(UPPER(TRIM(I17&amp;""))="N/A",L17="Yes"),AND(UPPER(TRIM(I17&amp;""))="NOT TESTED",M17="Yes")),0,IF(OR(OR(AND(UPPER(TRIM(I17&amp;""))="N/A",L17&lt;&gt;"Yes"),AND(UPPER(TRIM(I17&amp;""))="NOT TESTED",M17&lt;&gt;"Yes"),AND(NOT(I17=""),NOT(UPPER(TRIM(I17&amp;""))="N/A"),NOT(UPPER(TRIM(I17&amp;""))="NOT TESTED"),NOT(AND(ISNUMBER(IFERROR(VALUE(I17&amp;""),"")),OR(IFERROR(VALUE(I17&amp;""),"")=0,IFERROR(VALUE(I17&amp;""),"")=1,IFERROR(VALUE(I17&amp;""),"")=2,IFERROR(VALUE(I17&amp;""),"")=3))))),AND(ISNUMBER(IFERROR(VALUE(I17&amp;""),"")),OR(IFERROR(VALUE(I17&amp;""),"")=0,IFERROR(VALUE(I17&amp;""),"")=1,IFERROR(VALUE(I17&amp;""),"")=2,IFERROR(VALUE(I17&amp;""),"")=3))),3*IF(D17="Must",2,1),0))</f>
        <v/>
      </c>
      <c r="P17" s="74">
        <f>IF(OR(AA17,NOT(AND(D17="Must",ISNUMBER(X17),X17=0))),0,1)</f>
        <v/>
      </c>
      <c r="Q17" s="74">
        <f>IF(OR(AA17,NOT(AND(D17="Must",ISNUMBER(X17),X17=1))),0,1)</f>
        <v/>
      </c>
      <c r="R17" s="74">
        <f>IF(AND(NOT(AA17),D17="Must",I17=""),1,0)</f>
        <v/>
      </c>
      <c r="S17" s="74">
        <f>IF(AND(NOT(AA17),UPPER(TRIM(I17&amp;""))="N/A",L17&lt;&gt;"Yes"),1,0)</f>
        <v/>
      </c>
      <c r="T17" s="74">
        <f>IF(AND(NOT(AA17),UPPER(TRIM(I17&amp;""))="NOT TESTED",M17&lt;&gt;"Yes"),1,0)</f>
        <v/>
      </c>
      <c r="U17" s="74">
        <f>IF(OR(AA17,NOT(AND(D17="Should",ISNUMBER(X17),X17=0))),0,1)</f>
        <v/>
      </c>
      <c r="V17" s="74">
        <f>IF(OR(AA17,NOT(AND(D17="Should",ISNUMBER(X17),X17=1))),0,1)</f>
        <v/>
      </c>
      <c r="W17" s="74">
        <f>IF(OR(I17="",AA17),0,1)</f>
        <v/>
      </c>
      <c r="X17" s="74">
        <f>IF(I17="","",IF(UPPER(TRIM(I17&amp;""))="N/A","N/A",IF(UPPER(TRIM(I17&amp;""))="NOT TESTED","NT",IF(AND(ISNUMBER(IFERROR(VALUE(I17&amp;""),"")),OR(IFERROR(VALUE(I17&amp;""),"")=0,IFERROR(VALUE(I17&amp;""),"")=1,IFERROR(VALUE(I17&amp;""),"")=2,IFERROR(VALUE(I17&amp;""),"")=3)),IFERROR(VALUE(I17&amp;""),""),"BAD"))))</f>
        <v/>
      </c>
      <c r="Y17" s="74">
        <f>IF(OR(AA17,NOT(OR(AND(D17="Must",I17="",SUM($W$6:$W$47)&gt;0),AND(ISNUMBER(X17),X17&lt;2),AND(UPPER(TRIM(I17&amp;""))="N/A",L17&lt;&gt;"Yes"),AND(UPPER(TRIM(I17&amp;""))="NOT TESTED",M17&lt;&gt;"Yes"),AND(NOT(I17=""),NOT(UPPER(TRIM(I17&amp;""))="N/A"),NOT(UPPER(TRIM(I17&amp;""))="NOT TESTED"),NOT(AND(ISNUMBER(IFERROR(VALUE(I17&amp;""),"")),OR(IFERROR(VALUE(I17&amp;""),"")=0,IFERROR(VALUE(I17&amp;""),"")=1,IFERROR(VALUE(I17&amp;""),"")=2,IFERROR(VALUE(I17&amp;""),"")=3))))))),0,1)</f>
        <v/>
      </c>
      <c r="Z17" s="74">
        <f>IF(Y17=1,COUNTIF($Y$6:Y17,1),0)</f>
        <v/>
      </c>
      <c r="AA17" s="74">
        <f>OR(AND(LEFT(A17,1)="O",EngagementType&lt;&gt;"Overall opinion"),AND(A17="G3",StandardsEra="Before 9 January 2025"),AND(A17="E2",OR(INDEX($I$6:$I$47,MATCH("E1",$A$6:$A$47,0))=0,INDEX($I$6:$I$47,MATCH("E1",$A$6:$A$47,0))="0")),AND(A17="B2",UPPER(TRIM(INDEX($I$6:$I$47,MATCH("B1",$A$6:$A$47,0))&amp;""))="N/A"),AND(OR(A17="D1",A17="D2",A17="D3",A17="D4",A17="D5"),UPPER(TRIM(INDEX($I$6:$I$47,MATCH("C1",$A$6:$A$47,0))&amp;""))="N/A"))</f>
        <v/>
      </c>
      <c r="AB17" s="26" t="inlineStr">
        <is>
          <t>14.4;15.1</t>
        </is>
      </c>
      <c r="AC17">
        <f>IF(AND(NOT(AA17),AND(NOT(I17=""),NOT(UPPER(TRIM(I17&amp;""))="N/A"),NOT(UPPER(TRIM(I17&amp;""))="NOT TESTED"),NOT(AND(ISNUMBER(IFERROR(VALUE(I17&amp;""),"")),OR(IFERROR(VALUE(I17&amp;""),"")=0,IFERROR(VALUE(I17&amp;""),"")=1,IFERROR(VALUE(I17&amp;""),"")=2,IFERROR(VALUE(I17&amp;""),"")=3))))),1,0)</f>
        <v/>
      </c>
    </row>
    <row r="18" ht="48" customHeight="1" s="79">
      <c r="A18" s="36" t="inlineStr">
        <is>
          <t>D2</t>
        </is>
      </c>
      <c r="B18" s="37" t="inlineStr">
        <is>
          <t>Actions</t>
        </is>
      </c>
      <c r="C18" s="38" t="inlineStr">
        <is>
          <t>Close</t>
        </is>
      </c>
      <c r="D18" s="39" t="inlineStr">
        <is>
          <t>Must</t>
        </is>
      </c>
      <c r="E18" s="37" t="inlineStr">
        <is>
          <t>A person or role is responsible</t>
        </is>
      </c>
      <c r="F18" s="37" t="inlineStr">
        <is>
          <t>A named person or role owns each action. “Management,” with no role, scores 0. Use Not tested when the document is a draft awaiting replies, or the owner is redacted in this copy.</t>
        </is>
      </c>
      <c r="G18" s="37">
        <f>"15.1 "&amp;INDEX('6. Standards'!$B$5:$B$21,MATCH("15.1",'6. Standards'!$A$5:$A$21,0))&amp;" — "&amp;INDEX('6. Standards'!$C$5:$C$21,MATCH("15.1",'6. Standards'!$A$5:$A$21,0))</f>
        <v/>
      </c>
      <c r="H18" s="37">
        <f>IF(UPPER(TRIM(INDEX($I$6:$I$47,MATCH("C1",$A$6:$A$47,0))&amp;""))="N/A","Off. "&amp;INDEX($A$6:$A$47,MATCH("C1",$A$6:$A$47,0))&amp;" is N/A, so there are no findings and actions are not scored.","On while "&amp;INDEX($A$6:$A$47,MATCH("C1",$A$6:$A$47,0))&amp;" is scored. "&amp;INDEX($A$6:$A$47,MATCH("C1",$A$6:$A$47,0))&amp;" is "&amp;IF(INDEX($I$6:$I$47,MATCH("C1",$A$6:$A$47,0))="","blank",INDEX($I$6:$I$47,MATCH("C1",$A$6:$A$47,0)))&amp;".")</f>
        <v/>
      </c>
      <c r="I18" s="77" t="n"/>
      <c r="J18" s="77" t="n"/>
      <c r="K18" s="77" t="n"/>
      <c r="L18" s="38" t="inlineStr">
        <is>
          <t>No</t>
        </is>
      </c>
      <c r="M18" s="38" t="inlineStr">
        <is>
          <t>Yes</t>
        </is>
      </c>
      <c r="N18" s="73">
        <f>IF(OR(OR(AA18,AND(UPPER(TRIM(I18&amp;""))="N/A",L18="Yes"),AND(UPPER(TRIM(I18&amp;""))="NOT TESTED",M18="Yes")),OR(AND(UPPER(TRIM(I18&amp;""))="N/A",L18&lt;&gt;"Yes"),AND(UPPER(TRIM(I18&amp;""))="NOT TESTED",M18&lt;&gt;"Yes"),AND(NOT(I18=""),NOT(UPPER(TRIM(I18&amp;""))="N/A"),NOT(UPPER(TRIM(I18&amp;""))="NOT TESTED"),NOT(AND(ISNUMBER(IFERROR(VALUE(I18&amp;""),"")),OR(IFERROR(VALUE(I18&amp;""),"")=0,IFERROR(VALUE(I18&amp;""),"")=1,IFERROR(VALUE(I18&amp;""),"")=2,IFERROR(VALUE(I18&amp;""),"")=3)))))),0,IF(AND(ISNUMBER(IFERROR(VALUE(I18&amp;""),"")),OR(IFERROR(VALUE(I18&amp;""),"")=0,IFERROR(VALUE(I18&amp;""),"")=1,IFERROR(VALUE(I18&amp;""),"")=2,IFERROR(VALUE(I18&amp;""),"")=3)),IFERROR(VALUE(I18&amp;""),"")*IF(D18="Must",2,1),0))</f>
        <v/>
      </c>
      <c r="O18" s="73">
        <f>IF(OR(AA18,AND(UPPER(TRIM(I18&amp;""))="N/A",L18="Yes"),AND(UPPER(TRIM(I18&amp;""))="NOT TESTED",M18="Yes")),0,IF(OR(OR(AND(UPPER(TRIM(I18&amp;""))="N/A",L18&lt;&gt;"Yes"),AND(UPPER(TRIM(I18&amp;""))="NOT TESTED",M18&lt;&gt;"Yes"),AND(NOT(I18=""),NOT(UPPER(TRIM(I18&amp;""))="N/A"),NOT(UPPER(TRIM(I18&amp;""))="NOT TESTED"),NOT(AND(ISNUMBER(IFERROR(VALUE(I18&amp;""),"")),OR(IFERROR(VALUE(I18&amp;""),"")=0,IFERROR(VALUE(I18&amp;""),"")=1,IFERROR(VALUE(I18&amp;""),"")=2,IFERROR(VALUE(I18&amp;""),"")=3))))),AND(ISNUMBER(IFERROR(VALUE(I18&amp;""),"")),OR(IFERROR(VALUE(I18&amp;""),"")=0,IFERROR(VALUE(I18&amp;""),"")=1,IFERROR(VALUE(I18&amp;""),"")=2,IFERROR(VALUE(I18&amp;""),"")=3))),3*IF(D18="Must",2,1),0))</f>
        <v/>
      </c>
      <c r="P18" s="74">
        <f>IF(OR(AA18,NOT(AND(D18="Must",ISNUMBER(X18),X18=0))),0,1)</f>
        <v/>
      </c>
      <c r="Q18" s="74">
        <f>IF(OR(AA18,NOT(AND(D18="Must",ISNUMBER(X18),X18=1))),0,1)</f>
        <v/>
      </c>
      <c r="R18" s="74">
        <f>IF(AND(NOT(AA18),D18="Must",I18=""),1,0)</f>
        <v/>
      </c>
      <c r="S18" s="74">
        <f>IF(AND(NOT(AA18),UPPER(TRIM(I18&amp;""))="N/A",L18&lt;&gt;"Yes"),1,0)</f>
        <v/>
      </c>
      <c r="T18" s="74">
        <f>IF(AND(NOT(AA18),UPPER(TRIM(I18&amp;""))="NOT TESTED",M18&lt;&gt;"Yes"),1,0)</f>
        <v/>
      </c>
      <c r="U18" s="74">
        <f>IF(OR(AA18,NOT(AND(D18="Should",ISNUMBER(X18),X18=0))),0,1)</f>
        <v/>
      </c>
      <c r="V18" s="74">
        <f>IF(OR(AA18,NOT(AND(D18="Should",ISNUMBER(X18),X18=1))),0,1)</f>
        <v/>
      </c>
      <c r="W18" s="74">
        <f>IF(OR(I18="",AA18),0,1)</f>
        <v/>
      </c>
      <c r="X18" s="74">
        <f>IF(I18="","",IF(UPPER(TRIM(I18&amp;""))="N/A","N/A",IF(UPPER(TRIM(I18&amp;""))="NOT TESTED","NT",IF(AND(ISNUMBER(IFERROR(VALUE(I18&amp;""),"")),OR(IFERROR(VALUE(I18&amp;""),"")=0,IFERROR(VALUE(I18&amp;""),"")=1,IFERROR(VALUE(I18&amp;""),"")=2,IFERROR(VALUE(I18&amp;""),"")=3)),IFERROR(VALUE(I18&amp;""),""),"BAD"))))</f>
        <v/>
      </c>
      <c r="Y18" s="74">
        <f>IF(OR(AA18,NOT(OR(AND(D18="Must",I18="",SUM($W$6:$W$47)&gt;0),AND(ISNUMBER(X18),X18&lt;2),AND(UPPER(TRIM(I18&amp;""))="N/A",L18&lt;&gt;"Yes"),AND(UPPER(TRIM(I18&amp;""))="NOT TESTED",M18&lt;&gt;"Yes"),AND(NOT(I18=""),NOT(UPPER(TRIM(I18&amp;""))="N/A"),NOT(UPPER(TRIM(I18&amp;""))="NOT TESTED"),NOT(AND(ISNUMBER(IFERROR(VALUE(I18&amp;""),"")),OR(IFERROR(VALUE(I18&amp;""),"")=0,IFERROR(VALUE(I18&amp;""),"")=1,IFERROR(VALUE(I18&amp;""),"")=2,IFERROR(VALUE(I18&amp;""),"")=3))))))),0,1)</f>
        <v/>
      </c>
      <c r="Z18" s="74">
        <f>IF(Y18=1,COUNTIF($Y$6:Y18,1),0)</f>
        <v/>
      </c>
      <c r="AA18" s="74">
        <f>OR(AND(LEFT(A18,1)="O",EngagementType&lt;&gt;"Overall opinion"),AND(A18="G3",StandardsEra="Before 9 January 2025"),AND(A18="E2",OR(INDEX($I$6:$I$47,MATCH("E1",$A$6:$A$47,0))=0,INDEX($I$6:$I$47,MATCH("E1",$A$6:$A$47,0))="0")),AND(A18="B2",UPPER(TRIM(INDEX($I$6:$I$47,MATCH("B1",$A$6:$A$47,0))&amp;""))="N/A"),AND(OR(A18="D1",A18="D2",A18="D3",A18="D4",A18="D5"),UPPER(TRIM(INDEX($I$6:$I$47,MATCH("C1",$A$6:$A$47,0))&amp;""))="N/A"))</f>
        <v/>
      </c>
      <c r="AB18" s="26" t="inlineStr">
        <is>
          <t>15.1</t>
        </is>
      </c>
      <c r="AC18">
        <f>IF(AND(NOT(AA18),AND(NOT(I18=""),NOT(UPPER(TRIM(I18&amp;""))="N/A"),NOT(UPPER(TRIM(I18&amp;""))="NOT TESTED"),NOT(AND(ISNUMBER(IFERROR(VALUE(I18&amp;""),"")),OR(IFERROR(VALUE(I18&amp;""),"")=0,IFERROR(VALUE(I18&amp;""),"")=1,IFERROR(VALUE(I18&amp;""),"")=2,IFERROR(VALUE(I18&amp;""),"")=3))))),1,0)</f>
        <v/>
      </c>
    </row>
    <row r="19" ht="48" customHeight="1" s="79">
      <c r="A19" s="36" t="inlineStr">
        <is>
          <t>D3</t>
        </is>
      </c>
      <c r="B19" s="37" t="inlineStr">
        <is>
          <t>Actions</t>
        </is>
      </c>
      <c r="C19" s="38" t="inlineStr">
        <is>
          <t>Close</t>
        </is>
      </c>
      <c r="D19" s="39" t="inlineStr">
        <is>
          <t>Must</t>
        </is>
      </c>
      <c r="E19" s="37" t="inlineStr">
        <is>
          <t>A planned completion date is given</t>
        </is>
      </c>
      <c r="F19" s="37" t="inlineStr">
        <is>
          <t>Each action has a date, proportionate to the significance. “Ongoing,” “TBD,” or a blank scores 0. A month or a quarter, with no day, scores 1. Use Not tested on the same grounds as D2.</t>
        </is>
      </c>
      <c r="G19" s="37">
        <f>"15.1 "&amp;INDEX('6. Standards'!$B$5:$B$21,MATCH("15.1",'6. Standards'!$A$5:$A$21,0))&amp;" — "&amp;INDEX('6. Standards'!$C$5:$C$21,MATCH("15.1",'6. Standards'!$A$5:$A$21,0))</f>
        <v/>
      </c>
      <c r="H19" s="37">
        <f>IF(UPPER(TRIM(INDEX($I$6:$I$47,MATCH("C1",$A$6:$A$47,0))&amp;""))="N/A","Off. "&amp;INDEX($A$6:$A$47,MATCH("C1",$A$6:$A$47,0))&amp;" is N/A, so there are no findings and actions are not scored.","On while "&amp;INDEX($A$6:$A$47,MATCH("C1",$A$6:$A$47,0))&amp;" is scored. "&amp;INDEX($A$6:$A$47,MATCH("C1",$A$6:$A$47,0))&amp;" is "&amp;IF(INDEX($I$6:$I$47,MATCH("C1",$A$6:$A$47,0))="","blank",INDEX($I$6:$I$47,MATCH("C1",$A$6:$A$47,0)))&amp;".")&amp;" Not tested on the same grounds as "&amp;INDEX($A$6:$A$47,MATCH("D2",$A$6:$A$47,0))&amp;"."</f>
        <v/>
      </c>
      <c r="I19" s="77" t="n"/>
      <c r="J19" s="77" t="n"/>
      <c r="K19" s="77" t="n"/>
      <c r="L19" s="38" t="inlineStr">
        <is>
          <t>No</t>
        </is>
      </c>
      <c r="M19" s="38" t="inlineStr">
        <is>
          <t>Yes</t>
        </is>
      </c>
      <c r="N19" s="73">
        <f>IF(OR(OR(AA19,AND(UPPER(TRIM(I19&amp;""))="N/A",L19="Yes"),AND(UPPER(TRIM(I19&amp;""))="NOT TESTED",M19="Yes")),OR(AND(UPPER(TRIM(I19&amp;""))="N/A",L19&lt;&gt;"Yes"),AND(UPPER(TRIM(I19&amp;""))="NOT TESTED",M19&lt;&gt;"Yes"),AND(NOT(I19=""),NOT(UPPER(TRIM(I19&amp;""))="N/A"),NOT(UPPER(TRIM(I19&amp;""))="NOT TESTED"),NOT(AND(ISNUMBER(IFERROR(VALUE(I19&amp;""),"")),OR(IFERROR(VALUE(I19&amp;""),"")=0,IFERROR(VALUE(I19&amp;""),"")=1,IFERROR(VALUE(I19&amp;""),"")=2,IFERROR(VALUE(I19&amp;""),"")=3)))))),0,IF(AND(ISNUMBER(IFERROR(VALUE(I19&amp;""),"")),OR(IFERROR(VALUE(I19&amp;""),"")=0,IFERROR(VALUE(I19&amp;""),"")=1,IFERROR(VALUE(I19&amp;""),"")=2,IFERROR(VALUE(I19&amp;""),"")=3)),IFERROR(VALUE(I19&amp;""),"")*IF(D19="Must",2,1),0))</f>
        <v/>
      </c>
      <c r="O19" s="73">
        <f>IF(OR(AA19,AND(UPPER(TRIM(I19&amp;""))="N/A",L19="Yes"),AND(UPPER(TRIM(I19&amp;""))="NOT TESTED",M19="Yes")),0,IF(OR(OR(AND(UPPER(TRIM(I19&amp;""))="N/A",L19&lt;&gt;"Yes"),AND(UPPER(TRIM(I19&amp;""))="NOT TESTED",M19&lt;&gt;"Yes"),AND(NOT(I19=""),NOT(UPPER(TRIM(I19&amp;""))="N/A"),NOT(UPPER(TRIM(I19&amp;""))="NOT TESTED"),NOT(AND(ISNUMBER(IFERROR(VALUE(I19&amp;""),"")),OR(IFERROR(VALUE(I19&amp;""),"")=0,IFERROR(VALUE(I19&amp;""),"")=1,IFERROR(VALUE(I19&amp;""),"")=2,IFERROR(VALUE(I19&amp;""),"")=3))))),AND(ISNUMBER(IFERROR(VALUE(I19&amp;""),"")),OR(IFERROR(VALUE(I19&amp;""),"")=0,IFERROR(VALUE(I19&amp;""),"")=1,IFERROR(VALUE(I19&amp;""),"")=2,IFERROR(VALUE(I19&amp;""),"")=3))),3*IF(D19="Must",2,1),0))</f>
        <v/>
      </c>
      <c r="P19" s="74">
        <f>IF(OR(AA19,NOT(AND(D19="Must",ISNUMBER(X19),X19=0))),0,1)</f>
        <v/>
      </c>
      <c r="Q19" s="74">
        <f>IF(OR(AA19,NOT(AND(D19="Must",ISNUMBER(X19),X19=1))),0,1)</f>
        <v/>
      </c>
      <c r="R19" s="74">
        <f>IF(AND(NOT(AA19),D19="Must",I19=""),1,0)</f>
        <v/>
      </c>
      <c r="S19" s="74">
        <f>IF(AND(NOT(AA19),UPPER(TRIM(I19&amp;""))="N/A",L19&lt;&gt;"Yes"),1,0)</f>
        <v/>
      </c>
      <c r="T19" s="74">
        <f>IF(AND(NOT(AA19),UPPER(TRIM(I19&amp;""))="NOT TESTED",M19&lt;&gt;"Yes"),1,0)</f>
        <v/>
      </c>
      <c r="U19" s="74">
        <f>IF(OR(AA19,NOT(AND(D19="Should",ISNUMBER(X19),X19=0))),0,1)</f>
        <v/>
      </c>
      <c r="V19" s="74">
        <f>IF(OR(AA19,NOT(AND(D19="Should",ISNUMBER(X19),X19=1))),0,1)</f>
        <v/>
      </c>
      <c r="W19" s="74">
        <f>IF(OR(I19="",AA19),0,1)</f>
        <v/>
      </c>
      <c r="X19" s="74">
        <f>IF(I19="","",IF(UPPER(TRIM(I19&amp;""))="N/A","N/A",IF(UPPER(TRIM(I19&amp;""))="NOT TESTED","NT",IF(AND(ISNUMBER(IFERROR(VALUE(I19&amp;""),"")),OR(IFERROR(VALUE(I19&amp;""),"")=0,IFERROR(VALUE(I19&amp;""),"")=1,IFERROR(VALUE(I19&amp;""),"")=2,IFERROR(VALUE(I19&amp;""),"")=3)),IFERROR(VALUE(I19&amp;""),""),"BAD"))))</f>
        <v/>
      </c>
      <c r="Y19" s="74">
        <f>IF(OR(AA19,NOT(OR(AND(D19="Must",I19="",SUM($W$6:$W$47)&gt;0),AND(ISNUMBER(X19),X19&lt;2),AND(UPPER(TRIM(I19&amp;""))="N/A",L19&lt;&gt;"Yes"),AND(UPPER(TRIM(I19&amp;""))="NOT TESTED",M19&lt;&gt;"Yes"),AND(NOT(I19=""),NOT(UPPER(TRIM(I19&amp;""))="N/A"),NOT(UPPER(TRIM(I19&amp;""))="NOT TESTED"),NOT(AND(ISNUMBER(IFERROR(VALUE(I19&amp;""),"")),OR(IFERROR(VALUE(I19&amp;""),"")=0,IFERROR(VALUE(I19&amp;""),"")=1,IFERROR(VALUE(I19&amp;""),"")=2,IFERROR(VALUE(I19&amp;""),"")=3))))))),0,1)</f>
        <v/>
      </c>
      <c r="Z19" s="74">
        <f>IF(Y19=1,COUNTIF($Y$6:Y19,1),0)</f>
        <v/>
      </c>
      <c r="AA19" s="74">
        <f>OR(AND(LEFT(A19,1)="O",EngagementType&lt;&gt;"Overall opinion"),AND(A19="G3",StandardsEra="Before 9 January 2025"),AND(A19="E2",OR(INDEX($I$6:$I$47,MATCH("E1",$A$6:$A$47,0))=0,INDEX($I$6:$I$47,MATCH("E1",$A$6:$A$47,0))="0")),AND(A19="B2",UPPER(TRIM(INDEX($I$6:$I$47,MATCH("B1",$A$6:$A$47,0))&amp;""))="N/A"),AND(OR(A19="D1",A19="D2",A19="D3",A19="D4",A19="D5"),UPPER(TRIM(INDEX($I$6:$I$47,MATCH("C1",$A$6:$A$47,0))&amp;""))="N/A"))</f>
        <v/>
      </c>
      <c r="AB19" s="26" t="inlineStr">
        <is>
          <t>15.1</t>
        </is>
      </c>
      <c r="AC19">
        <f>IF(AND(NOT(AA19),AND(NOT(I19=""),NOT(UPPER(TRIM(I19&amp;""))="N/A"),NOT(UPPER(TRIM(I19&amp;""))="NOT TESTED"),NOT(AND(ISNUMBER(IFERROR(VALUE(I19&amp;""),"")),OR(IFERROR(VALUE(I19&amp;""),"")=0,IFERROR(VALUE(I19&amp;""),"")=1,IFERROR(VALUE(I19&amp;""),"")=2,IFERROR(VALUE(I19&amp;""),"")=3))))),1,0)</f>
        <v/>
      </c>
    </row>
    <row r="20" ht="48" customHeight="1" s="79">
      <c r="A20" s="36" t="inlineStr">
        <is>
          <t>D4</t>
        </is>
      </c>
      <c r="B20" s="37" t="inlineStr">
        <is>
          <t>Actions</t>
        </is>
      </c>
      <c r="C20" s="38" t="inlineStr">
        <is>
          <t>Close</t>
        </is>
      </c>
      <c r="D20" s="39" t="inlineStr">
        <is>
          <t>Must</t>
        </is>
      </c>
      <c r="E20" s="37" t="inlineStr">
        <is>
          <t>Action already under way is acknowledged</t>
        </is>
      </c>
      <c r="F20" s="37" t="inlineStr">
        <is>
          <t>If management had started or finished work before issue, the report says so. Use N/A when no such action is described.</t>
        </is>
      </c>
      <c r="G20" s="37">
        <f>"15.1 "&amp;INDEX('6. Standards'!$B$5:$B$21,MATCH("15.1",'6. Standards'!$A$5:$A$21,0))&amp;" — "&amp;INDEX('6. Standards'!$C$5:$C$21,MATCH("15.1",'6. Standards'!$A$5:$A$21,0))</f>
        <v/>
      </c>
      <c r="H20" s="37">
        <f>IF(UPPER(TRIM(INDEX($I$6:$I$47,MATCH("C1",$A$6:$A$47,0))&amp;""))="N/A","Off. "&amp;INDEX($A$6:$A$47,MATCH("C1",$A$6:$A$47,0))&amp;" is N/A, so there are no findings and actions are not scored.","On while "&amp;INDEX($A$6:$A$47,MATCH("C1",$A$6:$A$47,0))&amp;" is scored. "&amp;INDEX($A$6:$A$47,MATCH("C1",$A$6:$A$47,0))&amp;" is "&amp;IF(INDEX($I$6:$I$47,MATCH("C1",$A$6:$A$47,0))="","blank",INDEX($I$6:$I$47,MATCH("C1",$A$6:$A$47,0)))&amp;".")</f>
        <v/>
      </c>
      <c r="I20" s="77" t="n"/>
      <c r="J20" s="77" t="n"/>
      <c r="K20" s="77" t="n"/>
      <c r="L20" s="38" t="inlineStr">
        <is>
          <t>Yes</t>
        </is>
      </c>
      <c r="M20" s="38" t="inlineStr">
        <is>
          <t>No</t>
        </is>
      </c>
      <c r="N20" s="73">
        <f>IF(OR(OR(AA20,AND(UPPER(TRIM(I20&amp;""))="N/A",L20="Yes"),AND(UPPER(TRIM(I20&amp;""))="NOT TESTED",M20="Yes")),OR(AND(UPPER(TRIM(I20&amp;""))="N/A",L20&lt;&gt;"Yes"),AND(UPPER(TRIM(I20&amp;""))="NOT TESTED",M20&lt;&gt;"Yes"),AND(NOT(I20=""),NOT(UPPER(TRIM(I20&amp;""))="N/A"),NOT(UPPER(TRIM(I20&amp;""))="NOT TESTED"),NOT(AND(ISNUMBER(IFERROR(VALUE(I20&amp;""),"")),OR(IFERROR(VALUE(I20&amp;""),"")=0,IFERROR(VALUE(I20&amp;""),"")=1,IFERROR(VALUE(I20&amp;""),"")=2,IFERROR(VALUE(I20&amp;""),"")=3)))))),0,IF(AND(ISNUMBER(IFERROR(VALUE(I20&amp;""),"")),OR(IFERROR(VALUE(I20&amp;""),"")=0,IFERROR(VALUE(I20&amp;""),"")=1,IFERROR(VALUE(I20&amp;""),"")=2,IFERROR(VALUE(I20&amp;""),"")=3)),IFERROR(VALUE(I20&amp;""),"")*IF(D20="Must",2,1),0))</f>
        <v/>
      </c>
      <c r="O20" s="73">
        <f>IF(OR(AA20,AND(UPPER(TRIM(I20&amp;""))="N/A",L20="Yes"),AND(UPPER(TRIM(I20&amp;""))="NOT TESTED",M20="Yes")),0,IF(OR(OR(AND(UPPER(TRIM(I20&amp;""))="N/A",L20&lt;&gt;"Yes"),AND(UPPER(TRIM(I20&amp;""))="NOT TESTED",M20&lt;&gt;"Yes"),AND(NOT(I20=""),NOT(UPPER(TRIM(I20&amp;""))="N/A"),NOT(UPPER(TRIM(I20&amp;""))="NOT TESTED"),NOT(AND(ISNUMBER(IFERROR(VALUE(I20&amp;""),"")),OR(IFERROR(VALUE(I20&amp;""),"")=0,IFERROR(VALUE(I20&amp;""),"")=1,IFERROR(VALUE(I20&amp;""),"")=2,IFERROR(VALUE(I20&amp;""),"")=3))))),AND(ISNUMBER(IFERROR(VALUE(I20&amp;""),"")),OR(IFERROR(VALUE(I20&amp;""),"")=0,IFERROR(VALUE(I20&amp;""),"")=1,IFERROR(VALUE(I20&amp;""),"")=2,IFERROR(VALUE(I20&amp;""),"")=3))),3*IF(D20="Must",2,1),0))</f>
        <v/>
      </c>
      <c r="P20" s="74">
        <f>IF(OR(AA20,NOT(AND(D20="Must",ISNUMBER(X20),X20=0))),0,1)</f>
        <v/>
      </c>
      <c r="Q20" s="74">
        <f>IF(OR(AA20,NOT(AND(D20="Must",ISNUMBER(X20),X20=1))),0,1)</f>
        <v/>
      </c>
      <c r="R20" s="74">
        <f>IF(AND(NOT(AA20),D20="Must",I20=""),1,0)</f>
        <v/>
      </c>
      <c r="S20" s="74">
        <f>IF(AND(NOT(AA20),UPPER(TRIM(I20&amp;""))="N/A",L20&lt;&gt;"Yes"),1,0)</f>
        <v/>
      </c>
      <c r="T20" s="74">
        <f>IF(AND(NOT(AA20),UPPER(TRIM(I20&amp;""))="NOT TESTED",M20&lt;&gt;"Yes"),1,0)</f>
        <v/>
      </c>
      <c r="U20" s="74">
        <f>IF(OR(AA20,NOT(AND(D20="Should",ISNUMBER(X20),X20=0))),0,1)</f>
        <v/>
      </c>
      <c r="V20" s="74">
        <f>IF(OR(AA20,NOT(AND(D20="Should",ISNUMBER(X20),X20=1))),0,1)</f>
        <v/>
      </c>
      <c r="W20" s="74">
        <f>IF(OR(I20="",AA20),0,1)</f>
        <v/>
      </c>
      <c r="X20" s="74">
        <f>IF(I20="","",IF(UPPER(TRIM(I20&amp;""))="N/A","N/A",IF(UPPER(TRIM(I20&amp;""))="NOT TESTED","NT",IF(AND(ISNUMBER(IFERROR(VALUE(I20&amp;""),"")),OR(IFERROR(VALUE(I20&amp;""),"")=0,IFERROR(VALUE(I20&amp;""),"")=1,IFERROR(VALUE(I20&amp;""),"")=2,IFERROR(VALUE(I20&amp;""),"")=3)),IFERROR(VALUE(I20&amp;""),""),"BAD"))))</f>
        <v/>
      </c>
      <c r="Y20" s="74">
        <f>IF(OR(AA20,NOT(OR(AND(D20="Must",I20="",SUM($W$6:$W$47)&gt;0),AND(ISNUMBER(X20),X20&lt;2),AND(UPPER(TRIM(I20&amp;""))="N/A",L20&lt;&gt;"Yes"),AND(UPPER(TRIM(I20&amp;""))="NOT TESTED",M20&lt;&gt;"Yes"),AND(NOT(I20=""),NOT(UPPER(TRIM(I20&amp;""))="N/A"),NOT(UPPER(TRIM(I20&amp;""))="NOT TESTED"),NOT(AND(ISNUMBER(IFERROR(VALUE(I20&amp;""),"")),OR(IFERROR(VALUE(I20&amp;""),"")=0,IFERROR(VALUE(I20&amp;""),"")=1,IFERROR(VALUE(I20&amp;""),"")=2,IFERROR(VALUE(I20&amp;""),"")=3))))))),0,1)</f>
        <v/>
      </c>
      <c r="Z20" s="74">
        <f>IF(Y20=1,COUNTIF($Y$6:Y20,1),0)</f>
        <v/>
      </c>
      <c r="AA20" s="74">
        <f>OR(AND(LEFT(A20,1)="O",EngagementType&lt;&gt;"Overall opinion"),AND(A20="G3",StandardsEra="Before 9 January 2025"),AND(A20="E2",OR(INDEX($I$6:$I$47,MATCH("E1",$A$6:$A$47,0))=0,INDEX($I$6:$I$47,MATCH("E1",$A$6:$A$47,0))="0")),AND(A20="B2",UPPER(TRIM(INDEX($I$6:$I$47,MATCH("B1",$A$6:$A$47,0))&amp;""))="N/A"),AND(OR(A20="D1",A20="D2",A20="D3",A20="D4",A20="D5"),UPPER(TRIM(INDEX($I$6:$I$47,MATCH("C1",$A$6:$A$47,0))&amp;""))="N/A"))</f>
        <v/>
      </c>
      <c r="AB20" s="26" t="inlineStr">
        <is>
          <t>15.1</t>
        </is>
      </c>
      <c r="AC20">
        <f>IF(AND(NOT(AA20),AND(NOT(I20=""),NOT(UPPER(TRIM(I20&amp;""))="N/A"),NOT(UPPER(TRIM(I20&amp;""))="NOT TESTED"),NOT(AND(ISNUMBER(IFERROR(VALUE(I20&amp;""),"")),OR(IFERROR(VALUE(I20&amp;""),"")=0,IFERROR(VALUE(I20&amp;""),"")=1,IFERROR(VALUE(I20&amp;""),"")=2,IFERROR(VALUE(I20&amp;""),"")=3))))),1,0)</f>
        <v/>
      </c>
    </row>
    <row r="21" ht="48" customHeight="1" s="79">
      <c r="A21" s="36" t="inlineStr">
        <is>
          <t>D5</t>
        </is>
      </c>
      <c r="B21" s="37" t="inlineStr">
        <is>
          <t>Actions</t>
        </is>
      </c>
      <c r="C21" s="38" t="inlineStr">
        <is>
          <t>Close</t>
        </is>
      </c>
      <c r="D21" s="40" t="inlineStr">
        <is>
          <t>Should</t>
        </is>
      </c>
      <c r="E21" s="37" t="inlineStr">
        <is>
          <t>The action is feasible, and disagreement is recorded</t>
        </is>
      </c>
      <c r="F21" s="37" t="inlineStr">
        <is>
          <t>The action can be implemented and followed up. Internal audit is not left to operate the control. Where management and internal audit disagree, both positions are in the report.</t>
        </is>
      </c>
      <c r="G21" s="37">
        <f>"14.4 "&amp;INDEX('6. Standards'!$B$5:$B$21,MATCH("14.4",'6. Standards'!$A$5:$A$21,0))&amp;" — "&amp;"Requirements and considerations, scored as Should"&amp;CHAR(10)&amp;"13.1 "&amp;INDEX('6. Standards'!$B$5:$B$21,MATCH("13.1",'6. Standards'!$A$5:$A$21,0))&amp;" — "&amp;"Requirements, scored as Should"</f>
        <v/>
      </c>
      <c r="H21" s="37">
        <f>IF(UPPER(TRIM(INDEX($I$6:$I$47,MATCH("C1",$A$6:$A$47,0))&amp;""))="N/A","Off. "&amp;INDEX($A$6:$A$47,MATCH("C1",$A$6:$A$47,0))&amp;" is N/A, so there are no findings and actions are not scored.","On while "&amp;INDEX($A$6:$A$47,MATCH("C1",$A$6:$A$47,0))&amp;" is scored. "&amp;INDEX($A$6:$A$47,MATCH("C1",$A$6:$A$47,0))&amp;" is "&amp;IF(INDEX($I$6:$I$47,MATCH("C1",$A$6:$A$47,0))="","blank",INDEX($I$6:$I$47,MATCH("C1",$A$6:$A$47,0)))&amp;".")</f>
        <v/>
      </c>
      <c r="I21" s="77" t="n"/>
      <c r="J21" s="77" t="n"/>
      <c r="K21" s="77" t="n"/>
      <c r="L21" s="38" t="inlineStr">
        <is>
          <t>No</t>
        </is>
      </c>
      <c r="M21" s="38" t="inlineStr">
        <is>
          <t>No</t>
        </is>
      </c>
      <c r="N21" s="73">
        <f>IF(OR(OR(AA21,AND(UPPER(TRIM(I21&amp;""))="N/A",L21="Yes"),AND(UPPER(TRIM(I21&amp;""))="NOT TESTED",M21="Yes")),OR(AND(UPPER(TRIM(I21&amp;""))="N/A",L21&lt;&gt;"Yes"),AND(UPPER(TRIM(I21&amp;""))="NOT TESTED",M21&lt;&gt;"Yes"),AND(NOT(I21=""),NOT(UPPER(TRIM(I21&amp;""))="N/A"),NOT(UPPER(TRIM(I21&amp;""))="NOT TESTED"),NOT(AND(ISNUMBER(IFERROR(VALUE(I21&amp;""),"")),OR(IFERROR(VALUE(I21&amp;""),"")=0,IFERROR(VALUE(I21&amp;""),"")=1,IFERROR(VALUE(I21&amp;""),"")=2,IFERROR(VALUE(I21&amp;""),"")=3)))))),0,IF(AND(ISNUMBER(IFERROR(VALUE(I21&amp;""),"")),OR(IFERROR(VALUE(I21&amp;""),"")=0,IFERROR(VALUE(I21&amp;""),"")=1,IFERROR(VALUE(I21&amp;""),"")=2,IFERROR(VALUE(I21&amp;""),"")=3)),IFERROR(VALUE(I21&amp;""),"")*IF(D21="Must",2,1),0))</f>
        <v/>
      </c>
      <c r="O21" s="73">
        <f>IF(OR(AA21,AND(UPPER(TRIM(I21&amp;""))="N/A",L21="Yes"),AND(UPPER(TRIM(I21&amp;""))="NOT TESTED",M21="Yes")),0,IF(OR(OR(AND(UPPER(TRIM(I21&amp;""))="N/A",L21&lt;&gt;"Yes"),AND(UPPER(TRIM(I21&amp;""))="NOT TESTED",M21&lt;&gt;"Yes"),AND(NOT(I21=""),NOT(UPPER(TRIM(I21&amp;""))="N/A"),NOT(UPPER(TRIM(I21&amp;""))="NOT TESTED"),NOT(AND(ISNUMBER(IFERROR(VALUE(I21&amp;""),"")),OR(IFERROR(VALUE(I21&amp;""),"")=0,IFERROR(VALUE(I21&amp;""),"")=1,IFERROR(VALUE(I21&amp;""),"")=2,IFERROR(VALUE(I21&amp;""),"")=3))))),AND(ISNUMBER(IFERROR(VALUE(I21&amp;""),"")),OR(IFERROR(VALUE(I21&amp;""),"")=0,IFERROR(VALUE(I21&amp;""),"")=1,IFERROR(VALUE(I21&amp;""),"")=2,IFERROR(VALUE(I21&amp;""),"")=3))),3*IF(D21="Must",2,1),0))</f>
        <v/>
      </c>
      <c r="P21" s="74">
        <f>IF(OR(AA21,NOT(AND(D21="Must",ISNUMBER(X21),X21=0))),0,1)</f>
        <v/>
      </c>
      <c r="Q21" s="74">
        <f>IF(OR(AA21,NOT(AND(D21="Must",ISNUMBER(X21),X21=1))),0,1)</f>
        <v/>
      </c>
      <c r="R21" s="74">
        <f>IF(AND(NOT(AA21),D21="Must",I21=""),1,0)</f>
        <v/>
      </c>
      <c r="S21" s="74">
        <f>IF(AND(NOT(AA21),UPPER(TRIM(I21&amp;""))="N/A",L21&lt;&gt;"Yes"),1,0)</f>
        <v/>
      </c>
      <c r="T21" s="74">
        <f>IF(AND(NOT(AA21),UPPER(TRIM(I21&amp;""))="NOT TESTED",M21&lt;&gt;"Yes"),1,0)</f>
        <v/>
      </c>
      <c r="U21" s="74">
        <f>IF(OR(AA21,NOT(AND(D21="Should",ISNUMBER(X21),X21=0))),0,1)</f>
        <v/>
      </c>
      <c r="V21" s="74">
        <f>IF(OR(AA21,NOT(AND(D21="Should",ISNUMBER(X21),X21=1))),0,1)</f>
        <v/>
      </c>
      <c r="W21" s="74">
        <f>IF(OR(I21="",AA21),0,1)</f>
        <v/>
      </c>
      <c r="X21" s="74">
        <f>IF(I21="","",IF(UPPER(TRIM(I21&amp;""))="N/A","N/A",IF(UPPER(TRIM(I21&amp;""))="NOT TESTED","NT",IF(AND(ISNUMBER(IFERROR(VALUE(I21&amp;""),"")),OR(IFERROR(VALUE(I21&amp;""),"")=0,IFERROR(VALUE(I21&amp;""),"")=1,IFERROR(VALUE(I21&amp;""),"")=2,IFERROR(VALUE(I21&amp;""),"")=3)),IFERROR(VALUE(I21&amp;""),""),"BAD"))))</f>
        <v/>
      </c>
      <c r="Y21" s="74">
        <f>IF(OR(AA21,NOT(OR(AND(D21="Must",I21="",SUM($W$6:$W$47)&gt;0),AND(ISNUMBER(X21),X21&lt;2),AND(UPPER(TRIM(I21&amp;""))="N/A",L21&lt;&gt;"Yes"),AND(UPPER(TRIM(I21&amp;""))="NOT TESTED",M21&lt;&gt;"Yes"),AND(NOT(I21=""),NOT(UPPER(TRIM(I21&amp;""))="N/A"),NOT(UPPER(TRIM(I21&amp;""))="NOT TESTED"),NOT(AND(ISNUMBER(IFERROR(VALUE(I21&amp;""),"")),OR(IFERROR(VALUE(I21&amp;""),"")=0,IFERROR(VALUE(I21&amp;""),"")=1,IFERROR(VALUE(I21&amp;""),"")=2,IFERROR(VALUE(I21&amp;""),"")=3))))))),0,1)</f>
        <v/>
      </c>
      <c r="Z21" s="74">
        <f>IF(Y21=1,COUNTIF($Y$6:Y21,1),0)</f>
        <v/>
      </c>
      <c r="AA21" s="74">
        <f>OR(AND(LEFT(A21,1)="O",EngagementType&lt;&gt;"Overall opinion"),AND(A21="G3",StandardsEra="Before 9 January 2025"),AND(A21="E2",OR(INDEX($I$6:$I$47,MATCH("E1",$A$6:$A$47,0))=0,INDEX($I$6:$I$47,MATCH("E1",$A$6:$A$47,0))="0")),AND(A21="B2",UPPER(TRIM(INDEX($I$6:$I$47,MATCH("B1",$A$6:$A$47,0))&amp;""))="N/A"),AND(OR(A21="D1",A21="D2",A21="D3",A21="D4",A21="D5"),UPPER(TRIM(INDEX($I$6:$I$47,MATCH("C1",$A$6:$A$47,0))&amp;""))="N/A"))</f>
        <v/>
      </c>
      <c r="AB21" s="26" t="inlineStr">
        <is>
          <t>14.4;13.1</t>
        </is>
      </c>
      <c r="AC21">
        <f>IF(AND(NOT(AA21),AND(NOT(I21=""),NOT(UPPER(TRIM(I21&amp;""))="N/A"),NOT(UPPER(TRIM(I21&amp;""))="NOT TESTED"),NOT(AND(ISNUMBER(IFERROR(VALUE(I21&amp;""),"")),OR(IFERROR(VALUE(I21&amp;""),"")=0,IFERROR(VALUE(I21&amp;""),"")=1,IFERROR(VALUE(I21&amp;""),"")=2,IFERROR(VALUE(I21&amp;""),"")=3))))),1,0)</f>
        <v/>
      </c>
    </row>
    <row r="22" ht="48" customHeight="1" s="79">
      <c r="A22" s="41" t="inlineStr">
        <is>
          <t>E1</t>
        </is>
      </c>
      <c r="B22" s="42" t="inlineStr">
        <is>
          <t>Conclusion</t>
        </is>
      </c>
      <c r="C22" s="43" t="inlineStr">
        <is>
          <t>Close</t>
        </is>
      </c>
      <c r="D22" s="44" t="inlineStr">
        <is>
          <t>Must</t>
        </is>
      </c>
      <c r="E22" s="42" t="inlineStr">
        <is>
          <t>The report concludes on the engagement</t>
        </is>
      </c>
      <c r="F22" s="42" t="inlineStr">
        <is>
          <t>For an assurance engagement, the conclusion judges the effectiveness of the governance, risk management, and/or controls of the activity, against the objectives, and acknowledges effective processes when the work found them. A count of findings is not a conclusion and scores 0. A stated rating that the report itself says is not a conclusion on adequacy or effectiveness scores 1, not 0. For advisory work, score the conclusion against the agreed objectives and do not require a controls opinion.</t>
        </is>
      </c>
      <c r="G22" s="42">
        <f>"14.5 "&amp;INDEX('6. Standards'!$B$5:$B$21,MATCH("14.5",'6. Standards'!$A$5:$A$21,0))&amp;" — "&amp;INDEX('6. Standards'!$C$5:$C$21,MATCH("14.5",'6. Standards'!$A$5:$A$21,0))&amp;CHAR(10)&amp;"15.1 "&amp;INDEX('6. Standards'!$B$5:$B$21,MATCH("15.1",'6. Standards'!$A$5:$A$21,0))&amp;" — "&amp;INDEX('6. Standards'!$C$5:$C$21,MATCH("15.1",'6. Standards'!$A$5:$A$21,0))</f>
        <v/>
      </c>
      <c r="H22" s="42">
        <f>"No other line switches this off."</f>
        <v/>
      </c>
      <c r="I22" s="77" t="n"/>
      <c r="J22" s="77" t="n"/>
      <c r="K22" s="77" t="n"/>
      <c r="L22" s="43" t="inlineStr">
        <is>
          <t>No</t>
        </is>
      </c>
      <c r="M22" s="43" t="inlineStr">
        <is>
          <t>No</t>
        </is>
      </c>
      <c r="N22" s="73">
        <f>IF(OR(OR(AA22,AND(UPPER(TRIM(I22&amp;""))="N/A",L22="Yes"),AND(UPPER(TRIM(I22&amp;""))="NOT TESTED",M22="Yes")),OR(AND(UPPER(TRIM(I22&amp;""))="N/A",L22&lt;&gt;"Yes"),AND(UPPER(TRIM(I22&amp;""))="NOT TESTED",M22&lt;&gt;"Yes"),AND(NOT(I22=""),NOT(UPPER(TRIM(I22&amp;""))="N/A"),NOT(UPPER(TRIM(I22&amp;""))="NOT TESTED"),NOT(AND(ISNUMBER(IFERROR(VALUE(I22&amp;""),"")),OR(IFERROR(VALUE(I22&amp;""),"")=0,IFERROR(VALUE(I22&amp;""),"")=1,IFERROR(VALUE(I22&amp;""),"")=2,IFERROR(VALUE(I22&amp;""),"")=3)))))),0,IF(AND(ISNUMBER(IFERROR(VALUE(I22&amp;""),"")),OR(IFERROR(VALUE(I22&amp;""),"")=0,IFERROR(VALUE(I22&amp;""),"")=1,IFERROR(VALUE(I22&amp;""),"")=2,IFERROR(VALUE(I22&amp;""),"")=3)),IFERROR(VALUE(I22&amp;""),"")*IF(D22="Must",2,1),0))</f>
        <v/>
      </c>
      <c r="O22" s="73">
        <f>IF(OR(AA22,AND(UPPER(TRIM(I22&amp;""))="N/A",L22="Yes"),AND(UPPER(TRIM(I22&amp;""))="NOT TESTED",M22="Yes")),0,IF(OR(OR(AND(UPPER(TRIM(I22&amp;""))="N/A",L22&lt;&gt;"Yes"),AND(UPPER(TRIM(I22&amp;""))="NOT TESTED",M22&lt;&gt;"Yes"),AND(NOT(I22=""),NOT(UPPER(TRIM(I22&amp;""))="N/A"),NOT(UPPER(TRIM(I22&amp;""))="NOT TESTED"),NOT(AND(ISNUMBER(IFERROR(VALUE(I22&amp;""),"")),OR(IFERROR(VALUE(I22&amp;""),"")=0,IFERROR(VALUE(I22&amp;""),"")=1,IFERROR(VALUE(I22&amp;""),"")=2,IFERROR(VALUE(I22&amp;""),"")=3))))),AND(ISNUMBER(IFERROR(VALUE(I22&amp;""),"")),OR(IFERROR(VALUE(I22&amp;""),"")=0,IFERROR(VALUE(I22&amp;""),"")=1,IFERROR(VALUE(I22&amp;""),"")=2,IFERROR(VALUE(I22&amp;""),"")=3))),3*IF(D22="Must",2,1),0))</f>
        <v/>
      </c>
      <c r="P22" s="74">
        <f>IF(OR(AA22,NOT(AND(D22="Must",ISNUMBER(X22),X22=0))),0,1)</f>
        <v/>
      </c>
      <c r="Q22" s="74">
        <f>IF(OR(AA22,NOT(AND(D22="Must",ISNUMBER(X22),X22=1))),0,1)</f>
        <v/>
      </c>
      <c r="R22" s="74">
        <f>IF(AND(NOT(AA22),D22="Must",I22=""),1,0)</f>
        <v/>
      </c>
      <c r="S22" s="74">
        <f>IF(AND(NOT(AA22),UPPER(TRIM(I22&amp;""))="N/A",L22&lt;&gt;"Yes"),1,0)</f>
        <v/>
      </c>
      <c r="T22" s="74">
        <f>IF(AND(NOT(AA22),UPPER(TRIM(I22&amp;""))="NOT TESTED",M22&lt;&gt;"Yes"),1,0)</f>
        <v/>
      </c>
      <c r="U22" s="74">
        <f>IF(OR(AA22,NOT(AND(D22="Should",ISNUMBER(X22),X22=0))),0,1)</f>
        <v/>
      </c>
      <c r="V22" s="74">
        <f>IF(OR(AA22,NOT(AND(D22="Should",ISNUMBER(X22),X22=1))),0,1)</f>
        <v/>
      </c>
      <c r="W22" s="74">
        <f>IF(OR(I22="",AA22),0,1)</f>
        <v/>
      </c>
      <c r="X22" s="74">
        <f>IF(I22="","",IF(UPPER(TRIM(I22&amp;""))="N/A","N/A",IF(UPPER(TRIM(I22&amp;""))="NOT TESTED","NT",IF(AND(ISNUMBER(IFERROR(VALUE(I22&amp;""),"")),OR(IFERROR(VALUE(I22&amp;""),"")=0,IFERROR(VALUE(I22&amp;""),"")=1,IFERROR(VALUE(I22&amp;""),"")=2,IFERROR(VALUE(I22&amp;""),"")=3)),IFERROR(VALUE(I22&amp;""),""),"BAD"))))</f>
        <v/>
      </c>
      <c r="Y22" s="74">
        <f>IF(OR(AA22,NOT(OR(AND(D22="Must",I22="",SUM($W$6:$W$47)&gt;0),AND(ISNUMBER(X22),X22&lt;2),AND(UPPER(TRIM(I22&amp;""))="N/A",L22&lt;&gt;"Yes"),AND(UPPER(TRIM(I22&amp;""))="NOT TESTED",M22&lt;&gt;"Yes"),AND(NOT(I22=""),NOT(UPPER(TRIM(I22&amp;""))="N/A"),NOT(UPPER(TRIM(I22&amp;""))="NOT TESTED"),NOT(AND(ISNUMBER(IFERROR(VALUE(I22&amp;""),"")),OR(IFERROR(VALUE(I22&amp;""),"")=0,IFERROR(VALUE(I22&amp;""),"")=1,IFERROR(VALUE(I22&amp;""),"")=2,IFERROR(VALUE(I22&amp;""),"")=3))))))),0,1)</f>
        <v/>
      </c>
      <c r="Z22" s="74">
        <f>IF(Y22=1,COUNTIF($Y$6:Y22,1),0)</f>
        <v/>
      </c>
      <c r="AA22" s="74">
        <f>OR(AND(LEFT(A22,1)="O",EngagementType&lt;&gt;"Overall opinion"),AND(A22="G3",StandardsEra="Before 9 January 2025"),AND(A22="E2",OR(INDEX($I$6:$I$47,MATCH("E1",$A$6:$A$47,0))=0,INDEX($I$6:$I$47,MATCH("E1",$A$6:$A$47,0))="0")),AND(A22="B2",UPPER(TRIM(INDEX($I$6:$I$47,MATCH("B1",$A$6:$A$47,0))&amp;""))="N/A"),AND(OR(A22="D1",A22="D2",A22="D3",A22="D4",A22="D5"),UPPER(TRIM(INDEX($I$6:$I$47,MATCH("C1",$A$6:$A$47,0))&amp;""))="N/A"))</f>
        <v/>
      </c>
      <c r="AB22" s="26" t="inlineStr">
        <is>
          <t>14.5;15.1</t>
        </is>
      </c>
      <c r="AC22">
        <f>IF(AND(NOT(AA22),AND(NOT(I22=""),NOT(UPPER(TRIM(I22&amp;""))="N/A"),NOT(UPPER(TRIM(I22&amp;""))="NOT TESTED"),NOT(AND(ISNUMBER(IFERROR(VALUE(I22&amp;""),"")),OR(IFERROR(VALUE(I22&amp;""),"")=0,IFERROR(VALUE(I22&amp;""),"")=1,IFERROR(VALUE(I22&amp;""),"")=2,IFERROR(VALUE(I22&amp;""),"")=3))))),1,0)</f>
        <v/>
      </c>
    </row>
    <row r="23" ht="48" customHeight="1" s="79">
      <c r="A23" s="41" t="inlineStr">
        <is>
          <t>E2</t>
        </is>
      </c>
      <c r="B23" s="42" t="inlineStr">
        <is>
          <t>Conclusion</t>
        </is>
      </c>
      <c r="C23" s="43" t="inlineStr">
        <is>
          <t>Close</t>
        </is>
      </c>
      <c r="D23" s="44" t="inlineStr">
        <is>
          <t>Must</t>
        </is>
      </c>
      <c r="E23" s="42" t="inlineStr">
        <is>
          <t>The conclusion matches the findings</t>
        </is>
      </c>
      <c r="F23" s="42" t="inlineStr">
        <is>
          <t>The conclusion is consistent with the findings and their significance. Use N/A when E1 is 0. Do not also score 0 here. A favourable conclusion over an open high finding, with no explanation, scores 0.</t>
        </is>
      </c>
      <c r="G23" s="42">
        <f>"14.5 "&amp;INDEX('6. Standards'!$B$5:$B$21,MATCH("14.5",'6. Standards'!$A$5:$A$21,0))&amp;" — "&amp;INDEX('6. Standards'!$C$5:$C$21,MATCH("14.5",'6. Standards'!$A$5:$A$21,0))</f>
        <v/>
      </c>
      <c r="H23" s="42">
        <f>IF(OR(INDEX($I$6:$I$47,MATCH("E1",$A$6:$A$47,0))=0,INDEX($I$6:$I$47,MATCH("E1",$A$6:$A$47,0))="0"),"Off. "&amp;INDEX($A$6:$A$47,MATCH("E1",$A$6:$A$47,0))&amp;" is 0, so the missing conclusion is not scored again.","On. If "&amp;INDEX($A$6:$A$47,MATCH("E1",$A$6:$A$47,0))&amp;" is 0, leave this line and the formula will switch it off. "&amp;INDEX($A$6:$A$47,MATCH("E1",$A$6:$A$47,0))&amp;" is "&amp;IF(INDEX($I$6:$I$47,MATCH("E1",$A$6:$A$47,0))="","blank",INDEX($I$6:$I$47,MATCH("E1",$A$6:$A$47,0)))&amp;".")</f>
        <v/>
      </c>
      <c r="I23" s="77" t="n"/>
      <c r="J23" s="77" t="n"/>
      <c r="K23" s="77" t="n"/>
      <c r="L23" s="43" t="inlineStr">
        <is>
          <t>Yes</t>
        </is>
      </c>
      <c r="M23" s="43" t="inlineStr">
        <is>
          <t>No</t>
        </is>
      </c>
      <c r="N23" s="73">
        <f>IF(OR(OR(AA23,AND(UPPER(TRIM(I23&amp;""))="N/A",L23="Yes"),AND(UPPER(TRIM(I23&amp;""))="NOT TESTED",M23="Yes")),OR(AND(UPPER(TRIM(I23&amp;""))="N/A",L23&lt;&gt;"Yes"),AND(UPPER(TRIM(I23&amp;""))="NOT TESTED",M23&lt;&gt;"Yes"),AND(NOT(I23=""),NOT(UPPER(TRIM(I23&amp;""))="N/A"),NOT(UPPER(TRIM(I23&amp;""))="NOT TESTED"),NOT(AND(ISNUMBER(IFERROR(VALUE(I23&amp;""),"")),OR(IFERROR(VALUE(I23&amp;""),"")=0,IFERROR(VALUE(I23&amp;""),"")=1,IFERROR(VALUE(I23&amp;""),"")=2,IFERROR(VALUE(I23&amp;""),"")=3)))))),0,IF(AND(ISNUMBER(IFERROR(VALUE(I23&amp;""),"")),OR(IFERROR(VALUE(I23&amp;""),"")=0,IFERROR(VALUE(I23&amp;""),"")=1,IFERROR(VALUE(I23&amp;""),"")=2,IFERROR(VALUE(I23&amp;""),"")=3)),IFERROR(VALUE(I23&amp;""),"")*IF(D23="Must",2,1),0))</f>
        <v/>
      </c>
      <c r="O23" s="73">
        <f>IF(OR(AA23,AND(UPPER(TRIM(I23&amp;""))="N/A",L23="Yes"),AND(UPPER(TRIM(I23&amp;""))="NOT TESTED",M23="Yes")),0,IF(OR(OR(AND(UPPER(TRIM(I23&amp;""))="N/A",L23&lt;&gt;"Yes"),AND(UPPER(TRIM(I23&amp;""))="NOT TESTED",M23&lt;&gt;"Yes"),AND(NOT(I23=""),NOT(UPPER(TRIM(I23&amp;""))="N/A"),NOT(UPPER(TRIM(I23&amp;""))="NOT TESTED"),NOT(AND(ISNUMBER(IFERROR(VALUE(I23&amp;""),"")),OR(IFERROR(VALUE(I23&amp;""),"")=0,IFERROR(VALUE(I23&amp;""),"")=1,IFERROR(VALUE(I23&amp;""),"")=2,IFERROR(VALUE(I23&amp;""),"")=3))))),AND(ISNUMBER(IFERROR(VALUE(I23&amp;""),"")),OR(IFERROR(VALUE(I23&amp;""),"")=0,IFERROR(VALUE(I23&amp;""),"")=1,IFERROR(VALUE(I23&amp;""),"")=2,IFERROR(VALUE(I23&amp;""),"")=3))),3*IF(D23="Must",2,1),0))</f>
        <v/>
      </c>
      <c r="P23" s="74">
        <f>IF(OR(AA23,NOT(AND(D23="Must",ISNUMBER(X23),X23=0))),0,1)</f>
        <v/>
      </c>
      <c r="Q23" s="74">
        <f>IF(OR(AA23,NOT(AND(D23="Must",ISNUMBER(X23),X23=1))),0,1)</f>
        <v/>
      </c>
      <c r="R23" s="74">
        <f>IF(AND(NOT(AA23),D23="Must",I23=""),1,0)</f>
        <v/>
      </c>
      <c r="S23" s="74">
        <f>IF(AND(NOT(AA23),UPPER(TRIM(I23&amp;""))="N/A",L23&lt;&gt;"Yes"),1,0)</f>
        <v/>
      </c>
      <c r="T23" s="74">
        <f>IF(AND(NOT(AA23),UPPER(TRIM(I23&amp;""))="NOT TESTED",M23&lt;&gt;"Yes"),1,0)</f>
        <v/>
      </c>
      <c r="U23" s="74">
        <f>IF(OR(AA23,NOT(AND(D23="Should",ISNUMBER(X23),X23=0))),0,1)</f>
        <v/>
      </c>
      <c r="V23" s="74">
        <f>IF(OR(AA23,NOT(AND(D23="Should",ISNUMBER(X23),X23=1))),0,1)</f>
        <v/>
      </c>
      <c r="W23" s="74">
        <f>IF(OR(I23="",AA23),0,1)</f>
        <v/>
      </c>
      <c r="X23" s="74">
        <f>IF(I23="","",IF(UPPER(TRIM(I23&amp;""))="N/A","N/A",IF(UPPER(TRIM(I23&amp;""))="NOT TESTED","NT",IF(AND(ISNUMBER(IFERROR(VALUE(I23&amp;""),"")),OR(IFERROR(VALUE(I23&amp;""),"")=0,IFERROR(VALUE(I23&amp;""),"")=1,IFERROR(VALUE(I23&amp;""),"")=2,IFERROR(VALUE(I23&amp;""),"")=3)),IFERROR(VALUE(I23&amp;""),""),"BAD"))))</f>
        <v/>
      </c>
      <c r="Y23" s="74">
        <f>IF(OR(AA23,NOT(OR(AND(D23="Must",I23="",SUM($W$6:$W$47)&gt;0),AND(ISNUMBER(X23),X23&lt;2),AND(UPPER(TRIM(I23&amp;""))="N/A",L23&lt;&gt;"Yes"),AND(UPPER(TRIM(I23&amp;""))="NOT TESTED",M23&lt;&gt;"Yes"),AND(NOT(I23=""),NOT(UPPER(TRIM(I23&amp;""))="N/A"),NOT(UPPER(TRIM(I23&amp;""))="NOT TESTED"),NOT(AND(ISNUMBER(IFERROR(VALUE(I23&amp;""),"")),OR(IFERROR(VALUE(I23&amp;""),"")=0,IFERROR(VALUE(I23&amp;""),"")=1,IFERROR(VALUE(I23&amp;""),"")=2,IFERROR(VALUE(I23&amp;""),"")=3))))))),0,1)</f>
        <v/>
      </c>
      <c r="Z23" s="74">
        <f>IF(Y23=1,COUNTIF($Y$6:Y23,1),0)</f>
        <v/>
      </c>
      <c r="AA23" s="74">
        <f>OR(AND(LEFT(A23,1)="O",EngagementType&lt;&gt;"Overall opinion"),AND(A23="G3",StandardsEra="Before 9 January 2025"),AND(A23="E2",OR(INDEX($I$6:$I$47,MATCH("E1",$A$6:$A$47,0))=0,INDEX($I$6:$I$47,MATCH("E1",$A$6:$A$47,0))="0")),AND(A23="B2",UPPER(TRIM(INDEX($I$6:$I$47,MATCH("B1",$A$6:$A$47,0))&amp;""))="N/A"),AND(OR(A23="D1",A23="D2",A23="D3",A23="D4",A23="D5"),UPPER(TRIM(INDEX($I$6:$I$47,MATCH("C1",$A$6:$A$47,0))&amp;""))="N/A"))</f>
        <v/>
      </c>
      <c r="AB23" s="26" t="inlineStr">
        <is>
          <t>14.5</t>
        </is>
      </c>
      <c r="AC23">
        <f>IF(AND(NOT(AA23),AND(NOT(I23=""),NOT(UPPER(TRIM(I23&amp;""))="N/A"),NOT(UPPER(TRIM(I23&amp;""))="NOT TESTED"),NOT(AND(ISNUMBER(IFERROR(VALUE(I23&amp;""),"")),OR(IFERROR(VALUE(I23&amp;""),"")=0,IFERROR(VALUE(I23&amp;""),"")=1,IFERROR(VALUE(I23&amp;""),"")=2,IFERROR(VALUE(I23&amp;""),"")=3))))),1,0)</f>
        <v/>
      </c>
    </row>
    <row r="24" ht="48" customHeight="1" s="79">
      <c r="A24" s="45" t="inlineStr">
        <is>
          <t>F1</t>
        </is>
      </c>
      <c r="B24" s="46" t="inlineStr">
        <is>
          <t>Communication quality</t>
        </is>
      </c>
      <c r="C24" s="47" t="inlineStr">
        <is>
          <t>Close</t>
        </is>
      </c>
      <c r="D24" s="48" t="inlineStr">
        <is>
          <t>Must</t>
        </is>
      </c>
      <c r="E24" s="46" t="inlineStr">
        <is>
          <t>Accurate</t>
        </is>
      </c>
      <c r="F24" s="46" t="inlineStr">
        <is>
          <t>Free from error and distortion, and faithful to the facts. Names, figures, dates, and ratings that the report does show agree with each other. Do not score 0 only because a knowledge copy redacted a figure. Do score 0 or 1 when two figures in the report contradict each other.</t>
        </is>
      </c>
      <c r="G24" s="46">
        <f>"15.1 "&amp;INDEX('6. Standards'!$B$5:$B$21,MATCH("15.1",'6. Standards'!$A$5:$A$21,0))&amp;" — "&amp;INDEX('6. Standards'!$C$5:$C$21,MATCH("15.1",'6. Standards'!$A$5:$A$21,0))&amp;CHAR(10)&amp;"11.2 "&amp;INDEX('6. Standards'!$B$5:$B$21,MATCH("11.2",'6. Standards'!$A$5:$A$21,0))&amp;" — "&amp;INDEX('6. Standards'!$C$5:$C$21,MATCH("11.2",'6. Standards'!$A$5:$A$21,0))</f>
        <v/>
      </c>
      <c r="H24" s="46">
        <f>"No other line switches this off."</f>
        <v/>
      </c>
      <c r="I24" s="77" t="n"/>
      <c r="J24" s="77" t="n"/>
      <c r="K24" s="77" t="n"/>
      <c r="L24" s="47" t="inlineStr">
        <is>
          <t>No</t>
        </is>
      </c>
      <c r="M24" s="47" t="inlineStr">
        <is>
          <t>No</t>
        </is>
      </c>
      <c r="N24" s="73">
        <f>IF(OR(OR(AA24,AND(UPPER(TRIM(I24&amp;""))="N/A",L24="Yes"),AND(UPPER(TRIM(I24&amp;""))="NOT TESTED",M24="Yes")),OR(AND(UPPER(TRIM(I24&amp;""))="N/A",L24&lt;&gt;"Yes"),AND(UPPER(TRIM(I24&amp;""))="NOT TESTED",M24&lt;&gt;"Yes"),AND(NOT(I24=""),NOT(UPPER(TRIM(I24&amp;""))="N/A"),NOT(UPPER(TRIM(I24&amp;""))="NOT TESTED"),NOT(AND(ISNUMBER(IFERROR(VALUE(I24&amp;""),"")),OR(IFERROR(VALUE(I24&amp;""),"")=0,IFERROR(VALUE(I24&amp;""),"")=1,IFERROR(VALUE(I24&amp;""),"")=2,IFERROR(VALUE(I24&amp;""),"")=3)))))),0,IF(AND(ISNUMBER(IFERROR(VALUE(I24&amp;""),"")),OR(IFERROR(VALUE(I24&amp;""),"")=0,IFERROR(VALUE(I24&amp;""),"")=1,IFERROR(VALUE(I24&amp;""),"")=2,IFERROR(VALUE(I24&amp;""),"")=3)),IFERROR(VALUE(I24&amp;""),"")*IF(D24="Must",2,1),0))</f>
        <v/>
      </c>
      <c r="O24" s="73">
        <f>IF(OR(AA24,AND(UPPER(TRIM(I24&amp;""))="N/A",L24="Yes"),AND(UPPER(TRIM(I24&amp;""))="NOT TESTED",M24="Yes")),0,IF(OR(OR(AND(UPPER(TRIM(I24&amp;""))="N/A",L24&lt;&gt;"Yes"),AND(UPPER(TRIM(I24&amp;""))="NOT TESTED",M24&lt;&gt;"Yes"),AND(NOT(I24=""),NOT(UPPER(TRIM(I24&amp;""))="N/A"),NOT(UPPER(TRIM(I24&amp;""))="NOT TESTED"),NOT(AND(ISNUMBER(IFERROR(VALUE(I24&amp;""),"")),OR(IFERROR(VALUE(I24&amp;""),"")=0,IFERROR(VALUE(I24&amp;""),"")=1,IFERROR(VALUE(I24&amp;""),"")=2,IFERROR(VALUE(I24&amp;""),"")=3))))),AND(ISNUMBER(IFERROR(VALUE(I24&amp;""),"")),OR(IFERROR(VALUE(I24&amp;""),"")=0,IFERROR(VALUE(I24&amp;""),"")=1,IFERROR(VALUE(I24&amp;""),"")=2,IFERROR(VALUE(I24&amp;""),"")=3))),3*IF(D24="Must",2,1),0))</f>
        <v/>
      </c>
      <c r="P24" s="74">
        <f>IF(OR(AA24,NOT(AND(D24="Must",ISNUMBER(X24),X24=0))),0,1)</f>
        <v/>
      </c>
      <c r="Q24" s="74">
        <f>IF(OR(AA24,NOT(AND(D24="Must",ISNUMBER(X24),X24=1))),0,1)</f>
        <v/>
      </c>
      <c r="R24" s="74">
        <f>IF(AND(NOT(AA24),D24="Must",I24=""),1,0)</f>
        <v/>
      </c>
      <c r="S24" s="74">
        <f>IF(AND(NOT(AA24),UPPER(TRIM(I24&amp;""))="N/A",L24&lt;&gt;"Yes"),1,0)</f>
        <v/>
      </c>
      <c r="T24" s="74">
        <f>IF(AND(NOT(AA24),UPPER(TRIM(I24&amp;""))="NOT TESTED",M24&lt;&gt;"Yes"),1,0)</f>
        <v/>
      </c>
      <c r="U24" s="74">
        <f>IF(OR(AA24,NOT(AND(D24="Should",ISNUMBER(X24),X24=0))),0,1)</f>
        <v/>
      </c>
      <c r="V24" s="74">
        <f>IF(OR(AA24,NOT(AND(D24="Should",ISNUMBER(X24),X24=1))),0,1)</f>
        <v/>
      </c>
      <c r="W24" s="74">
        <f>IF(OR(I24="",AA24),0,1)</f>
        <v/>
      </c>
      <c r="X24" s="74">
        <f>IF(I24="","",IF(UPPER(TRIM(I24&amp;""))="N/A","N/A",IF(UPPER(TRIM(I24&amp;""))="NOT TESTED","NT",IF(AND(ISNUMBER(IFERROR(VALUE(I24&amp;""),"")),OR(IFERROR(VALUE(I24&amp;""),"")=0,IFERROR(VALUE(I24&amp;""),"")=1,IFERROR(VALUE(I24&amp;""),"")=2,IFERROR(VALUE(I24&amp;""),"")=3)),IFERROR(VALUE(I24&amp;""),""),"BAD"))))</f>
        <v/>
      </c>
      <c r="Y24" s="74">
        <f>IF(OR(AA24,NOT(OR(AND(D24="Must",I24="",SUM($W$6:$W$47)&gt;0),AND(ISNUMBER(X24),X24&lt;2),AND(UPPER(TRIM(I24&amp;""))="N/A",L24&lt;&gt;"Yes"),AND(UPPER(TRIM(I24&amp;""))="NOT TESTED",M24&lt;&gt;"Yes"),AND(NOT(I24=""),NOT(UPPER(TRIM(I24&amp;""))="N/A"),NOT(UPPER(TRIM(I24&amp;""))="NOT TESTED"),NOT(AND(ISNUMBER(IFERROR(VALUE(I24&amp;""),"")),OR(IFERROR(VALUE(I24&amp;""),"")=0,IFERROR(VALUE(I24&amp;""),"")=1,IFERROR(VALUE(I24&amp;""),"")=2,IFERROR(VALUE(I24&amp;""),"")=3))))))),0,1)</f>
        <v/>
      </c>
      <c r="Z24" s="74">
        <f>IF(Y24=1,COUNTIF($Y$6:Y24,1),0)</f>
        <v/>
      </c>
      <c r="AA24" s="74">
        <f>OR(AND(LEFT(A24,1)="O",EngagementType&lt;&gt;"Overall opinion"),AND(A24="G3",StandardsEra="Before 9 January 2025"),AND(A24="E2",OR(INDEX($I$6:$I$47,MATCH("E1",$A$6:$A$47,0))=0,INDEX($I$6:$I$47,MATCH("E1",$A$6:$A$47,0))="0")),AND(A24="B2",UPPER(TRIM(INDEX($I$6:$I$47,MATCH("B1",$A$6:$A$47,0))&amp;""))="N/A"),AND(OR(A24="D1",A24="D2",A24="D3",A24="D4",A24="D5"),UPPER(TRIM(INDEX($I$6:$I$47,MATCH("C1",$A$6:$A$47,0))&amp;""))="N/A"))</f>
        <v/>
      </c>
      <c r="AB24" s="26" t="inlineStr">
        <is>
          <t>15.1;11.2</t>
        </is>
      </c>
      <c r="AC24">
        <f>IF(AND(NOT(AA24),AND(NOT(I24=""),NOT(UPPER(TRIM(I24&amp;""))="N/A"),NOT(UPPER(TRIM(I24&amp;""))="NOT TESTED"),NOT(AND(ISNUMBER(IFERROR(VALUE(I24&amp;""),"")),OR(IFERROR(VALUE(I24&amp;""),"")=0,IFERROR(VALUE(I24&amp;""),"")=1,IFERROR(VALUE(I24&amp;""),"")=2,IFERROR(VALUE(I24&amp;""),"")=3))))),1,0)</f>
        <v/>
      </c>
    </row>
    <row r="25" ht="48" customHeight="1" s="79">
      <c r="A25" s="45" t="inlineStr">
        <is>
          <t>F2</t>
        </is>
      </c>
      <c r="B25" s="46" t="inlineStr">
        <is>
          <t>Communication quality</t>
        </is>
      </c>
      <c r="C25" s="47" t="inlineStr">
        <is>
          <t>Close</t>
        </is>
      </c>
      <c r="D25" s="48" t="inlineStr">
        <is>
          <t>Must</t>
        </is>
      </c>
      <c r="E25" s="46" t="inlineStr">
        <is>
          <t>Objective</t>
        </is>
      </c>
      <c r="F25" s="46" t="inlineStr">
        <is>
          <t>Impartial, and the result of a fair assessment of the relevant facts. The tone does not advocate or blame. Contrary evidence is not left out.</t>
        </is>
      </c>
      <c r="G25" s="46">
        <f>"15.1 "&amp;INDEX('6. Standards'!$B$5:$B$21,MATCH("15.1",'6. Standards'!$A$5:$A$21,0))&amp;" — "&amp;INDEX('6. Standards'!$C$5:$C$21,MATCH("15.1",'6. Standards'!$A$5:$A$21,0))&amp;CHAR(10)&amp;"11.2 "&amp;INDEX('6. Standards'!$B$5:$B$21,MATCH("11.2",'6. Standards'!$A$5:$A$21,0))&amp;" — "&amp;INDEX('6. Standards'!$C$5:$C$21,MATCH("11.2",'6. Standards'!$A$5:$A$21,0))&amp;CHAR(10)&amp;"P2 "&amp;INDEX('6. Standards'!$B$5:$B$21,MATCH("P2",'6. Standards'!$A$5:$A$21,0))&amp;" — "&amp;INDEX('6. Standards'!$C$5:$C$21,MATCH("P2",'6. Standards'!$A$5:$A$21,0))</f>
        <v/>
      </c>
      <c r="H25" s="46">
        <f>"No other line switches this off."</f>
        <v/>
      </c>
      <c r="I25" s="77" t="n"/>
      <c r="J25" s="77" t="n"/>
      <c r="K25" s="77" t="n"/>
      <c r="L25" s="47" t="inlineStr">
        <is>
          <t>No</t>
        </is>
      </c>
      <c r="M25" s="47" t="inlineStr">
        <is>
          <t>No</t>
        </is>
      </c>
      <c r="N25" s="73">
        <f>IF(OR(OR(AA25,AND(UPPER(TRIM(I25&amp;""))="N/A",L25="Yes"),AND(UPPER(TRIM(I25&amp;""))="NOT TESTED",M25="Yes")),OR(AND(UPPER(TRIM(I25&amp;""))="N/A",L25&lt;&gt;"Yes"),AND(UPPER(TRIM(I25&amp;""))="NOT TESTED",M25&lt;&gt;"Yes"),AND(NOT(I25=""),NOT(UPPER(TRIM(I25&amp;""))="N/A"),NOT(UPPER(TRIM(I25&amp;""))="NOT TESTED"),NOT(AND(ISNUMBER(IFERROR(VALUE(I25&amp;""),"")),OR(IFERROR(VALUE(I25&amp;""),"")=0,IFERROR(VALUE(I25&amp;""),"")=1,IFERROR(VALUE(I25&amp;""),"")=2,IFERROR(VALUE(I25&amp;""),"")=3)))))),0,IF(AND(ISNUMBER(IFERROR(VALUE(I25&amp;""),"")),OR(IFERROR(VALUE(I25&amp;""),"")=0,IFERROR(VALUE(I25&amp;""),"")=1,IFERROR(VALUE(I25&amp;""),"")=2,IFERROR(VALUE(I25&amp;""),"")=3)),IFERROR(VALUE(I25&amp;""),"")*IF(D25="Must",2,1),0))</f>
        <v/>
      </c>
      <c r="O25" s="73">
        <f>IF(OR(AA25,AND(UPPER(TRIM(I25&amp;""))="N/A",L25="Yes"),AND(UPPER(TRIM(I25&amp;""))="NOT TESTED",M25="Yes")),0,IF(OR(OR(AND(UPPER(TRIM(I25&amp;""))="N/A",L25&lt;&gt;"Yes"),AND(UPPER(TRIM(I25&amp;""))="NOT TESTED",M25&lt;&gt;"Yes"),AND(NOT(I25=""),NOT(UPPER(TRIM(I25&amp;""))="N/A"),NOT(UPPER(TRIM(I25&amp;""))="NOT TESTED"),NOT(AND(ISNUMBER(IFERROR(VALUE(I25&amp;""),"")),OR(IFERROR(VALUE(I25&amp;""),"")=0,IFERROR(VALUE(I25&amp;""),"")=1,IFERROR(VALUE(I25&amp;""),"")=2,IFERROR(VALUE(I25&amp;""),"")=3))))),AND(ISNUMBER(IFERROR(VALUE(I25&amp;""),"")),OR(IFERROR(VALUE(I25&amp;""),"")=0,IFERROR(VALUE(I25&amp;""),"")=1,IFERROR(VALUE(I25&amp;""),"")=2,IFERROR(VALUE(I25&amp;""),"")=3))),3*IF(D25="Must",2,1),0))</f>
        <v/>
      </c>
      <c r="P25" s="74">
        <f>IF(OR(AA25,NOT(AND(D25="Must",ISNUMBER(X25),X25=0))),0,1)</f>
        <v/>
      </c>
      <c r="Q25" s="74">
        <f>IF(OR(AA25,NOT(AND(D25="Must",ISNUMBER(X25),X25=1))),0,1)</f>
        <v/>
      </c>
      <c r="R25" s="74">
        <f>IF(AND(NOT(AA25),D25="Must",I25=""),1,0)</f>
        <v/>
      </c>
      <c r="S25" s="74">
        <f>IF(AND(NOT(AA25),UPPER(TRIM(I25&amp;""))="N/A",L25&lt;&gt;"Yes"),1,0)</f>
        <v/>
      </c>
      <c r="T25" s="74">
        <f>IF(AND(NOT(AA25),UPPER(TRIM(I25&amp;""))="NOT TESTED",M25&lt;&gt;"Yes"),1,0)</f>
        <v/>
      </c>
      <c r="U25" s="74">
        <f>IF(OR(AA25,NOT(AND(D25="Should",ISNUMBER(X25),X25=0))),0,1)</f>
        <v/>
      </c>
      <c r="V25" s="74">
        <f>IF(OR(AA25,NOT(AND(D25="Should",ISNUMBER(X25),X25=1))),0,1)</f>
        <v/>
      </c>
      <c r="W25" s="74">
        <f>IF(OR(I25="",AA25),0,1)</f>
        <v/>
      </c>
      <c r="X25" s="74">
        <f>IF(I25="","",IF(UPPER(TRIM(I25&amp;""))="N/A","N/A",IF(UPPER(TRIM(I25&amp;""))="NOT TESTED","NT",IF(AND(ISNUMBER(IFERROR(VALUE(I25&amp;""),"")),OR(IFERROR(VALUE(I25&amp;""),"")=0,IFERROR(VALUE(I25&amp;""),"")=1,IFERROR(VALUE(I25&amp;""),"")=2,IFERROR(VALUE(I25&amp;""),"")=3)),IFERROR(VALUE(I25&amp;""),""),"BAD"))))</f>
        <v/>
      </c>
      <c r="Y25" s="74">
        <f>IF(OR(AA25,NOT(OR(AND(D25="Must",I25="",SUM($W$6:$W$47)&gt;0),AND(ISNUMBER(X25),X25&lt;2),AND(UPPER(TRIM(I25&amp;""))="N/A",L25&lt;&gt;"Yes"),AND(UPPER(TRIM(I25&amp;""))="NOT TESTED",M25&lt;&gt;"Yes"),AND(NOT(I25=""),NOT(UPPER(TRIM(I25&amp;""))="N/A"),NOT(UPPER(TRIM(I25&amp;""))="NOT TESTED"),NOT(AND(ISNUMBER(IFERROR(VALUE(I25&amp;""),"")),OR(IFERROR(VALUE(I25&amp;""),"")=0,IFERROR(VALUE(I25&amp;""),"")=1,IFERROR(VALUE(I25&amp;""),"")=2,IFERROR(VALUE(I25&amp;""),"")=3))))))),0,1)</f>
        <v/>
      </c>
      <c r="Z25" s="74">
        <f>IF(Y25=1,COUNTIF($Y$6:Y25,1),0)</f>
        <v/>
      </c>
      <c r="AA25" s="74">
        <f>OR(AND(LEFT(A25,1)="O",EngagementType&lt;&gt;"Overall opinion"),AND(A25="G3",StandardsEra="Before 9 January 2025"),AND(A25="E2",OR(INDEX($I$6:$I$47,MATCH("E1",$A$6:$A$47,0))=0,INDEX($I$6:$I$47,MATCH("E1",$A$6:$A$47,0))="0")),AND(A25="B2",UPPER(TRIM(INDEX($I$6:$I$47,MATCH("B1",$A$6:$A$47,0))&amp;""))="N/A"),AND(OR(A25="D1",A25="D2",A25="D3",A25="D4",A25="D5"),UPPER(TRIM(INDEX($I$6:$I$47,MATCH("C1",$A$6:$A$47,0))&amp;""))="N/A"))</f>
        <v/>
      </c>
      <c r="AB25" s="26" t="inlineStr">
        <is>
          <t>15.1;11.2;P2</t>
        </is>
      </c>
      <c r="AC25">
        <f>IF(AND(NOT(AA25),AND(NOT(I25=""),NOT(UPPER(TRIM(I25&amp;""))="N/A"),NOT(UPPER(TRIM(I25&amp;""))="NOT TESTED"),NOT(AND(ISNUMBER(IFERROR(VALUE(I25&amp;""),"")),OR(IFERROR(VALUE(I25&amp;""),"")=0,IFERROR(VALUE(I25&amp;""),"")=1,IFERROR(VALUE(I25&amp;""),"")=2,IFERROR(VALUE(I25&amp;""),"")=3))))),1,0)</f>
        <v/>
      </c>
    </row>
    <row r="26" ht="48" customHeight="1" s="79">
      <c r="A26" s="45" t="inlineStr">
        <is>
          <t>F3</t>
        </is>
      </c>
      <c r="B26" s="46" t="inlineStr">
        <is>
          <t>Communication quality</t>
        </is>
      </c>
      <c r="C26" s="47" t="inlineStr">
        <is>
          <t>Close</t>
        </is>
      </c>
      <c r="D26" s="48" t="inlineStr">
        <is>
          <t>Must</t>
        </is>
      </c>
      <c r="E26" s="46" t="inlineStr">
        <is>
          <t>Clear</t>
        </is>
      </c>
      <c r="F26" s="46" t="inlineStr">
        <is>
          <t>Logical, and understood by the intended reader. Uncommon terms are explained. Significant detail that supports the findings is included.</t>
        </is>
      </c>
      <c r="G26" s="46">
        <f>"15.1 "&amp;INDEX('6. Standards'!$B$5:$B$21,MATCH("15.1",'6. Standards'!$A$5:$A$21,0))&amp;" — "&amp;INDEX('6. Standards'!$C$5:$C$21,MATCH("15.1",'6. Standards'!$A$5:$A$21,0))&amp;CHAR(10)&amp;"11.2 "&amp;INDEX('6. Standards'!$B$5:$B$21,MATCH("11.2",'6. Standards'!$A$5:$A$21,0))&amp;" — "&amp;INDEX('6. Standards'!$C$5:$C$21,MATCH("11.2",'6. Standards'!$A$5:$A$21,0))</f>
        <v/>
      </c>
      <c r="H26" s="46">
        <f>"No other line switches this off."</f>
        <v/>
      </c>
      <c r="I26" s="77" t="n"/>
      <c r="J26" s="77" t="n"/>
      <c r="K26" s="77" t="n"/>
      <c r="L26" s="47" t="inlineStr">
        <is>
          <t>No</t>
        </is>
      </c>
      <c r="M26" s="47" t="inlineStr">
        <is>
          <t>No</t>
        </is>
      </c>
      <c r="N26" s="73">
        <f>IF(OR(OR(AA26,AND(UPPER(TRIM(I26&amp;""))="N/A",L26="Yes"),AND(UPPER(TRIM(I26&amp;""))="NOT TESTED",M26="Yes")),OR(AND(UPPER(TRIM(I26&amp;""))="N/A",L26&lt;&gt;"Yes"),AND(UPPER(TRIM(I26&amp;""))="NOT TESTED",M26&lt;&gt;"Yes"),AND(NOT(I26=""),NOT(UPPER(TRIM(I26&amp;""))="N/A"),NOT(UPPER(TRIM(I26&amp;""))="NOT TESTED"),NOT(AND(ISNUMBER(IFERROR(VALUE(I26&amp;""),"")),OR(IFERROR(VALUE(I26&amp;""),"")=0,IFERROR(VALUE(I26&amp;""),"")=1,IFERROR(VALUE(I26&amp;""),"")=2,IFERROR(VALUE(I26&amp;""),"")=3)))))),0,IF(AND(ISNUMBER(IFERROR(VALUE(I26&amp;""),"")),OR(IFERROR(VALUE(I26&amp;""),"")=0,IFERROR(VALUE(I26&amp;""),"")=1,IFERROR(VALUE(I26&amp;""),"")=2,IFERROR(VALUE(I26&amp;""),"")=3)),IFERROR(VALUE(I26&amp;""),"")*IF(D26="Must",2,1),0))</f>
        <v/>
      </c>
      <c r="O26" s="73">
        <f>IF(OR(AA26,AND(UPPER(TRIM(I26&amp;""))="N/A",L26="Yes"),AND(UPPER(TRIM(I26&amp;""))="NOT TESTED",M26="Yes")),0,IF(OR(OR(AND(UPPER(TRIM(I26&amp;""))="N/A",L26&lt;&gt;"Yes"),AND(UPPER(TRIM(I26&amp;""))="NOT TESTED",M26&lt;&gt;"Yes"),AND(NOT(I26=""),NOT(UPPER(TRIM(I26&amp;""))="N/A"),NOT(UPPER(TRIM(I26&amp;""))="NOT TESTED"),NOT(AND(ISNUMBER(IFERROR(VALUE(I26&amp;""),"")),OR(IFERROR(VALUE(I26&amp;""),"")=0,IFERROR(VALUE(I26&amp;""),"")=1,IFERROR(VALUE(I26&amp;""),"")=2,IFERROR(VALUE(I26&amp;""),"")=3))))),AND(ISNUMBER(IFERROR(VALUE(I26&amp;""),"")),OR(IFERROR(VALUE(I26&amp;""),"")=0,IFERROR(VALUE(I26&amp;""),"")=1,IFERROR(VALUE(I26&amp;""),"")=2,IFERROR(VALUE(I26&amp;""),"")=3))),3*IF(D26="Must",2,1),0))</f>
        <v/>
      </c>
      <c r="P26" s="74">
        <f>IF(OR(AA26,NOT(AND(D26="Must",ISNUMBER(X26),X26=0))),0,1)</f>
        <v/>
      </c>
      <c r="Q26" s="74">
        <f>IF(OR(AA26,NOT(AND(D26="Must",ISNUMBER(X26),X26=1))),0,1)</f>
        <v/>
      </c>
      <c r="R26" s="74">
        <f>IF(AND(NOT(AA26),D26="Must",I26=""),1,0)</f>
        <v/>
      </c>
      <c r="S26" s="74">
        <f>IF(AND(NOT(AA26),UPPER(TRIM(I26&amp;""))="N/A",L26&lt;&gt;"Yes"),1,0)</f>
        <v/>
      </c>
      <c r="T26" s="74">
        <f>IF(AND(NOT(AA26),UPPER(TRIM(I26&amp;""))="NOT TESTED",M26&lt;&gt;"Yes"),1,0)</f>
        <v/>
      </c>
      <c r="U26" s="74">
        <f>IF(OR(AA26,NOT(AND(D26="Should",ISNUMBER(X26),X26=0))),0,1)</f>
        <v/>
      </c>
      <c r="V26" s="74">
        <f>IF(OR(AA26,NOT(AND(D26="Should",ISNUMBER(X26),X26=1))),0,1)</f>
        <v/>
      </c>
      <c r="W26" s="74">
        <f>IF(OR(I26="",AA26),0,1)</f>
        <v/>
      </c>
      <c r="X26" s="74">
        <f>IF(I26="","",IF(UPPER(TRIM(I26&amp;""))="N/A","N/A",IF(UPPER(TRIM(I26&amp;""))="NOT TESTED","NT",IF(AND(ISNUMBER(IFERROR(VALUE(I26&amp;""),"")),OR(IFERROR(VALUE(I26&amp;""),"")=0,IFERROR(VALUE(I26&amp;""),"")=1,IFERROR(VALUE(I26&amp;""),"")=2,IFERROR(VALUE(I26&amp;""),"")=3)),IFERROR(VALUE(I26&amp;""),""),"BAD"))))</f>
        <v/>
      </c>
      <c r="Y26" s="74">
        <f>IF(OR(AA26,NOT(OR(AND(D26="Must",I26="",SUM($W$6:$W$47)&gt;0),AND(ISNUMBER(X26),X26&lt;2),AND(UPPER(TRIM(I26&amp;""))="N/A",L26&lt;&gt;"Yes"),AND(UPPER(TRIM(I26&amp;""))="NOT TESTED",M26&lt;&gt;"Yes"),AND(NOT(I26=""),NOT(UPPER(TRIM(I26&amp;""))="N/A"),NOT(UPPER(TRIM(I26&amp;""))="NOT TESTED"),NOT(AND(ISNUMBER(IFERROR(VALUE(I26&amp;""),"")),OR(IFERROR(VALUE(I26&amp;""),"")=0,IFERROR(VALUE(I26&amp;""),"")=1,IFERROR(VALUE(I26&amp;""),"")=2,IFERROR(VALUE(I26&amp;""),"")=3))))))),0,1)</f>
        <v/>
      </c>
      <c r="Z26" s="74">
        <f>IF(Y26=1,COUNTIF($Y$6:Y26,1),0)</f>
        <v/>
      </c>
      <c r="AA26" s="74">
        <f>OR(AND(LEFT(A26,1)="O",EngagementType&lt;&gt;"Overall opinion"),AND(A26="G3",StandardsEra="Before 9 January 2025"),AND(A26="E2",OR(INDEX($I$6:$I$47,MATCH("E1",$A$6:$A$47,0))=0,INDEX($I$6:$I$47,MATCH("E1",$A$6:$A$47,0))="0")),AND(A26="B2",UPPER(TRIM(INDEX($I$6:$I$47,MATCH("B1",$A$6:$A$47,0))&amp;""))="N/A"),AND(OR(A26="D1",A26="D2",A26="D3",A26="D4",A26="D5"),UPPER(TRIM(INDEX($I$6:$I$47,MATCH("C1",$A$6:$A$47,0))&amp;""))="N/A"))</f>
        <v/>
      </c>
      <c r="AB26" s="26" t="inlineStr">
        <is>
          <t>15.1;11.2</t>
        </is>
      </c>
      <c r="AC26">
        <f>IF(AND(NOT(AA26),AND(NOT(I26=""),NOT(UPPER(TRIM(I26&amp;""))="N/A"),NOT(UPPER(TRIM(I26&amp;""))="NOT TESTED"),NOT(AND(ISNUMBER(IFERROR(VALUE(I26&amp;""),"")),OR(IFERROR(VALUE(I26&amp;""),"")=0,IFERROR(VALUE(I26&amp;""),"")=1,IFERROR(VALUE(I26&amp;""),"")=2,IFERROR(VALUE(I26&amp;""),"")=3))))),1,0)</f>
        <v/>
      </c>
    </row>
    <row r="27" ht="48" customHeight="1" s="79">
      <c r="A27" s="45" t="inlineStr">
        <is>
          <t>F4</t>
        </is>
      </c>
      <c r="B27" s="46" t="inlineStr">
        <is>
          <t>Communication quality</t>
        </is>
      </c>
      <c r="C27" s="47" t="inlineStr">
        <is>
          <t>Close</t>
        </is>
      </c>
      <c r="D27" s="48" t="inlineStr">
        <is>
          <t>Must</t>
        </is>
      </c>
      <c r="E27" s="46" t="inlineStr">
        <is>
          <t>Concise</t>
        </is>
      </c>
      <c r="F27" s="46" t="inlineStr">
        <is>
          <t>Free of unnecessary detail and repetition. Standard paragraphs that do not change the result score 1 when they crowd the report.</t>
        </is>
      </c>
      <c r="G27" s="46">
        <f>"15.1 "&amp;INDEX('6. Standards'!$B$5:$B$21,MATCH("15.1",'6. Standards'!$A$5:$A$21,0))&amp;" — "&amp;INDEX('6. Standards'!$C$5:$C$21,MATCH("15.1",'6. Standards'!$A$5:$A$21,0))&amp;CHAR(10)&amp;"11.2 "&amp;INDEX('6. Standards'!$B$5:$B$21,MATCH("11.2",'6. Standards'!$A$5:$A$21,0))&amp;" — "&amp;INDEX('6. Standards'!$C$5:$C$21,MATCH("11.2",'6. Standards'!$A$5:$A$21,0))</f>
        <v/>
      </c>
      <c r="H27" s="46">
        <f>"No other line switches this off."</f>
        <v/>
      </c>
      <c r="I27" s="77" t="n"/>
      <c r="J27" s="77" t="n"/>
      <c r="K27" s="77" t="n"/>
      <c r="L27" s="47" t="inlineStr">
        <is>
          <t>No</t>
        </is>
      </c>
      <c r="M27" s="47" t="inlineStr">
        <is>
          <t>No</t>
        </is>
      </c>
      <c r="N27" s="73">
        <f>IF(OR(OR(AA27,AND(UPPER(TRIM(I27&amp;""))="N/A",L27="Yes"),AND(UPPER(TRIM(I27&amp;""))="NOT TESTED",M27="Yes")),OR(AND(UPPER(TRIM(I27&amp;""))="N/A",L27&lt;&gt;"Yes"),AND(UPPER(TRIM(I27&amp;""))="NOT TESTED",M27&lt;&gt;"Yes"),AND(NOT(I27=""),NOT(UPPER(TRIM(I27&amp;""))="N/A"),NOT(UPPER(TRIM(I27&amp;""))="NOT TESTED"),NOT(AND(ISNUMBER(IFERROR(VALUE(I27&amp;""),"")),OR(IFERROR(VALUE(I27&amp;""),"")=0,IFERROR(VALUE(I27&amp;""),"")=1,IFERROR(VALUE(I27&amp;""),"")=2,IFERROR(VALUE(I27&amp;""),"")=3)))))),0,IF(AND(ISNUMBER(IFERROR(VALUE(I27&amp;""),"")),OR(IFERROR(VALUE(I27&amp;""),"")=0,IFERROR(VALUE(I27&amp;""),"")=1,IFERROR(VALUE(I27&amp;""),"")=2,IFERROR(VALUE(I27&amp;""),"")=3)),IFERROR(VALUE(I27&amp;""),"")*IF(D27="Must",2,1),0))</f>
        <v/>
      </c>
      <c r="O27" s="73">
        <f>IF(OR(AA27,AND(UPPER(TRIM(I27&amp;""))="N/A",L27="Yes"),AND(UPPER(TRIM(I27&amp;""))="NOT TESTED",M27="Yes")),0,IF(OR(OR(AND(UPPER(TRIM(I27&amp;""))="N/A",L27&lt;&gt;"Yes"),AND(UPPER(TRIM(I27&amp;""))="NOT TESTED",M27&lt;&gt;"Yes"),AND(NOT(I27=""),NOT(UPPER(TRIM(I27&amp;""))="N/A"),NOT(UPPER(TRIM(I27&amp;""))="NOT TESTED"),NOT(AND(ISNUMBER(IFERROR(VALUE(I27&amp;""),"")),OR(IFERROR(VALUE(I27&amp;""),"")=0,IFERROR(VALUE(I27&amp;""),"")=1,IFERROR(VALUE(I27&amp;""),"")=2,IFERROR(VALUE(I27&amp;""),"")=3))))),AND(ISNUMBER(IFERROR(VALUE(I27&amp;""),"")),OR(IFERROR(VALUE(I27&amp;""),"")=0,IFERROR(VALUE(I27&amp;""),"")=1,IFERROR(VALUE(I27&amp;""),"")=2,IFERROR(VALUE(I27&amp;""),"")=3))),3*IF(D27="Must",2,1),0))</f>
        <v/>
      </c>
      <c r="P27" s="74">
        <f>IF(OR(AA27,NOT(AND(D27="Must",ISNUMBER(X27),X27=0))),0,1)</f>
        <v/>
      </c>
      <c r="Q27" s="74">
        <f>IF(OR(AA27,NOT(AND(D27="Must",ISNUMBER(X27),X27=1))),0,1)</f>
        <v/>
      </c>
      <c r="R27" s="74">
        <f>IF(AND(NOT(AA27),D27="Must",I27=""),1,0)</f>
        <v/>
      </c>
      <c r="S27" s="74">
        <f>IF(AND(NOT(AA27),UPPER(TRIM(I27&amp;""))="N/A",L27&lt;&gt;"Yes"),1,0)</f>
        <v/>
      </c>
      <c r="T27" s="74">
        <f>IF(AND(NOT(AA27),UPPER(TRIM(I27&amp;""))="NOT TESTED",M27&lt;&gt;"Yes"),1,0)</f>
        <v/>
      </c>
      <c r="U27" s="74">
        <f>IF(OR(AA27,NOT(AND(D27="Should",ISNUMBER(X27),X27=0))),0,1)</f>
        <v/>
      </c>
      <c r="V27" s="74">
        <f>IF(OR(AA27,NOT(AND(D27="Should",ISNUMBER(X27),X27=1))),0,1)</f>
        <v/>
      </c>
      <c r="W27" s="74">
        <f>IF(OR(I27="",AA27),0,1)</f>
        <v/>
      </c>
      <c r="X27" s="74">
        <f>IF(I27="","",IF(UPPER(TRIM(I27&amp;""))="N/A","N/A",IF(UPPER(TRIM(I27&amp;""))="NOT TESTED","NT",IF(AND(ISNUMBER(IFERROR(VALUE(I27&amp;""),"")),OR(IFERROR(VALUE(I27&amp;""),"")=0,IFERROR(VALUE(I27&amp;""),"")=1,IFERROR(VALUE(I27&amp;""),"")=2,IFERROR(VALUE(I27&amp;""),"")=3)),IFERROR(VALUE(I27&amp;""),""),"BAD"))))</f>
        <v/>
      </c>
      <c r="Y27" s="74">
        <f>IF(OR(AA27,NOT(OR(AND(D27="Must",I27="",SUM($W$6:$W$47)&gt;0),AND(ISNUMBER(X27),X27&lt;2),AND(UPPER(TRIM(I27&amp;""))="N/A",L27&lt;&gt;"Yes"),AND(UPPER(TRIM(I27&amp;""))="NOT TESTED",M27&lt;&gt;"Yes"),AND(NOT(I27=""),NOT(UPPER(TRIM(I27&amp;""))="N/A"),NOT(UPPER(TRIM(I27&amp;""))="NOT TESTED"),NOT(AND(ISNUMBER(IFERROR(VALUE(I27&amp;""),"")),OR(IFERROR(VALUE(I27&amp;""),"")=0,IFERROR(VALUE(I27&amp;""),"")=1,IFERROR(VALUE(I27&amp;""),"")=2,IFERROR(VALUE(I27&amp;""),"")=3))))))),0,1)</f>
        <v/>
      </c>
      <c r="Z27" s="74">
        <f>IF(Y27=1,COUNTIF($Y$6:Y27,1),0)</f>
        <v/>
      </c>
      <c r="AA27" s="74">
        <f>OR(AND(LEFT(A27,1)="O",EngagementType&lt;&gt;"Overall opinion"),AND(A27="G3",StandardsEra="Before 9 January 2025"),AND(A27="E2",OR(INDEX($I$6:$I$47,MATCH("E1",$A$6:$A$47,0))=0,INDEX($I$6:$I$47,MATCH("E1",$A$6:$A$47,0))="0")),AND(A27="B2",UPPER(TRIM(INDEX($I$6:$I$47,MATCH("B1",$A$6:$A$47,0))&amp;""))="N/A"),AND(OR(A27="D1",A27="D2",A27="D3",A27="D4",A27="D5"),UPPER(TRIM(INDEX($I$6:$I$47,MATCH("C1",$A$6:$A$47,0))&amp;""))="N/A"))</f>
        <v/>
      </c>
      <c r="AB27" s="26" t="inlineStr">
        <is>
          <t>15.1;11.2</t>
        </is>
      </c>
      <c r="AC27">
        <f>IF(AND(NOT(AA27),AND(NOT(I27=""),NOT(UPPER(TRIM(I27&amp;""))="N/A"),NOT(UPPER(TRIM(I27&amp;""))="NOT TESTED"),NOT(AND(ISNUMBER(IFERROR(VALUE(I27&amp;""),"")),OR(IFERROR(VALUE(I27&amp;""),"")=0,IFERROR(VALUE(I27&amp;""),"")=1,IFERROR(VALUE(I27&amp;""),"")=2,IFERROR(VALUE(I27&amp;""),"")=3))))),1,0)</f>
        <v/>
      </c>
    </row>
    <row r="28" ht="48" customHeight="1" s="79">
      <c r="A28" s="45" t="inlineStr">
        <is>
          <t>F5</t>
        </is>
      </c>
      <c r="B28" s="46" t="inlineStr">
        <is>
          <t>Communication quality</t>
        </is>
      </c>
      <c r="C28" s="47" t="inlineStr">
        <is>
          <t>Close</t>
        </is>
      </c>
      <c r="D28" s="48" t="inlineStr">
        <is>
          <t>Must</t>
        </is>
      </c>
      <c r="E28" s="46" t="inlineStr">
        <is>
          <t>Constructive</t>
        </is>
      </c>
      <c r="F28" s="46" t="inlineStr">
        <is>
          <t>Helpful to the organisation and enabling improvement. The tone supports collaboration on the action.</t>
        </is>
      </c>
      <c r="G28" s="46">
        <f>"15.1 "&amp;INDEX('6. Standards'!$B$5:$B$21,MATCH("15.1",'6. Standards'!$A$5:$A$21,0))&amp;" — "&amp;INDEX('6. Standards'!$C$5:$C$21,MATCH("15.1",'6. Standards'!$A$5:$A$21,0))&amp;CHAR(10)&amp;"11.2 "&amp;INDEX('6. Standards'!$B$5:$B$21,MATCH("11.2",'6. Standards'!$A$5:$A$21,0))&amp;" — "&amp;INDEX('6. Standards'!$C$5:$C$21,MATCH("11.2",'6. Standards'!$A$5:$A$21,0))</f>
        <v/>
      </c>
      <c r="H28" s="46">
        <f>"No other line switches this off."</f>
        <v/>
      </c>
      <c r="I28" s="77" t="n"/>
      <c r="J28" s="77" t="n"/>
      <c r="K28" s="77" t="n"/>
      <c r="L28" s="47" t="inlineStr">
        <is>
          <t>No</t>
        </is>
      </c>
      <c r="M28" s="47" t="inlineStr">
        <is>
          <t>No</t>
        </is>
      </c>
      <c r="N28" s="73">
        <f>IF(OR(OR(AA28,AND(UPPER(TRIM(I28&amp;""))="N/A",L28="Yes"),AND(UPPER(TRIM(I28&amp;""))="NOT TESTED",M28="Yes")),OR(AND(UPPER(TRIM(I28&amp;""))="N/A",L28&lt;&gt;"Yes"),AND(UPPER(TRIM(I28&amp;""))="NOT TESTED",M28&lt;&gt;"Yes"),AND(NOT(I28=""),NOT(UPPER(TRIM(I28&amp;""))="N/A"),NOT(UPPER(TRIM(I28&amp;""))="NOT TESTED"),NOT(AND(ISNUMBER(IFERROR(VALUE(I28&amp;""),"")),OR(IFERROR(VALUE(I28&amp;""),"")=0,IFERROR(VALUE(I28&amp;""),"")=1,IFERROR(VALUE(I28&amp;""),"")=2,IFERROR(VALUE(I28&amp;""),"")=3)))))),0,IF(AND(ISNUMBER(IFERROR(VALUE(I28&amp;""),"")),OR(IFERROR(VALUE(I28&amp;""),"")=0,IFERROR(VALUE(I28&amp;""),"")=1,IFERROR(VALUE(I28&amp;""),"")=2,IFERROR(VALUE(I28&amp;""),"")=3)),IFERROR(VALUE(I28&amp;""),"")*IF(D28="Must",2,1),0))</f>
        <v/>
      </c>
      <c r="O28" s="73">
        <f>IF(OR(AA28,AND(UPPER(TRIM(I28&amp;""))="N/A",L28="Yes"),AND(UPPER(TRIM(I28&amp;""))="NOT TESTED",M28="Yes")),0,IF(OR(OR(AND(UPPER(TRIM(I28&amp;""))="N/A",L28&lt;&gt;"Yes"),AND(UPPER(TRIM(I28&amp;""))="NOT TESTED",M28&lt;&gt;"Yes"),AND(NOT(I28=""),NOT(UPPER(TRIM(I28&amp;""))="N/A"),NOT(UPPER(TRIM(I28&amp;""))="NOT TESTED"),NOT(AND(ISNUMBER(IFERROR(VALUE(I28&amp;""),"")),OR(IFERROR(VALUE(I28&amp;""),"")=0,IFERROR(VALUE(I28&amp;""),"")=1,IFERROR(VALUE(I28&amp;""),"")=2,IFERROR(VALUE(I28&amp;""),"")=3))))),AND(ISNUMBER(IFERROR(VALUE(I28&amp;""),"")),OR(IFERROR(VALUE(I28&amp;""),"")=0,IFERROR(VALUE(I28&amp;""),"")=1,IFERROR(VALUE(I28&amp;""),"")=2,IFERROR(VALUE(I28&amp;""),"")=3))),3*IF(D28="Must",2,1),0))</f>
        <v/>
      </c>
      <c r="P28" s="74">
        <f>IF(OR(AA28,NOT(AND(D28="Must",ISNUMBER(X28),X28=0))),0,1)</f>
        <v/>
      </c>
      <c r="Q28" s="74">
        <f>IF(OR(AA28,NOT(AND(D28="Must",ISNUMBER(X28),X28=1))),0,1)</f>
        <v/>
      </c>
      <c r="R28" s="74">
        <f>IF(AND(NOT(AA28),D28="Must",I28=""),1,0)</f>
        <v/>
      </c>
      <c r="S28" s="74">
        <f>IF(AND(NOT(AA28),UPPER(TRIM(I28&amp;""))="N/A",L28&lt;&gt;"Yes"),1,0)</f>
        <v/>
      </c>
      <c r="T28" s="74">
        <f>IF(AND(NOT(AA28),UPPER(TRIM(I28&amp;""))="NOT TESTED",M28&lt;&gt;"Yes"),1,0)</f>
        <v/>
      </c>
      <c r="U28" s="74">
        <f>IF(OR(AA28,NOT(AND(D28="Should",ISNUMBER(X28),X28=0))),0,1)</f>
        <v/>
      </c>
      <c r="V28" s="74">
        <f>IF(OR(AA28,NOT(AND(D28="Should",ISNUMBER(X28),X28=1))),0,1)</f>
        <v/>
      </c>
      <c r="W28" s="74">
        <f>IF(OR(I28="",AA28),0,1)</f>
        <v/>
      </c>
      <c r="X28" s="74">
        <f>IF(I28="","",IF(UPPER(TRIM(I28&amp;""))="N/A","N/A",IF(UPPER(TRIM(I28&amp;""))="NOT TESTED","NT",IF(AND(ISNUMBER(IFERROR(VALUE(I28&amp;""),"")),OR(IFERROR(VALUE(I28&amp;""),"")=0,IFERROR(VALUE(I28&amp;""),"")=1,IFERROR(VALUE(I28&amp;""),"")=2,IFERROR(VALUE(I28&amp;""),"")=3)),IFERROR(VALUE(I28&amp;""),""),"BAD"))))</f>
        <v/>
      </c>
      <c r="Y28" s="74">
        <f>IF(OR(AA28,NOT(OR(AND(D28="Must",I28="",SUM($W$6:$W$47)&gt;0),AND(ISNUMBER(X28),X28&lt;2),AND(UPPER(TRIM(I28&amp;""))="N/A",L28&lt;&gt;"Yes"),AND(UPPER(TRIM(I28&amp;""))="NOT TESTED",M28&lt;&gt;"Yes"),AND(NOT(I28=""),NOT(UPPER(TRIM(I28&amp;""))="N/A"),NOT(UPPER(TRIM(I28&amp;""))="NOT TESTED"),NOT(AND(ISNUMBER(IFERROR(VALUE(I28&amp;""),"")),OR(IFERROR(VALUE(I28&amp;""),"")=0,IFERROR(VALUE(I28&amp;""),"")=1,IFERROR(VALUE(I28&amp;""),"")=2,IFERROR(VALUE(I28&amp;""),"")=3))))))),0,1)</f>
        <v/>
      </c>
      <c r="Z28" s="74">
        <f>IF(Y28=1,COUNTIF($Y$6:Y28,1),0)</f>
        <v/>
      </c>
      <c r="AA28" s="74">
        <f>OR(AND(LEFT(A28,1)="O",EngagementType&lt;&gt;"Overall opinion"),AND(A28="G3",StandardsEra="Before 9 January 2025"),AND(A28="E2",OR(INDEX($I$6:$I$47,MATCH("E1",$A$6:$A$47,0))=0,INDEX($I$6:$I$47,MATCH("E1",$A$6:$A$47,0))="0")),AND(A28="B2",UPPER(TRIM(INDEX($I$6:$I$47,MATCH("B1",$A$6:$A$47,0))&amp;""))="N/A"),AND(OR(A28="D1",A28="D2",A28="D3",A28="D4",A28="D5"),UPPER(TRIM(INDEX($I$6:$I$47,MATCH("C1",$A$6:$A$47,0))&amp;""))="N/A"))</f>
        <v/>
      </c>
      <c r="AB28" s="26" t="inlineStr">
        <is>
          <t>15.1;11.2</t>
        </is>
      </c>
      <c r="AC28">
        <f>IF(AND(NOT(AA28),AND(NOT(I28=""),NOT(UPPER(TRIM(I28&amp;""))="N/A"),NOT(UPPER(TRIM(I28&amp;""))="NOT TESTED"),NOT(AND(ISNUMBER(IFERROR(VALUE(I28&amp;""),"")),OR(IFERROR(VALUE(I28&amp;""),"")=0,IFERROR(VALUE(I28&amp;""),"")=1,IFERROR(VALUE(I28&amp;""),"")=2,IFERROR(VALUE(I28&amp;""),"")=3))))),1,0)</f>
        <v/>
      </c>
    </row>
    <row r="29" ht="48" customHeight="1" s="79">
      <c r="A29" s="45" t="inlineStr">
        <is>
          <t>F6</t>
        </is>
      </c>
      <c r="B29" s="46" t="inlineStr">
        <is>
          <t>Communication quality</t>
        </is>
      </c>
      <c r="C29" s="47" t="inlineStr">
        <is>
          <t>Close</t>
        </is>
      </c>
      <c r="D29" s="48" t="inlineStr">
        <is>
          <t>Must</t>
        </is>
      </c>
      <c r="E29" s="46" t="inlineStr">
        <is>
          <t>Complete</t>
        </is>
      </c>
      <c r="F29" s="46" t="inlineStr">
        <is>
          <t>The reader has relevant, reliable, and sufficient information to reach the same conclusion as the auditor. Do not reduce this score only because E1, D2, or D3 is already scored. Judge whether the evidence and reasoning are whole.</t>
        </is>
      </c>
      <c r="G29" s="46">
        <f>"15.1 "&amp;INDEX('6. Standards'!$B$5:$B$21,MATCH("15.1",'6. Standards'!$A$5:$A$21,0))&amp;" — "&amp;INDEX('6. Standards'!$C$5:$C$21,MATCH("15.1",'6. Standards'!$A$5:$A$21,0))&amp;CHAR(10)&amp;"11.2 "&amp;INDEX('6. Standards'!$B$5:$B$21,MATCH("11.2",'6. Standards'!$A$5:$A$21,0))&amp;" — "&amp;INDEX('6. Standards'!$C$5:$C$21,MATCH("11.2",'6. Standards'!$A$5:$A$21,0))</f>
        <v/>
      </c>
      <c r="H29" s="46">
        <f>"Do not reduce this score only because "&amp;INDEX($A$6:$A$47,MATCH("E1",$A$6:$A$47,0))&amp;", "&amp;INDEX($A$6:$A$47,MATCH("D2",$A$6:$A$47,0))&amp;" or "&amp;INDEX($A$6:$A$47,MATCH("D3",$A$6:$A$47,0))&amp;" is already scored. Those lines are "&amp;IF(INDEX($I$6:$I$47,MATCH("E1",$A$6:$A$47,0))="","blank",INDEX($I$6:$I$47,MATCH("E1",$A$6:$A$47,0)))&amp;", "&amp;IF(INDEX($I$6:$I$47,MATCH("D2",$A$6:$A$47,0))="","blank",INDEX($I$6:$I$47,MATCH("D2",$A$6:$A$47,0)))&amp;" and "&amp;IF(INDEX($I$6:$I$47,MATCH("D3",$A$6:$A$47,0))="","blank",INDEX($I$6:$I$47,MATCH("D3",$A$6:$A$47,0)))&amp;"."</f>
        <v/>
      </c>
      <c r="I29" s="77" t="n"/>
      <c r="J29" s="77" t="n"/>
      <c r="K29" s="77" t="n"/>
      <c r="L29" s="47" t="inlineStr">
        <is>
          <t>No</t>
        </is>
      </c>
      <c r="M29" s="47" t="inlineStr">
        <is>
          <t>No</t>
        </is>
      </c>
      <c r="N29" s="73">
        <f>IF(OR(OR(AA29,AND(UPPER(TRIM(I29&amp;""))="N/A",L29="Yes"),AND(UPPER(TRIM(I29&amp;""))="NOT TESTED",M29="Yes")),OR(AND(UPPER(TRIM(I29&amp;""))="N/A",L29&lt;&gt;"Yes"),AND(UPPER(TRIM(I29&amp;""))="NOT TESTED",M29&lt;&gt;"Yes"),AND(NOT(I29=""),NOT(UPPER(TRIM(I29&amp;""))="N/A"),NOT(UPPER(TRIM(I29&amp;""))="NOT TESTED"),NOT(AND(ISNUMBER(IFERROR(VALUE(I29&amp;""),"")),OR(IFERROR(VALUE(I29&amp;""),"")=0,IFERROR(VALUE(I29&amp;""),"")=1,IFERROR(VALUE(I29&amp;""),"")=2,IFERROR(VALUE(I29&amp;""),"")=3)))))),0,IF(AND(ISNUMBER(IFERROR(VALUE(I29&amp;""),"")),OR(IFERROR(VALUE(I29&amp;""),"")=0,IFERROR(VALUE(I29&amp;""),"")=1,IFERROR(VALUE(I29&amp;""),"")=2,IFERROR(VALUE(I29&amp;""),"")=3)),IFERROR(VALUE(I29&amp;""),"")*IF(D29="Must",2,1),0))</f>
        <v/>
      </c>
      <c r="O29" s="73">
        <f>IF(OR(AA29,AND(UPPER(TRIM(I29&amp;""))="N/A",L29="Yes"),AND(UPPER(TRIM(I29&amp;""))="NOT TESTED",M29="Yes")),0,IF(OR(OR(AND(UPPER(TRIM(I29&amp;""))="N/A",L29&lt;&gt;"Yes"),AND(UPPER(TRIM(I29&amp;""))="NOT TESTED",M29&lt;&gt;"Yes"),AND(NOT(I29=""),NOT(UPPER(TRIM(I29&amp;""))="N/A"),NOT(UPPER(TRIM(I29&amp;""))="NOT TESTED"),NOT(AND(ISNUMBER(IFERROR(VALUE(I29&amp;""),"")),OR(IFERROR(VALUE(I29&amp;""),"")=0,IFERROR(VALUE(I29&amp;""),"")=1,IFERROR(VALUE(I29&amp;""),"")=2,IFERROR(VALUE(I29&amp;""),"")=3))))),AND(ISNUMBER(IFERROR(VALUE(I29&amp;""),"")),OR(IFERROR(VALUE(I29&amp;""),"")=0,IFERROR(VALUE(I29&amp;""),"")=1,IFERROR(VALUE(I29&amp;""),"")=2,IFERROR(VALUE(I29&amp;""),"")=3))),3*IF(D29="Must",2,1),0))</f>
        <v/>
      </c>
      <c r="P29" s="74">
        <f>IF(OR(AA29,NOT(AND(D29="Must",ISNUMBER(X29),X29=0))),0,1)</f>
        <v/>
      </c>
      <c r="Q29" s="74">
        <f>IF(OR(AA29,NOT(AND(D29="Must",ISNUMBER(X29),X29=1))),0,1)</f>
        <v/>
      </c>
      <c r="R29" s="74">
        <f>IF(AND(NOT(AA29),D29="Must",I29=""),1,0)</f>
        <v/>
      </c>
      <c r="S29" s="74">
        <f>IF(AND(NOT(AA29),UPPER(TRIM(I29&amp;""))="N/A",L29&lt;&gt;"Yes"),1,0)</f>
        <v/>
      </c>
      <c r="T29" s="74">
        <f>IF(AND(NOT(AA29),UPPER(TRIM(I29&amp;""))="NOT TESTED",M29&lt;&gt;"Yes"),1,0)</f>
        <v/>
      </c>
      <c r="U29" s="74">
        <f>IF(OR(AA29,NOT(AND(D29="Should",ISNUMBER(X29),X29=0))),0,1)</f>
        <v/>
      </c>
      <c r="V29" s="74">
        <f>IF(OR(AA29,NOT(AND(D29="Should",ISNUMBER(X29),X29=1))),0,1)</f>
        <v/>
      </c>
      <c r="W29" s="74">
        <f>IF(OR(I29="",AA29),0,1)</f>
        <v/>
      </c>
      <c r="X29" s="74">
        <f>IF(I29="","",IF(UPPER(TRIM(I29&amp;""))="N/A","N/A",IF(UPPER(TRIM(I29&amp;""))="NOT TESTED","NT",IF(AND(ISNUMBER(IFERROR(VALUE(I29&amp;""),"")),OR(IFERROR(VALUE(I29&amp;""),"")=0,IFERROR(VALUE(I29&amp;""),"")=1,IFERROR(VALUE(I29&amp;""),"")=2,IFERROR(VALUE(I29&amp;""),"")=3)),IFERROR(VALUE(I29&amp;""),""),"BAD"))))</f>
        <v/>
      </c>
      <c r="Y29" s="74">
        <f>IF(OR(AA29,NOT(OR(AND(D29="Must",I29="",SUM($W$6:$W$47)&gt;0),AND(ISNUMBER(X29),X29&lt;2),AND(UPPER(TRIM(I29&amp;""))="N/A",L29&lt;&gt;"Yes"),AND(UPPER(TRIM(I29&amp;""))="NOT TESTED",M29&lt;&gt;"Yes"),AND(NOT(I29=""),NOT(UPPER(TRIM(I29&amp;""))="N/A"),NOT(UPPER(TRIM(I29&amp;""))="NOT TESTED"),NOT(AND(ISNUMBER(IFERROR(VALUE(I29&amp;""),"")),OR(IFERROR(VALUE(I29&amp;""),"")=0,IFERROR(VALUE(I29&amp;""),"")=1,IFERROR(VALUE(I29&amp;""),"")=2,IFERROR(VALUE(I29&amp;""),"")=3))))))),0,1)</f>
        <v/>
      </c>
      <c r="Z29" s="74">
        <f>IF(Y29=1,COUNTIF($Y$6:Y29,1),0)</f>
        <v/>
      </c>
      <c r="AA29" s="74">
        <f>OR(AND(LEFT(A29,1)="O",EngagementType&lt;&gt;"Overall opinion"),AND(A29="G3",StandardsEra="Before 9 January 2025"),AND(A29="E2",OR(INDEX($I$6:$I$47,MATCH("E1",$A$6:$A$47,0))=0,INDEX($I$6:$I$47,MATCH("E1",$A$6:$A$47,0))="0")),AND(A29="B2",UPPER(TRIM(INDEX($I$6:$I$47,MATCH("B1",$A$6:$A$47,0))&amp;""))="N/A"),AND(OR(A29="D1",A29="D2",A29="D3",A29="D4",A29="D5"),UPPER(TRIM(INDEX($I$6:$I$47,MATCH("C1",$A$6:$A$47,0))&amp;""))="N/A"))</f>
        <v/>
      </c>
      <c r="AB29" s="26" t="inlineStr">
        <is>
          <t>15.1;11.2</t>
        </is>
      </c>
      <c r="AC29">
        <f>IF(AND(NOT(AA29),AND(NOT(I29=""),NOT(UPPER(TRIM(I29&amp;""))="N/A"),NOT(UPPER(TRIM(I29&amp;""))="NOT TESTED"),NOT(AND(ISNUMBER(IFERROR(VALUE(I29&amp;""),"")),OR(IFERROR(VALUE(I29&amp;""),"")=0,IFERROR(VALUE(I29&amp;""),"")=1,IFERROR(VALUE(I29&amp;""),"")=2,IFERROR(VALUE(I29&amp;""),"")=3))))),1,0)</f>
        <v/>
      </c>
    </row>
    <row r="30" ht="48" customHeight="1" s="79">
      <c r="A30" s="45" t="inlineStr">
        <is>
          <t>F7</t>
        </is>
      </c>
      <c r="B30" s="46" t="inlineStr">
        <is>
          <t>Communication quality</t>
        </is>
      </c>
      <c r="C30" s="47" t="inlineStr">
        <is>
          <t>Close</t>
        </is>
      </c>
      <c r="D30" s="48" t="inlineStr">
        <is>
          <t>Must</t>
        </is>
      </c>
      <c r="E30" s="46" t="inlineStr">
        <is>
          <t>Timely</t>
        </is>
      </c>
      <c r="F30" s="46" t="inlineStr">
        <is>
          <t>Issued in time for management to act, given the significance of the issues. Use Not tested when this copy has no real issue date.</t>
        </is>
      </c>
      <c r="G30" s="46">
        <f>"15.1 "&amp;INDEX('6. Standards'!$B$5:$B$21,MATCH("15.1",'6. Standards'!$A$5:$A$21,0))&amp;" — "&amp;INDEX('6. Standards'!$C$5:$C$21,MATCH("15.1",'6. Standards'!$A$5:$A$21,0))&amp;CHAR(10)&amp;"11.2 "&amp;INDEX('6. Standards'!$B$5:$B$21,MATCH("11.2",'6. Standards'!$A$5:$A$21,0))&amp;" — "&amp;INDEX('6. Standards'!$C$5:$C$21,MATCH("11.2",'6. Standards'!$A$5:$A$21,0))</f>
        <v/>
      </c>
      <c r="H30" s="46">
        <f>"No other line switches this off."</f>
        <v/>
      </c>
      <c r="I30" s="77" t="n"/>
      <c r="J30" s="77" t="n"/>
      <c r="K30" s="77" t="n"/>
      <c r="L30" s="47" t="inlineStr">
        <is>
          <t>No</t>
        </is>
      </c>
      <c r="M30" s="47" t="inlineStr">
        <is>
          <t>Yes</t>
        </is>
      </c>
      <c r="N30" s="73">
        <f>IF(OR(OR(AA30,AND(UPPER(TRIM(I30&amp;""))="N/A",L30="Yes"),AND(UPPER(TRIM(I30&amp;""))="NOT TESTED",M30="Yes")),OR(AND(UPPER(TRIM(I30&amp;""))="N/A",L30&lt;&gt;"Yes"),AND(UPPER(TRIM(I30&amp;""))="NOT TESTED",M30&lt;&gt;"Yes"),AND(NOT(I30=""),NOT(UPPER(TRIM(I30&amp;""))="N/A"),NOT(UPPER(TRIM(I30&amp;""))="NOT TESTED"),NOT(AND(ISNUMBER(IFERROR(VALUE(I30&amp;""),"")),OR(IFERROR(VALUE(I30&amp;""),"")=0,IFERROR(VALUE(I30&amp;""),"")=1,IFERROR(VALUE(I30&amp;""),"")=2,IFERROR(VALUE(I30&amp;""),"")=3)))))),0,IF(AND(ISNUMBER(IFERROR(VALUE(I30&amp;""),"")),OR(IFERROR(VALUE(I30&amp;""),"")=0,IFERROR(VALUE(I30&amp;""),"")=1,IFERROR(VALUE(I30&amp;""),"")=2,IFERROR(VALUE(I30&amp;""),"")=3)),IFERROR(VALUE(I30&amp;""),"")*IF(D30="Must",2,1),0))</f>
        <v/>
      </c>
      <c r="O30" s="73">
        <f>IF(OR(AA30,AND(UPPER(TRIM(I30&amp;""))="N/A",L30="Yes"),AND(UPPER(TRIM(I30&amp;""))="NOT TESTED",M30="Yes")),0,IF(OR(OR(AND(UPPER(TRIM(I30&amp;""))="N/A",L30&lt;&gt;"Yes"),AND(UPPER(TRIM(I30&amp;""))="NOT TESTED",M30&lt;&gt;"Yes"),AND(NOT(I30=""),NOT(UPPER(TRIM(I30&amp;""))="N/A"),NOT(UPPER(TRIM(I30&amp;""))="NOT TESTED"),NOT(AND(ISNUMBER(IFERROR(VALUE(I30&amp;""),"")),OR(IFERROR(VALUE(I30&amp;""),"")=0,IFERROR(VALUE(I30&amp;""),"")=1,IFERROR(VALUE(I30&amp;""),"")=2,IFERROR(VALUE(I30&amp;""),"")=3))))),AND(ISNUMBER(IFERROR(VALUE(I30&amp;""),"")),OR(IFERROR(VALUE(I30&amp;""),"")=0,IFERROR(VALUE(I30&amp;""),"")=1,IFERROR(VALUE(I30&amp;""),"")=2,IFERROR(VALUE(I30&amp;""),"")=3))),3*IF(D30="Must",2,1),0))</f>
        <v/>
      </c>
      <c r="P30" s="74">
        <f>IF(OR(AA30,NOT(AND(D30="Must",ISNUMBER(X30),X30=0))),0,1)</f>
        <v/>
      </c>
      <c r="Q30" s="74">
        <f>IF(OR(AA30,NOT(AND(D30="Must",ISNUMBER(X30),X30=1))),0,1)</f>
        <v/>
      </c>
      <c r="R30" s="74">
        <f>IF(AND(NOT(AA30),D30="Must",I30=""),1,0)</f>
        <v/>
      </c>
      <c r="S30" s="74">
        <f>IF(AND(NOT(AA30),UPPER(TRIM(I30&amp;""))="N/A",L30&lt;&gt;"Yes"),1,0)</f>
        <v/>
      </c>
      <c r="T30" s="74">
        <f>IF(AND(NOT(AA30),UPPER(TRIM(I30&amp;""))="NOT TESTED",M30&lt;&gt;"Yes"),1,0)</f>
        <v/>
      </c>
      <c r="U30" s="74">
        <f>IF(OR(AA30,NOT(AND(D30="Should",ISNUMBER(X30),X30=0))),0,1)</f>
        <v/>
      </c>
      <c r="V30" s="74">
        <f>IF(OR(AA30,NOT(AND(D30="Should",ISNUMBER(X30),X30=1))),0,1)</f>
        <v/>
      </c>
      <c r="W30" s="74">
        <f>IF(OR(I30="",AA30),0,1)</f>
        <v/>
      </c>
      <c r="X30" s="74">
        <f>IF(I30="","",IF(UPPER(TRIM(I30&amp;""))="N/A","N/A",IF(UPPER(TRIM(I30&amp;""))="NOT TESTED","NT",IF(AND(ISNUMBER(IFERROR(VALUE(I30&amp;""),"")),OR(IFERROR(VALUE(I30&amp;""),"")=0,IFERROR(VALUE(I30&amp;""),"")=1,IFERROR(VALUE(I30&amp;""),"")=2,IFERROR(VALUE(I30&amp;""),"")=3)),IFERROR(VALUE(I30&amp;""),""),"BAD"))))</f>
        <v/>
      </c>
      <c r="Y30" s="74">
        <f>IF(OR(AA30,NOT(OR(AND(D30="Must",I30="",SUM($W$6:$W$47)&gt;0),AND(ISNUMBER(X30),X30&lt;2),AND(UPPER(TRIM(I30&amp;""))="N/A",L30&lt;&gt;"Yes"),AND(UPPER(TRIM(I30&amp;""))="NOT TESTED",M30&lt;&gt;"Yes"),AND(NOT(I30=""),NOT(UPPER(TRIM(I30&amp;""))="N/A"),NOT(UPPER(TRIM(I30&amp;""))="NOT TESTED"),NOT(AND(ISNUMBER(IFERROR(VALUE(I30&amp;""),"")),OR(IFERROR(VALUE(I30&amp;""),"")=0,IFERROR(VALUE(I30&amp;""),"")=1,IFERROR(VALUE(I30&amp;""),"")=2,IFERROR(VALUE(I30&amp;""),"")=3))))))),0,1)</f>
        <v/>
      </c>
      <c r="Z30" s="74">
        <f>IF(Y30=1,COUNTIF($Y$6:Y30,1),0)</f>
        <v/>
      </c>
      <c r="AA30" s="74">
        <f>OR(AND(LEFT(A30,1)="O",EngagementType&lt;&gt;"Overall opinion"),AND(A30="G3",StandardsEra="Before 9 January 2025"),AND(A30="E2",OR(INDEX($I$6:$I$47,MATCH("E1",$A$6:$A$47,0))=0,INDEX($I$6:$I$47,MATCH("E1",$A$6:$A$47,0))="0")),AND(A30="B2",UPPER(TRIM(INDEX($I$6:$I$47,MATCH("B1",$A$6:$A$47,0))&amp;""))="N/A"),AND(OR(A30="D1",A30="D2",A30="D3",A30="D4",A30="D5"),UPPER(TRIM(INDEX($I$6:$I$47,MATCH("C1",$A$6:$A$47,0))&amp;""))="N/A"))</f>
        <v/>
      </c>
      <c r="AB30" s="26" t="inlineStr">
        <is>
          <t>15.1;11.2</t>
        </is>
      </c>
      <c r="AC30">
        <f>IF(AND(NOT(AA30),AND(NOT(I30=""),NOT(UPPER(TRIM(I30&amp;""))="N/A"),NOT(UPPER(TRIM(I30&amp;""))="NOT TESTED"),NOT(AND(ISNUMBER(IFERROR(VALUE(I30&amp;""),"")),OR(IFERROR(VALUE(I30&amp;""),"")=0,IFERROR(VALUE(I30&amp;""),"")=1,IFERROR(VALUE(I30&amp;""),"")=2,IFERROR(VALUE(I30&amp;""),"")=3))))),1,0)</f>
        <v/>
      </c>
    </row>
    <row r="31" ht="48" customHeight="1" s="79">
      <c r="A31" s="49" t="inlineStr">
        <is>
          <t>G1</t>
        </is>
      </c>
      <c r="B31" s="50" t="inlineStr">
        <is>
          <t>Issuance</t>
        </is>
      </c>
      <c r="C31" s="51" t="inlineStr">
        <is>
          <t>Close</t>
        </is>
      </c>
      <c r="D31" s="52" t="inlineStr">
        <is>
          <t>Must</t>
        </is>
      </c>
      <c r="E31" s="50" t="inlineStr">
        <is>
          <t>Approved by the chief audit executive before issue</t>
        </is>
      </c>
      <c r="F31" s="50" t="inlineStr">
        <is>
          <t>The chief audit executive, or a delegate, approved the communication before issue. The chief audit executive remains responsible. A firm name is not approval. Use Not tested when this review has only the report and the page is silent, or the document is still a draft. Score 0 only when the record shows it was issued without approval.</t>
        </is>
      </c>
      <c r="G31" s="50">
        <f>"15.1 "&amp;INDEX('6. Standards'!$B$5:$B$21,MATCH("15.1",'6. Standards'!$A$5:$A$21,0))&amp;" — "&amp;INDEX('6. Standards'!$C$5:$C$21,MATCH("15.1",'6. Standards'!$A$5:$A$21,0))&amp;CHAR(10)&amp;"11.3 "&amp;INDEX('6. Standards'!$B$5:$B$21,MATCH("11.3",'6. Standards'!$A$5:$A$21,0))&amp;" — "&amp;INDEX('6. Standards'!$C$5:$C$21,MATCH("11.3",'6. Standards'!$A$5:$A$21,0))</f>
        <v/>
      </c>
      <c r="H31" s="50">
        <f>"Standard 15.1. Status is "&amp;IF(DocStatus="","not set",DocStatus)&amp;". Evidence in this review is "&amp;IF(EvidenceInHand="","not set",EvidenceInHand)&amp;". Use Not tested when the page is silent."</f>
        <v/>
      </c>
      <c r="I31" s="77" t="n"/>
      <c r="J31" s="77" t="n"/>
      <c r="K31" s="77" t="n"/>
      <c r="L31" s="51" t="inlineStr">
        <is>
          <t>No</t>
        </is>
      </c>
      <c r="M31" s="51" t="inlineStr">
        <is>
          <t>Yes</t>
        </is>
      </c>
      <c r="N31" s="73">
        <f>IF(OR(OR(AA31,AND(UPPER(TRIM(I31&amp;""))="N/A",L31="Yes"),AND(UPPER(TRIM(I31&amp;""))="NOT TESTED",M31="Yes")),OR(AND(UPPER(TRIM(I31&amp;""))="N/A",L31&lt;&gt;"Yes"),AND(UPPER(TRIM(I31&amp;""))="NOT TESTED",M31&lt;&gt;"Yes"),AND(NOT(I31=""),NOT(UPPER(TRIM(I31&amp;""))="N/A"),NOT(UPPER(TRIM(I31&amp;""))="NOT TESTED"),NOT(AND(ISNUMBER(IFERROR(VALUE(I31&amp;""),"")),OR(IFERROR(VALUE(I31&amp;""),"")=0,IFERROR(VALUE(I31&amp;""),"")=1,IFERROR(VALUE(I31&amp;""),"")=2,IFERROR(VALUE(I31&amp;""),"")=3)))))),0,IF(AND(ISNUMBER(IFERROR(VALUE(I31&amp;""),"")),OR(IFERROR(VALUE(I31&amp;""),"")=0,IFERROR(VALUE(I31&amp;""),"")=1,IFERROR(VALUE(I31&amp;""),"")=2,IFERROR(VALUE(I31&amp;""),"")=3)),IFERROR(VALUE(I31&amp;""),"")*IF(D31="Must",2,1),0))</f>
        <v/>
      </c>
      <c r="O31" s="73">
        <f>IF(OR(AA31,AND(UPPER(TRIM(I31&amp;""))="N/A",L31="Yes"),AND(UPPER(TRIM(I31&amp;""))="NOT TESTED",M31="Yes")),0,IF(OR(OR(AND(UPPER(TRIM(I31&amp;""))="N/A",L31&lt;&gt;"Yes"),AND(UPPER(TRIM(I31&amp;""))="NOT TESTED",M31&lt;&gt;"Yes"),AND(NOT(I31=""),NOT(UPPER(TRIM(I31&amp;""))="N/A"),NOT(UPPER(TRIM(I31&amp;""))="NOT TESTED"),NOT(AND(ISNUMBER(IFERROR(VALUE(I31&amp;""),"")),OR(IFERROR(VALUE(I31&amp;""),"")=0,IFERROR(VALUE(I31&amp;""),"")=1,IFERROR(VALUE(I31&amp;""),"")=2,IFERROR(VALUE(I31&amp;""),"")=3))))),AND(ISNUMBER(IFERROR(VALUE(I31&amp;""),"")),OR(IFERROR(VALUE(I31&amp;""),"")=0,IFERROR(VALUE(I31&amp;""),"")=1,IFERROR(VALUE(I31&amp;""),"")=2,IFERROR(VALUE(I31&amp;""),"")=3))),3*IF(D31="Must",2,1),0))</f>
        <v/>
      </c>
      <c r="P31" s="74">
        <f>IF(OR(AA31,NOT(AND(D31="Must",ISNUMBER(X31),X31=0))),0,1)</f>
        <v/>
      </c>
      <c r="Q31" s="74">
        <f>IF(OR(AA31,NOT(AND(D31="Must",ISNUMBER(X31),X31=1))),0,1)</f>
        <v/>
      </c>
      <c r="R31" s="74">
        <f>IF(AND(NOT(AA31),D31="Must",I31=""),1,0)</f>
        <v/>
      </c>
      <c r="S31" s="74">
        <f>IF(AND(NOT(AA31),UPPER(TRIM(I31&amp;""))="N/A",L31&lt;&gt;"Yes"),1,0)</f>
        <v/>
      </c>
      <c r="T31" s="74">
        <f>IF(AND(NOT(AA31),UPPER(TRIM(I31&amp;""))="NOT TESTED",M31&lt;&gt;"Yes"),1,0)</f>
        <v/>
      </c>
      <c r="U31" s="74">
        <f>IF(OR(AA31,NOT(AND(D31="Should",ISNUMBER(X31),X31=0))),0,1)</f>
        <v/>
      </c>
      <c r="V31" s="74">
        <f>IF(OR(AA31,NOT(AND(D31="Should",ISNUMBER(X31),X31=1))),0,1)</f>
        <v/>
      </c>
      <c r="W31" s="74">
        <f>IF(OR(I31="",AA31),0,1)</f>
        <v/>
      </c>
      <c r="X31" s="74">
        <f>IF(I31="","",IF(UPPER(TRIM(I31&amp;""))="N/A","N/A",IF(UPPER(TRIM(I31&amp;""))="NOT TESTED","NT",IF(AND(ISNUMBER(IFERROR(VALUE(I31&amp;""),"")),OR(IFERROR(VALUE(I31&amp;""),"")=0,IFERROR(VALUE(I31&amp;""),"")=1,IFERROR(VALUE(I31&amp;""),"")=2,IFERROR(VALUE(I31&amp;""),"")=3)),IFERROR(VALUE(I31&amp;""),""),"BAD"))))</f>
        <v/>
      </c>
      <c r="Y31" s="74">
        <f>IF(OR(AA31,NOT(OR(AND(D31="Must",I31="",SUM($W$6:$W$47)&gt;0),AND(ISNUMBER(X31),X31&lt;2),AND(UPPER(TRIM(I31&amp;""))="N/A",L31&lt;&gt;"Yes"),AND(UPPER(TRIM(I31&amp;""))="NOT TESTED",M31&lt;&gt;"Yes"),AND(NOT(I31=""),NOT(UPPER(TRIM(I31&amp;""))="N/A"),NOT(UPPER(TRIM(I31&amp;""))="NOT TESTED"),NOT(AND(ISNUMBER(IFERROR(VALUE(I31&amp;""),"")),OR(IFERROR(VALUE(I31&amp;""),"")=0,IFERROR(VALUE(I31&amp;""),"")=1,IFERROR(VALUE(I31&amp;""),"")=2,IFERROR(VALUE(I31&amp;""),"")=3))))))),0,1)</f>
        <v/>
      </c>
      <c r="Z31" s="74">
        <f>IF(Y31=1,COUNTIF($Y$6:Y31,1),0)</f>
        <v/>
      </c>
      <c r="AA31" s="74">
        <f>OR(AND(LEFT(A31,1)="O",EngagementType&lt;&gt;"Overall opinion"),AND(A31="G3",StandardsEra="Before 9 January 2025"),AND(A31="E2",OR(INDEX($I$6:$I$47,MATCH("E1",$A$6:$A$47,0))=0,INDEX($I$6:$I$47,MATCH("E1",$A$6:$A$47,0))="0")),AND(A31="B2",UPPER(TRIM(INDEX($I$6:$I$47,MATCH("B1",$A$6:$A$47,0))&amp;""))="N/A"),AND(OR(A31="D1",A31="D2",A31="D3",A31="D4",A31="D5"),UPPER(TRIM(INDEX($I$6:$I$47,MATCH("C1",$A$6:$A$47,0))&amp;""))="N/A"))</f>
        <v/>
      </c>
      <c r="AB31" s="26" t="inlineStr">
        <is>
          <t>15.1;11.3</t>
        </is>
      </c>
      <c r="AC31">
        <f>IF(AND(NOT(AA31),AND(NOT(I31=""),NOT(UPPER(TRIM(I31&amp;""))="N/A"),NOT(UPPER(TRIM(I31&amp;""))="NOT TESTED"),NOT(AND(ISNUMBER(IFERROR(VALUE(I31&amp;""),"")),OR(IFERROR(VALUE(I31&amp;""),"")=0,IFERROR(VALUE(I31&amp;""),"")=1,IFERROR(VALUE(I31&amp;""),"")=2,IFERROR(VALUE(I31&amp;""),"")=3))))),1,0)</f>
        <v/>
      </c>
    </row>
    <row r="32" ht="48" customHeight="1" s="79">
      <c r="A32" s="49" t="inlineStr">
        <is>
          <t>G2</t>
        </is>
      </c>
      <c r="B32" s="50" t="inlineStr">
        <is>
          <t>Issuance</t>
        </is>
      </c>
      <c r="C32" s="51" t="inlineStr">
        <is>
          <t>Close</t>
        </is>
      </c>
      <c r="D32" s="52" t="inlineStr">
        <is>
          <t>Must</t>
        </is>
      </c>
      <c r="E32" s="50" t="inlineStr">
        <is>
          <t>Sent to the people who can act on it</t>
        </is>
      </c>
      <c r="F32" s="50" t="inlineStr">
        <is>
          <t>The communication reaches parties who can ensure the results are given due consideration. Naming management of the activity scores 2. Use Not tested when a report-only review is silent on distribution. Score 0 when the text says the document is general information and is not to be relied on.</t>
        </is>
      </c>
      <c r="G32" s="50">
        <f>"15.1 "&amp;INDEX('6. Standards'!$B$5:$B$21,MATCH("15.1",'6. Standards'!$A$5:$A$21,0))&amp;" — "&amp;INDEX('6. Standards'!$C$5:$C$21,MATCH("15.1",'6. Standards'!$A$5:$A$21,0))&amp;CHAR(10)&amp;"11.3 "&amp;INDEX('6. Standards'!$B$5:$B$21,MATCH("11.3",'6. Standards'!$A$5:$A$21,0))&amp;" — "&amp;INDEX('6. Standards'!$C$5:$C$21,MATCH("11.3",'6. Standards'!$A$5:$A$21,0))</f>
        <v/>
      </c>
      <c r="H32" s="50">
        <f>"No other line switches this off."</f>
        <v/>
      </c>
      <c r="I32" s="77" t="n"/>
      <c r="J32" s="77" t="n"/>
      <c r="K32" s="77" t="n"/>
      <c r="L32" s="51" t="inlineStr">
        <is>
          <t>No</t>
        </is>
      </c>
      <c r="M32" s="51" t="inlineStr">
        <is>
          <t>Yes</t>
        </is>
      </c>
      <c r="N32" s="73">
        <f>IF(OR(OR(AA32,AND(UPPER(TRIM(I32&amp;""))="N/A",L32="Yes"),AND(UPPER(TRIM(I32&amp;""))="NOT TESTED",M32="Yes")),OR(AND(UPPER(TRIM(I32&amp;""))="N/A",L32&lt;&gt;"Yes"),AND(UPPER(TRIM(I32&amp;""))="NOT TESTED",M32&lt;&gt;"Yes"),AND(NOT(I32=""),NOT(UPPER(TRIM(I32&amp;""))="N/A"),NOT(UPPER(TRIM(I32&amp;""))="NOT TESTED"),NOT(AND(ISNUMBER(IFERROR(VALUE(I32&amp;""),"")),OR(IFERROR(VALUE(I32&amp;""),"")=0,IFERROR(VALUE(I32&amp;""),"")=1,IFERROR(VALUE(I32&amp;""),"")=2,IFERROR(VALUE(I32&amp;""),"")=3)))))),0,IF(AND(ISNUMBER(IFERROR(VALUE(I32&amp;""),"")),OR(IFERROR(VALUE(I32&amp;""),"")=0,IFERROR(VALUE(I32&amp;""),"")=1,IFERROR(VALUE(I32&amp;""),"")=2,IFERROR(VALUE(I32&amp;""),"")=3)),IFERROR(VALUE(I32&amp;""),"")*IF(D32="Must",2,1),0))</f>
        <v/>
      </c>
      <c r="O32" s="73">
        <f>IF(OR(AA32,AND(UPPER(TRIM(I32&amp;""))="N/A",L32="Yes"),AND(UPPER(TRIM(I32&amp;""))="NOT TESTED",M32="Yes")),0,IF(OR(OR(AND(UPPER(TRIM(I32&amp;""))="N/A",L32&lt;&gt;"Yes"),AND(UPPER(TRIM(I32&amp;""))="NOT TESTED",M32&lt;&gt;"Yes"),AND(NOT(I32=""),NOT(UPPER(TRIM(I32&amp;""))="N/A"),NOT(UPPER(TRIM(I32&amp;""))="NOT TESTED"),NOT(AND(ISNUMBER(IFERROR(VALUE(I32&amp;""),"")),OR(IFERROR(VALUE(I32&amp;""),"")=0,IFERROR(VALUE(I32&amp;""),"")=1,IFERROR(VALUE(I32&amp;""),"")=2,IFERROR(VALUE(I32&amp;""),"")=3))))),AND(ISNUMBER(IFERROR(VALUE(I32&amp;""),"")),OR(IFERROR(VALUE(I32&amp;""),"")=0,IFERROR(VALUE(I32&amp;""),"")=1,IFERROR(VALUE(I32&amp;""),"")=2,IFERROR(VALUE(I32&amp;""),"")=3))),3*IF(D32="Must",2,1),0))</f>
        <v/>
      </c>
      <c r="P32" s="74">
        <f>IF(OR(AA32,NOT(AND(D32="Must",ISNUMBER(X32),X32=0))),0,1)</f>
        <v/>
      </c>
      <c r="Q32" s="74">
        <f>IF(OR(AA32,NOT(AND(D32="Must",ISNUMBER(X32),X32=1))),0,1)</f>
        <v/>
      </c>
      <c r="R32" s="74">
        <f>IF(AND(NOT(AA32),D32="Must",I32=""),1,0)</f>
        <v/>
      </c>
      <c r="S32" s="74">
        <f>IF(AND(NOT(AA32),UPPER(TRIM(I32&amp;""))="N/A",L32&lt;&gt;"Yes"),1,0)</f>
        <v/>
      </c>
      <c r="T32" s="74">
        <f>IF(AND(NOT(AA32),UPPER(TRIM(I32&amp;""))="NOT TESTED",M32&lt;&gt;"Yes"),1,0)</f>
        <v/>
      </c>
      <c r="U32" s="74">
        <f>IF(OR(AA32,NOT(AND(D32="Should",ISNUMBER(X32),X32=0))),0,1)</f>
        <v/>
      </c>
      <c r="V32" s="74">
        <f>IF(OR(AA32,NOT(AND(D32="Should",ISNUMBER(X32),X32=1))),0,1)</f>
        <v/>
      </c>
      <c r="W32" s="74">
        <f>IF(OR(I32="",AA32),0,1)</f>
        <v/>
      </c>
      <c r="X32" s="74">
        <f>IF(I32="","",IF(UPPER(TRIM(I32&amp;""))="N/A","N/A",IF(UPPER(TRIM(I32&amp;""))="NOT TESTED","NT",IF(AND(ISNUMBER(IFERROR(VALUE(I32&amp;""),"")),OR(IFERROR(VALUE(I32&amp;""),"")=0,IFERROR(VALUE(I32&amp;""),"")=1,IFERROR(VALUE(I32&amp;""),"")=2,IFERROR(VALUE(I32&amp;""),"")=3)),IFERROR(VALUE(I32&amp;""),""),"BAD"))))</f>
        <v/>
      </c>
      <c r="Y32" s="74">
        <f>IF(OR(AA32,NOT(OR(AND(D32="Must",I32="",SUM($W$6:$W$47)&gt;0),AND(ISNUMBER(X32),X32&lt;2),AND(UPPER(TRIM(I32&amp;""))="N/A",L32&lt;&gt;"Yes"),AND(UPPER(TRIM(I32&amp;""))="NOT TESTED",M32&lt;&gt;"Yes"),AND(NOT(I32=""),NOT(UPPER(TRIM(I32&amp;""))="N/A"),NOT(UPPER(TRIM(I32&amp;""))="NOT TESTED"),NOT(AND(ISNUMBER(IFERROR(VALUE(I32&amp;""),"")),OR(IFERROR(VALUE(I32&amp;""),"")=0,IFERROR(VALUE(I32&amp;""),"")=1,IFERROR(VALUE(I32&amp;""),"")=2,IFERROR(VALUE(I32&amp;""),"")=3))))))),0,1)</f>
        <v/>
      </c>
      <c r="Z32" s="74">
        <f>IF(Y32=1,COUNTIF($Y$6:Y32,1),0)</f>
        <v/>
      </c>
      <c r="AA32" s="74">
        <f>OR(AND(LEFT(A32,1)="O",EngagementType&lt;&gt;"Overall opinion"),AND(A32="G3",StandardsEra="Before 9 January 2025"),AND(A32="E2",OR(INDEX($I$6:$I$47,MATCH("E1",$A$6:$A$47,0))=0,INDEX($I$6:$I$47,MATCH("E1",$A$6:$A$47,0))="0")),AND(A32="B2",UPPER(TRIM(INDEX($I$6:$I$47,MATCH("B1",$A$6:$A$47,0))&amp;""))="N/A"),AND(OR(A32="D1",A32="D2",A32="D3",A32="D4",A32="D5"),UPPER(TRIM(INDEX($I$6:$I$47,MATCH("C1",$A$6:$A$47,0))&amp;""))="N/A"))</f>
        <v/>
      </c>
      <c r="AB32" s="26" t="inlineStr">
        <is>
          <t>15.1;11.3</t>
        </is>
      </c>
      <c r="AC32">
        <f>IF(AND(NOT(AA32),AND(NOT(I32=""),NOT(UPPER(TRIM(I32&amp;""))="N/A"),NOT(UPPER(TRIM(I32&amp;""))="NOT TESTED"),NOT(AND(ISNUMBER(IFERROR(VALUE(I32&amp;""),"")),OR(IFERROR(VALUE(I32&amp;""),"")=0,IFERROR(VALUE(I32&amp;""),"")=1,IFERROR(VALUE(I32&amp;""),"")=2,IFERROR(VALUE(I32&amp;""),"")=3))))),1,0)</f>
        <v/>
      </c>
    </row>
    <row r="33" ht="48" customHeight="1" s="79">
      <c r="A33" s="49" t="inlineStr">
        <is>
          <t>G3</t>
        </is>
      </c>
      <c r="B33" s="50" t="inlineStr">
        <is>
          <t>Issuance</t>
        </is>
      </c>
      <c r="C33" s="51" t="inlineStr">
        <is>
          <t>Close</t>
        </is>
      </c>
      <c r="D33" s="53" t="inlineStr">
        <is>
          <t>Should</t>
        </is>
      </c>
      <c r="E33" s="50" t="inlineStr">
        <is>
          <t>A conformance statement is supported</t>
        </is>
      </c>
      <c r="F33" s="50" t="inlineStr">
        <is>
          <t>A statement of conformance with the Global Internal Audit Standards appears only where supervision and the quality programme support it. Use N/A when the report is dated before 9 January 2025. Use N/A when the report makes no conformance claim. Score 0 when conformance is claimed and the report contradicts it.</t>
        </is>
      </c>
      <c r="G33" s="50">
        <f>"15.1 "&amp;INDEX('6. Standards'!$B$5:$B$21,MATCH("15.1",'6. Standards'!$A$5:$A$21,0))&amp;" — "&amp;"considerations"</f>
        <v/>
      </c>
      <c r="H33" s="50">
        <f>IF(StandardsEra="Before 9 January 2025","Off. 2. Details dates the report before 9 January 2025, so a conformance statement is not scored.","On. Era is "&amp;IF(StandardsEra="","not set",StandardsEra)&amp;". Use N/A when the report makes no conformance claim.")</f>
        <v/>
      </c>
      <c r="I33" s="77" t="n"/>
      <c r="J33" s="77" t="n"/>
      <c r="K33" s="77" t="n"/>
      <c r="L33" s="51" t="inlineStr">
        <is>
          <t>Yes</t>
        </is>
      </c>
      <c r="M33" s="51" t="inlineStr">
        <is>
          <t>No</t>
        </is>
      </c>
      <c r="N33" s="73">
        <f>IF(OR(OR(AA33,AND(UPPER(TRIM(I33&amp;""))="N/A",L33="Yes"),AND(UPPER(TRIM(I33&amp;""))="NOT TESTED",M33="Yes")),OR(AND(UPPER(TRIM(I33&amp;""))="N/A",L33&lt;&gt;"Yes"),AND(UPPER(TRIM(I33&amp;""))="NOT TESTED",M33&lt;&gt;"Yes"),AND(NOT(I33=""),NOT(UPPER(TRIM(I33&amp;""))="N/A"),NOT(UPPER(TRIM(I33&amp;""))="NOT TESTED"),NOT(AND(ISNUMBER(IFERROR(VALUE(I33&amp;""),"")),OR(IFERROR(VALUE(I33&amp;""),"")=0,IFERROR(VALUE(I33&amp;""),"")=1,IFERROR(VALUE(I33&amp;""),"")=2,IFERROR(VALUE(I33&amp;""),"")=3)))))),0,IF(AND(ISNUMBER(IFERROR(VALUE(I33&amp;""),"")),OR(IFERROR(VALUE(I33&amp;""),"")=0,IFERROR(VALUE(I33&amp;""),"")=1,IFERROR(VALUE(I33&amp;""),"")=2,IFERROR(VALUE(I33&amp;""),"")=3)),IFERROR(VALUE(I33&amp;""),"")*IF(D33="Must",2,1),0))</f>
        <v/>
      </c>
      <c r="O33" s="73">
        <f>IF(OR(AA33,AND(UPPER(TRIM(I33&amp;""))="N/A",L33="Yes"),AND(UPPER(TRIM(I33&amp;""))="NOT TESTED",M33="Yes")),0,IF(OR(OR(AND(UPPER(TRIM(I33&amp;""))="N/A",L33&lt;&gt;"Yes"),AND(UPPER(TRIM(I33&amp;""))="NOT TESTED",M33&lt;&gt;"Yes"),AND(NOT(I33=""),NOT(UPPER(TRIM(I33&amp;""))="N/A"),NOT(UPPER(TRIM(I33&amp;""))="NOT TESTED"),NOT(AND(ISNUMBER(IFERROR(VALUE(I33&amp;""),"")),OR(IFERROR(VALUE(I33&amp;""),"")=0,IFERROR(VALUE(I33&amp;""),"")=1,IFERROR(VALUE(I33&amp;""),"")=2,IFERROR(VALUE(I33&amp;""),"")=3))))),AND(ISNUMBER(IFERROR(VALUE(I33&amp;""),"")),OR(IFERROR(VALUE(I33&amp;""),"")=0,IFERROR(VALUE(I33&amp;""),"")=1,IFERROR(VALUE(I33&amp;""),"")=2,IFERROR(VALUE(I33&amp;""),"")=3))),3*IF(D33="Must",2,1),0))</f>
        <v/>
      </c>
      <c r="P33" s="74">
        <f>IF(OR(AA33,NOT(AND(D33="Must",ISNUMBER(X33),X33=0))),0,1)</f>
        <v/>
      </c>
      <c r="Q33" s="74">
        <f>IF(OR(AA33,NOT(AND(D33="Must",ISNUMBER(X33),X33=1))),0,1)</f>
        <v/>
      </c>
      <c r="R33" s="74">
        <f>IF(AND(NOT(AA33),D33="Must",I33=""),1,0)</f>
        <v/>
      </c>
      <c r="S33" s="74">
        <f>IF(AND(NOT(AA33),UPPER(TRIM(I33&amp;""))="N/A",L33&lt;&gt;"Yes"),1,0)</f>
        <v/>
      </c>
      <c r="T33" s="74">
        <f>IF(AND(NOT(AA33),UPPER(TRIM(I33&amp;""))="NOT TESTED",M33&lt;&gt;"Yes"),1,0)</f>
        <v/>
      </c>
      <c r="U33" s="74">
        <f>IF(OR(AA33,NOT(AND(D33="Should",ISNUMBER(X33),X33=0))),0,1)</f>
        <v/>
      </c>
      <c r="V33" s="74">
        <f>IF(OR(AA33,NOT(AND(D33="Should",ISNUMBER(X33),X33=1))),0,1)</f>
        <v/>
      </c>
      <c r="W33" s="74">
        <f>IF(OR(I33="",AA33),0,1)</f>
        <v/>
      </c>
      <c r="X33" s="74">
        <f>IF(I33="","",IF(UPPER(TRIM(I33&amp;""))="N/A","N/A",IF(UPPER(TRIM(I33&amp;""))="NOT TESTED","NT",IF(AND(ISNUMBER(IFERROR(VALUE(I33&amp;""),"")),OR(IFERROR(VALUE(I33&amp;""),"")=0,IFERROR(VALUE(I33&amp;""),"")=1,IFERROR(VALUE(I33&amp;""),"")=2,IFERROR(VALUE(I33&amp;""),"")=3)),IFERROR(VALUE(I33&amp;""),""),"BAD"))))</f>
        <v/>
      </c>
      <c r="Y33" s="74">
        <f>IF(OR(AA33,NOT(OR(AND(D33="Must",I33="",SUM($W$6:$W$47)&gt;0),AND(ISNUMBER(X33),X33&lt;2),AND(UPPER(TRIM(I33&amp;""))="N/A",L33&lt;&gt;"Yes"),AND(UPPER(TRIM(I33&amp;""))="NOT TESTED",M33&lt;&gt;"Yes"),AND(NOT(I33=""),NOT(UPPER(TRIM(I33&amp;""))="N/A"),NOT(UPPER(TRIM(I33&amp;""))="NOT TESTED"),NOT(AND(ISNUMBER(IFERROR(VALUE(I33&amp;""),"")),OR(IFERROR(VALUE(I33&amp;""),"")=0,IFERROR(VALUE(I33&amp;""),"")=1,IFERROR(VALUE(I33&amp;""),"")=2,IFERROR(VALUE(I33&amp;""),"")=3))))))),0,1)</f>
        <v/>
      </c>
      <c r="Z33" s="74">
        <f>IF(Y33=1,COUNTIF($Y$6:Y33,1),0)</f>
        <v/>
      </c>
      <c r="AA33" s="74">
        <f>OR(AND(LEFT(A33,1)="O",EngagementType&lt;&gt;"Overall opinion"),AND(A33="G3",StandardsEra="Before 9 January 2025"),AND(A33="E2",OR(INDEX($I$6:$I$47,MATCH("E1",$A$6:$A$47,0))=0,INDEX($I$6:$I$47,MATCH("E1",$A$6:$A$47,0))="0")),AND(A33="B2",UPPER(TRIM(INDEX($I$6:$I$47,MATCH("B1",$A$6:$A$47,0))&amp;""))="N/A"),AND(OR(A33="D1",A33="D2",A33="D3",A33="D4",A33="D5"),UPPER(TRIM(INDEX($I$6:$I$47,MATCH("C1",$A$6:$A$47,0))&amp;""))="N/A"))</f>
        <v/>
      </c>
      <c r="AB33" s="26" t="inlineStr">
        <is>
          <t>15.1</t>
        </is>
      </c>
      <c r="AC33">
        <f>IF(AND(NOT(AA33),AND(NOT(I33=""),NOT(UPPER(TRIM(I33&amp;""))="N/A"),NOT(UPPER(TRIM(I33&amp;""))="NOT TESTED"),NOT(AND(ISNUMBER(IFERROR(VALUE(I33&amp;""),"")),OR(IFERROR(VALUE(I33&amp;""),"")=0,IFERROR(VALUE(I33&amp;""),"")=1,IFERROR(VALUE(I33&amp;""),"")=2,IFERROR(VALUE(I33&amp;""),"")=3))))),1,0)</f>
        <v/>
      </c>
    </row>
    <row r="34" ht="48" customHeight="1" s="79">
      <c r="A34" s="49" t="inlineStr">
        <is>
          <t>G4</t>
        </is>
      </c>
      <c r="B34" s="50" t="inlineStr">
        <is>
          <t>Issuance</t>
        </is>
      </c>
      <c r="C34" s="51" t="inlineStr">
        <is>
          <t>Close</t>
        </is>
      </c>
      <c r="D34" s="52" t="inlineStr">
        <is>
          <t>Must</t>
        </is>
      </c>
      <c r="E34" s="50" t="inlineStr">
        <is>
          <t>Nonconformance is disclosed</t>
        </is>
      </c>
      <c r="F34" s="50" t="inlineStr">
        <is>
          <t>If the engagement did not conform, the report names the standard, the reason, and the effect on the findings and the conclusion. Use N/A when no nonconformance has been identified. Do not score silence as 0.</t>
        </is>
      </c>
      <c r="G34" s="50">
        <f>"15.1 "&amp;INDEX('6. Standards'!$B$5:$B$21,MATCH("15.1",'6. Standards'!$A$5:$A$21,0))&amp;" — "&amp;INDEX('6. Standards'!$C$5:$C$21,MATCH("15.1",'6. Standards'!$A$5:$A$21,0))</f>
        <v/>
      </c>
      <c r="H34" s="50">
        <f>"Use N/A when no nonconformance has been identified. Silence is not a fail."</f>
        <v/>
      </c>
      <c r="I34" s="77" t="n"/>
      <c r="J34" s="77" t="n"/>
      <c r="K34" s="77" t="n"/>
      <c r="L34" s="51" t="inlineStr">
        <is>
          <t>Yes</t>
        </is>
      </c>
      <c r="M34" s="51" t="inlineStr">
        <is>
          <t>No</t>
        </is>
      </c>
      <c r="N34" s="73">
        <f>IF(OR(OR(AA34,AND(UPPER(TRIM(I34&amp;""))="N/A",L34="Yes"),AND(UPPER(TRIM(I34&amp;""))="NOT TESTED",M34="Yes")),OR(AND(UPPER(TRIM(I34&amp;""))="N/A",L34&lt;&gt;"Yes"),AND(UPPER(TRIM(I34&amp;""))="NOT TESTED",M34&lt;&gt;"Yes"),AND(NOT(I34=""),NOT(UPPER(TRIM(I34&amp;""))="N/A"),NOT(UPPER(TRIM(I34&amp;""))="NOT TESTED"),NOT(AND(ISNUMBER(IFERROR(VALUE(I34&amp;""),"")),OR(IFERROR(VALUE(I34&amp;""),"")=0,IFERROR(VALUE(I34&amp;""),"")=1,IFERROR(VALUE(I34&amp;""),"")=2,IFERROR(VALUE(I34&amp;""),"")=3)))))),0,IF(AND(ISNUMBER(IFERROR(VALUE(I34&amp;""),"")),OR(IFERROR(VALUE(I34&amp;""),"")=0,IFERROR(VALUE(I34&amp;""),"")=1,IFERROR(VALUE(I34&amp;""),"")=2,IFERROR(VALUE(I34&amp;""),"")=3)),IFERROR(VALUE(I34&amp;""),"")*IF(D34="Must",2,1),0))</f>
        <v/>
      </c>
      <c r="O34" s="73">
        <f>IF(OR(AA34,AND(UPPER(TRIM(I34&amp;""))="N/A",L34="Yes"),AND(UPPER(TRIM(I34&amp;""))="NOT TESTED",M34="Yes")),0,IF(OR(OR(AND(UPPER(TRIM(I34&amp;""))="N/A",L34&lt;&gt;"Yes"),AND(UPPER(TRIM(I34&amp;""))="NOT TESTED",M34&lt;&gt;"Yes"),AND(NOT(I34=""),NOT(UPPER(TRIM(I34&amp;""))="N/A"),NOT(UPPER(TRIM(I34&amp;""))="NOT TESTED"),NOT(AND(ISNUMBER(IFERROR(VALUE(I34&amp;""),"")),OR(IFERROR(VALUE(I34&amp;""),"")=0,IFERROR(VALUE(I34&amp;""),"")=1,IFERROR(VALUE(I34&amp;""),"")=2,IFERROR(VALUE(I34&amp;""),"")=3))))),AND(ISNUMBER(IFERROR(VALUE(I34&amp;""),"")),OR(IFERROR(VALUE(I34&amp;""),"")=0,IFERROR(VALUE(I34&amp;""),"")=1,IFERROR(VALUE(I34&amp;""),"")=2,IFERROR(VALUE(I34&amp;""),"")=3))),3*IF(D34="Must",2,1),0))</f>
        <v/>
      </c>
      <c r="P34" s="74">
        <f>IF(OR(AA34,NOT(AND(D34="Must",ISNUMBER(X34),X34=0))),0,1)</f>
        <v/>
      </c>
      <c r="Q34" s="74">
        <f>IF(OR(AA34,NOT(AND(D34="Must",ISNUMBER(X34),X34=1))),0,1)</f>
        <v/>
      </c>
      <c r="R34" s="74">
        <f>IF(AND(NOT(AA34),D34="Must",I34=""),1,0)</f>
        <v/>
      </c>
      <c r="S34" s="74">
        <f>IF(AND(NOT(AA34),UPPER(TRIM(I34&amp;""))="N/A",L34&lt;&gt;"Yes"),1,0)</f>
        <v/>
      </c>
      <c r="T34" s="74">
        <f>IF(AND(NOT(AA34),UPPER(TRIM(I34&amp;""))="NOT TESTED",M34&lt;&gt;"Yes"),1,0)</f>
        <v/>
      </c>
      <c r="U34" s="74">
        <f>IF(OR(AA34,NOT(AND(D34="Should",ISNUMBER(X34),X34=0))),0,1)</f>
        <v/>
      </c>
      <c r="V34" s="74">
        <f>IF(OR(AA34,NOT(AND(D34="Should",ISNUMBER(X34),X34=1))),0,1)</f>
        <v/>
      </c>
      <c r="W34" s="74">
        <f>IF(OR(I34="",AA34),0,1)</f>
        <v/>
      </c>
      <c r="X34" s="74">
        <f>IF(I34="","",IF(UPPER(TRIM(I34&amp;""))="N/A","N/A",IF(UPPER(TRIM(I34&amp;""))="NOT TESTED","NT",IF(AND(ISNUMBER(IFERROR(VALUE(I34&amp;""),"")),OR(IFERROR(VALUE(I34&amp;""),"")=0,IFERROR(VALUE(I34&amp;""),"")=1,IFERROR(VALUE(I34&amp;""),"")=2,IFERROR(VALUE(I34&amp;""),"")=3)),IFERROR(VALUE(I34&amp;""),""),"BAD"))))</f>
        <v/>
      </c>
      <c r="Y34" s="74">
        <f>IF(OR(AA34,NOT(OR(AND(D34="Must",I34="",SUM($W$6:$W$47)&gt;0),AND(ISNUMBER(X34),X34&lt;2),AND(UPPER(TRIM(I34&amp;""))="N/A",L34&lt;&gt;"Yes"),AND(UPPER(TRIM(I34&amp;""))="NOT TESTED",M34&lt;&gt;"Yes"),AND(NOT(I34=""),NOT(UPPER(TRIM(I34&amp;""))="N/A"),NOT(UPPER(TRIM(I34&amp;""))="NOT TESTED"),NOT(AND(ISNUMBER(IFERROR(VALUE(I34&amp;""),"")),OR(IFERROR(VALUE(I34&amp;""),"")=0,IFERROR(VALUE(I34&amp;""),"")=1,IFERROR(VALUE(I34&amp;""),"")=2,IFERROR(VALUE(I34&amp;""),"")=3))))))),0,1)</f>
        <v/>
      </c>
      <c r="Z34" s="74">
        <f>IF(Y34=1,COUNTIF($Y$6:Y34,1),0)</f>
        <v/>
      </c>
      <c r="AA34" s="74">
        <f>OR(AND(LEFT(A34,1)="O",EngagementType&lt;&gt;"Overall opinion"),AND(A34="G3",StandardsEra="Before 9 January 2025"),AND(A34="E2",OR(INDEX($I$6:$I$47,MATCH("E1",$A$6:$A$47,0))=0,INDEX($I$6:$I$47,MATCH("E1",$A$6:$A$47,0))="0")),AND(A34="B2",UPPER(TRIM(INDEX($I$6:$I$47,MATCH("B1",$A$6:$A$47,0))&amp;""))="N/A"),AND(OR(A34="D1",A34="D2",A34="D3",A34="D4",A34="D5"),UPPER(TRIM(INDEX($I$6:$I$47,MATCH("C1",$A$6:$A$47,0))&amp;""))="N/A"))</f>
        <v/>
      </c>
      <c r="AB34" s="26" t="inlineStr">
        <is>
          <t>15.1</t>
        </is>
      </c>
      <c r="AC34">
        <f>IF(AND(NOT(AA34),AND(NOT(I34=""),NOT(UPPER(TRIM(I34&amp;""))="N/A"),NOT(UPPER(TRIM(I34&amp;""))="NOT TESTED"),NOT(AND(ISNUMBER(IFERROR(VALUE(I34&amp;""),"")),OR(IFERROR(VALUE(I34&amp;""),"")=0,IFERROR(VALUE(I34&amp;""),"")=1,IFERROR(VALUE(I34&amp;""),"")=2,IFERROR(VALUE(I34&amp;""),"")=3))))),1,0)</f>
        <v/>
      </c>
    </row>
    <row r="35" ht="48" customHeight="1" s="79">
      <c r="A35" s="49" t="inlineStr">
        <is>
          <t>G5</t>
        </is>
      </c>
      <c r="B35" s="50" t="inlineStr">
        <is>
          <t>Issuance</t>
        </is>
      </c>
      <c r="C35" s="51" t="inlineStr">
        <is>
          <t>Close</t>
        </is>
      </c>
      <c r="D35" s="52" t="inlineStr">
        <is>
          <t>Must</t>
        </is>
      </c>
      <c r="E35" s="50" t="inlineStr">
        <is>
          <t>Confidential information is protected</t>
        </is>
      </c>
      <c r="F35" s="50" t="inlineStr">
        <is>
          <t>Standard 5.2 requires protection of confidential information. It does not require a legend on every report. “Private and confidential,” or an equivalent restriction, scores 2. Score 0 when the communication releases information it treats as confidential, or invites unrestricted circulation. Use Not tested when the page is silent.</t>
        </is>
      </c>
      <c r="G35" s="50">
        <f>"5.1 "&amp;INDEX('6. Standards'!$B$5:$B$21,MATCH("5.1",'6. Standards'!$A$5:$A$21,0))&amp;" — "&amp;INDEX('6. Standards'!$C$5:$C$21,MATCH("5.1",'6. Standards'!$A$5:$A$21,0))&amp;CHAR(10)&amp;"5.2 "&amp;INDEX('6. Standards'!$B$5:$B$21,MATCH("5.2",'6. Standards'!$A$5:$A$21,0))&amp;" — "&amp;INDEX('6. Standards'!$C$5:$C$21,MATCH("5.2",'6. Standards'!$A$5:$A$21,0))</f>
        <v/>
      </c>
      <c r="H35" s="50">
        <f>"No other line switches this off."</f>
        <v/>
      </c>
      <c r="I35" s="77" t="n"/>
      <c r="J35" s="77" t="n"/>
      <c r="K35" s="77" t="n"/>
      <c r="L35" s="51" t="inlineStr">
        <is>
          <t>No</t>
        </is>
      </c>
      <c r="M35" s="51" t="inlineStr">
        <is>
          <t>Yes</t>
        </is>
      </c>
      <c r="N35" s="73">
        <f>IF(OR(OR(AA35,AND(UPPER(TRIM(I35&amp;""))="N/A",L35="Yes"),AND(UPPER(TRIM(I35&amp;""))="NOT TESTED",M35="Yes")),OR(AND(UPPER(TRIM(I35&amp;""))="N/A",L35&lt;&gt;"Yes"),AND(UPPER(TRIM(I35&amp;""))="NOT TESTED",M35&lt;&gt;"Yes"),AND(NOT(I35=""),NOT(UPPER(TRIM(I35&amp;""))="N/A"),NOT(UPPER(TRIM(I35&amp;""))="NOT TESTED"),NOT(AND(ISNUMBER(IFERROR(VALUE(I35&amp;""),"")),OR(IFERROR(VALUE(I35&amp;""),"")=0,IFERROR(VALUE(I35&amp;""),"")=1,IFERROR(VALUE(I35&amp;""),"")=2,IFERROR(VALUE(I35&amp;""),"")=3)))))),0,IF(AND(ISNUMBER(IFERROR(VALUE(I35&amp;""),"")),OR(IFERROR(VALUE(I35&amp;""),"")=0,IFERROR(VALUE(I35&amp;""),"")=1,IFERROR(VALUE(I35&amp;""),"")=2,IFERROR(VALUE(I35&amp;""),"")=3)),IFERROR(VALUE(I35&amp;""),"")*IF(D35="Must",2,1),0))</f>
        <v/>
      </c>
      <c r="O35" s="73">
        <f>IF(OR(AA35,AND(UPPER(TRIM(I35&amp;""))="N/A",L35="Yes"),AND(UPPER(TRIM(I35&amp;""))="NOT TESTED",M35="Yes")),0,IF(OR(OR(AND(UPPER(TRIM(I35&amp;""))="N/A",L35&lt;&gt;"Yes"),AND(UPPER(TRIM(I35&amp;""))="NOT TESTED",M35&lt;&gt;"Yes"),AND(NOT(I35=""),NOT(UPPER(TRIM(I35&amp;""))="N/A"),NOT(UPPER(TRIM(I35&amp;""))="NOT TESTED"),NOT(AND(ISNUMBER(IFERROR(VALUE(I35&amp;""),"")),OR(IFERROR(VALUE(I35&amp;""),"")=0,IFERROR(VALUE(I35&amp;""),"")=1,IFERROR(VALUE(I35&amp;""),"")=2,IFERROR(VALUE(I35&amp;""),"")=3))))),AND(ISNUMBER(IFERROR(VALUE(I35&amp;""),"")),OR(IFERROR(VALUE(I35&amp;""),"")=0,IFERROR(VALUE(I35&amp;""),"")=1,IFERROR(VALUE(I35&amp;""),"")=2,IFERROR(VALUE(I35&amp;""),"")=3))),3*IF(D35="Must",2,1),0))</f>
        <v/>
      </c>
      <c r="P35" s="74">
        <f>IF(OR(AA35,NOT(AND(D35="Must",ISNUMBER(X35),X35=0))),0,1)</f>
        <v/>
      </c>
      <c r="Q35" s="74">
        <f>IF(OR(AA35,NOT(AND(D35="Must",ISNUMBER(X35),X35=1))),0,1)</f>
        <v/>
      </c>
      <c r="R35" s="74">
        <f>IF(AND(NOT(AA35),D35="Must",I35=""),1,0)</f>
        <v/>
      </c>
      <c r="S35" s="74">
        <f>IF(AND(NOT(AA35),UPPER(TRIM(I35&amp;""))="N/A",L35&lt;&gt;"Yes"),1,0)</f>
        <v/>
      </c>
      <c r="T35" s="74">
        <f>IF(AND(NOT(AA35),UPPER(TRIM(I35&amp;""))="NOT TESTED",M35&lt;&gt;"Yes"),1,0)</f>
        <v/>
      </c>
      <c r="U35" s="74">
        <f>IF(OR(AA35,NOT(AND(D35="Should",ISNUMBER(X35),X35=0))),0,1)</f>
        <v/>
      </c>
      <c r="V35" s="74">
        <f>IF(OR(AA35,NOT(AND(D35="Should",ISNUMBER(X35),X35=1))),0,1)</f>
        <v/>
      </c>
      <c r="W35" s="74">
        <f>IF(OR(I35="",AA35),0,1)</f>
        <v/>
      </c>
      <c r="X35" s="74">
        <f>IF(I35="","",IF(UPPER(TRIM(I35&amp;""))="N/A","N/A",IF(UPPER(TRIM(I35&amp;""))="NOT TESTED","NT",IF(AND(ISNUMBER(IFERROR(VALUE(I35&amp;""),"")),OR(IFERROR(VALUE(I35&amp;""),"")=0,IFERROR(VALUE(I35&amp;""),"")=1,IFERROR(VALUE(I35&amp;""),"")=2,IFERROR(VALUE(I35&amp;""),"")=3)),IFERROR(VALUE(I35&amp;""),""),"BAD"))))</f>
        <v/>
      </c>
      <c r="Y35" s="74">
        <f>IF(OR(AA35,NOT(OR(AND(D35="Must",I35="",SUM($W$6:$W$47)&gt;0),AND(ISNUMBER(X35),X35&lt;2),AND(UPPER(TRIM(I35&amp;""))="N/A",L35&lt;&gt;"Yes"),AND(UPPER(TRIM(I35&amp;""))="NOT TESTED",M35&lt;&gt;"Yes"),AND(NOT(I35=""),NOT(UPPER(TRIM(I35&amp;""))="N/A"),NOT(UPPER(TRIM(I35&amp;""))="NOT TESTED"),NOT(AND(ISNUMBER(IFERROR(VALUE(I35&amp;""),"")),OR(IFERROR(VALUE(I35&amp;""),"")=0,IFERROR(VALUE(I35&amp;""),"")=1,IFERROR(VALUE(I35&amp;""),"")=2,IFERROR(VALUE(I35&amp;""),"")=3))))))),0,1)</f>
        <v/>
      </c>
      <c r="Z35" s="74">
        <f>IF(Y35=1,COUNTIF($Y$6:Y35,1),0)</f>
        <v/>
      </c>
      <c r="AA35" s="74">
        <f>OR(AND(LEFT(A35,1)="O",EngagementType&lt;&gt;"Overall opinion"),AND(A35="G3",StandardsEra="Before 9 January 2025"),AND(A35="E2",OR(INDEX($I$6:$I$47,MATCH("E1",$A$6:$A$47,0))=0,INDEX($I$6:$I$47,MATCH("E1",$A$6:$A$47,0))="0")),AND(A35="B2",UPPER(TRIM(INDEX($I$6:$I$47,MATCH("B1",$A$6:$A$47,0))&amp;""))="N/A"),AND(OR(A35="D1",A35="D2",A35="D3",A35="D4",A35="D5"),UPPER(TRIM(INDEX($I$6:$I$47,MATCH("C1",$A$6:$A$47,0))&amp;""))="N/A"))</f>
        <v/>
      </c>
      <c r="AB35" s="26" t="inlineStr">
        <is>
          <t>5.1;5.2</t>
        </is>
      </c>
      <c r="AC35">
        <f>IF(AND(NOT(AA35),AND(NOT(I35=""),NOT(UPPER(TRIM(I35&amp;""))="N/A"),NOT(UPPER(TRIM(I35&amp;""))="NOT TESTED"),NOT(AND(ISNUMBER(IFERROR(VALUE(I35&amp;""),"")),OR(IFERROR(VALUE(I35&amp;""),"")=0,IFERROR(VALUE(I35&amp;""),"")=1,IFERROR(VALUE(I35&amp;""),"")=2,IFERROR(VALUE(I35&amp;""),"")=3))))),1,0)</f>
        <v/>
      </c>
    </row>
    <row r="36" ht="48" customHeight="1" s="79">
      <c r="A36" s="49" t="inlineStr">
        <is>
          <t>G6</t>
        </is>
      </c>
      <c r="B36" s="50" t="inlineStr">
        <is>
          <t>Issuance</t>
        </is>
      </c>
      <c r="C36" s="51" t="inlineStr">
        <is>
          <t>Close</t>
        </is>
      </c>
      <c r="D36" s="52" t="inlineStr">
        <is>
          <t>Must</t>
        </is>
      </c>
      <c r="E36" s="50" t="inlineStr">
        <is>
          <t>A significant error has been corrected</t>
        </is>
      </c>
      <c r="F36" s="50" t="inlineStr">
        <is>
          <t>Use N/A unless this document corrects an earlier issue. On a correction, the new information went promptly to everyone who received the original. A miss here is a Must, because Standard 11.4 applies once a significant error exists.</t>
        </is>
      </c>
      <c r="G36" s="50">
        <f>"11.4 "&amp;INDEX('6. Standards'!$B$5:$B$21,MATCH("11.4",'6. Standards'!$A$5:$A$21,0))&amp;" — "&amp;INDEX('6. Standards'!$C$5:$C$21,MATCH("11.4",'6. Standards'!$A$5:$A$21,0))</f>
        <v/>
      </c>
      <c r="H36" s="50">
        <f>"Use N/A unless this document corrects an earlier final communication. Standard 11.4 then applies."</f>
        <v/>
      </c>
      <c r="I36" s="77" t="n"/>
      <c r="J36" s="77" t="n"/>
      <c r="K36" s="77" t="n"/>
      <c r="L36" s="51" t="inlineStr">
        <is>
          <t>Yes</t>
        </is>
      </c>
      <c r="M36" s="51" t="inlineStr">
        <is>
          <t>No</t>
        </is>
      </c>
      <c r="N36" s="73">
        <f>IF(OR(OR(AA36,AND(UPPER(TRIM(I36&amp;""))="N/A",L36="Yes"),AND(UPPER(TRIM(I36&amp;""))="NOT TESTED",M36="Yes")),OR(AND(UPPER(TRIM(I36&amp;""))="N/A",L36&lt;&gt;"Yes"),AND(UPPER(TRIM(I36&amp;""))="NOT TESTED",M36&lt;&gt;"Yes"),AND(NOT(I36=""),NOT(UPPER(TRIM(I36&amp;""))="N/A"),NOT(UPPER(TRIM(I36&amp;""))="NOT TESTED"),NOT(AND(ISNUMBER(IFERROR(VALUE(I36&amp;""),"")),OR(IFERROR(VALUE(I36&amp;""),"")=0,IFERROR(VALUE(I36&amp;""),"")=1,IFERROR(VALUE(I36&amp;""),"")=2,IFERROR(VALUE(I36&amp;""),"")=3)))))),0,IF(AND(ISNUMBER(IFERROR(VALUE(I36&amp;""),"")),OR(IFERROR(VALUE(I36&amp;""),"")=0,IFERROR(VALUE(I36&amp;""),"")=1,IFERROR(VALUE(I36&amp;""),"")=2,IFERROR(VALUE(I36&amp;""),"")=3)),IFERROR(VALUE(I36&amp;""),"")*IF(D36="Must",2,1),0))</f>
        <v/>
      </c>
      <c r="O36" s="73">
        <f>IF(OR(AA36,AND(UPPER(TRIM(I36&amp;""))="N/A",L36="Yes"),AND(UPPER(TRIM(I36&amp;""))="NOT TESTED",M36="Yes")),0,IF(OR(OR(AND(UPPER(TRIM(I36&amp;""))="N/A",L36&lt;&gt;"Yes"),AND(UPPER(TRIM(I36&amp;""))="NOT TESTED",M36&lt;&gt;"Yes"),AND(NOT(I36=""),NOT(UPPER(TRIM(I36&amp;""))="N/A"),NOT(UPPER(TRIM(I36&amp;""))="NOT TESTED"),NOT(AND(ISNUMBER(IFERROR(VALUE(I36&amp;""),"")),OR(IFERROR(VALUE(I36&amp;""),"")=0,IFERROR(VALUE(I36&amp;""),"")=1,IFERROR(VALUE(I36&amp;""),"")=2,IFERROR(VALUE(I36&amp;""),"")=3))))),AND(ISNUMBER(IFERROR(VALUE(I36&amp;""),"")),OR(IFERROR(VALUE(I36&amp;""),"")=0,IFERROR(VALUE(I36&amp;""),"")=1,IFERROR(VALUE(I36&amp;""),"")=2,IFERROR(VALUE(I36&amp;""),"")=3))),3*IF(D36="Must",2,1),0))</f>
        <v/>
      </c>
      <c r="P36" s="74">
        <f>IF(OR(AA36,NOT(AND(D36="Must",ISNUMBER(X36),X36=0))),0,1)</f>
        <v/>
      </c>
      <c r="Q36" s="74">
        <f>IF(OR(AA36,NOT(AND(D36="Must",ISNUMBER(X36),X36=1))),0,1)</f>
        <v/>
      </c>
      <c r="R36" s="74">
        <f>IF(AND(NOT(AA36),D36="Must",I36=""),1,0)</f>
        <v/>
      </c>
      <c r="S36" s="74">
        <f>IF(AND(NOT(AA36),UPPER(TRIM(I36&amp;""))="N/A",L36&lt;&gt;"Yes"),1,0)</f>
        <v/>
      </c>
      <c r="T36" s="74">
        <f>IF(AND(NOT(AA36),UPPER(TRIM(I36&amp;""))="NOT TESTED",M36&lt;&gt;"Yes"),1,0)</f>
        <v/>
      </c>
      <c r="U36" s="74">
        <f>IF(OR(AA36,NOT(AND(D36="Should",ISNUMBER(X36),X36=0))),0,1)</f>
        <v/>
      </c>
      <c r="V36" s="74">
        <f>IF(OR(AA36,NOT(AND(D36="Should",ISNUMBER(X36),X36=1))),0,1)</f>
        <v/>
      </c>
      <c r="W36" s="74">
        <f>IF(OR(I36="",AA36),0,1)</f>
        <v/>
      </c>
      <c r="X36" s="74">
        <f>IF(I36="","",IF(UPPER(TRIM(I36&amp;""))="N/A","N/A",IF(UPPER(TRIM(I36&amp;""))="NOT TESTED","NT",IF(AND(ISNUMBER(IFERROR(VALUE(I36&amp;""),"")),OR(IFERROR(VALUE(I36&amp;""),"")=0,IFERROR(VALUE(I36&amp;""),"")=1,IFERROR(VALUE(I36&amp;""),"")=2,IFERROR(VALUE(I36&amp;""),"")=3)),IFERROR(VALUE(I36&amp;""),""),"BAD"))))</f>
        <v/>
      </c>
      <c r="Y36" s="74">
        <f>IF(OR(AA36,NOT(OR(AND(D36="Must",I36="",SUM($W$6:$W$47)&gt;0),AND(ISNUMBER(X36),X36&lt;2),AND(UPPER(TRIM(I36&amp;""))="N/A",L36&lt;&gt;"Yes"),AND(UPPER(TRIM(I36&amp;""))="NOT TESTED",M36&lt;&gt;"Yes"),AND(NOT(I36=""),NOT(UPPER(TRIM(I36&amp;""))="N/A"),NOT(UPPER(TRIM(I36&amp;""))="NOT TESTED"),NOT(AND(ISNUMBER(IFERROR(VALUE(I36&amp;""),"")),OR(IFERROR(VALUE(I36&amp;""),"")=0,IFERROR(VALUE(I36&amp;""),"")=1,IFERROR(VALUE(I36&amp;""),"")=2,IFERROR(VALUE(I36&amp;""),"")=3))))))),0,1)</f>
        <v/>
      </c>
      <c r="Z36" s="74">
        <f>IF(Y36=1,COUNTIF($Y$6:Y36,1),0)</f>
        <v/>
      </c>
      <c r="AA36" s="74">
        <f>OR(AND(LEFT(A36,1)="O",EngagementType&lt;&gt;"Overall opinion"),AND(A36="G3",StandardsEra="Before 9 January 2025"),AND(A36="E2",OR(INDEX($I$6:$I$47,MATCH("E1",$A$6:$A$47,0))=0,INDEX($I$6:$I$47,MATCH("E1",$A$6:$A$47,0))="0")),AND(A36="B2",UPPER(TRIM(INDEX($I$6:$I$47,MATCH("B1",$A$6:$A$47,0))&amp;""))="N/A"),AND(OR(A36="D1",A36="D2",A36="D3",A36="D4",A36="D5"),UPPER(TRIM(INDEX($I$6:$I$47,MATCH("C1",$A$6:$A$47,0))&amp;""))="N/A"))</f>
        <v/>
      </c>
      <c r="AB36" s="26" t="inlineStr">
        <is>
          <t>11.4</t>
        </is>
      </c>
      <c r="AC36">
        <f>IF(AND(NOT(AA36),AND(NOT(I36=""),NOT(UPPER(TRIM(I36&amp;""))="N/A"),NOT(UPPER(TRIM(I36&amp;""))="NOT TESTED"),NOT(AND(ISNUMBER(IFERROR(VALUE(I36&amp;""),"")),OR(IFERROR(VALUE(I36&amp;""),"")=0,IFERROR(VALUE(I36&amp;""),"")=1,IFERROR(VALUE(I36&amp;""),"")=2,IFERROR(VALUE(I36&amp;""),"")=3))))),1,0)</f>
        <v/>
      </c>
    </row>
    <row r="37" ht="48" customHeight="1" s="79">
      <c r="A37" s="49" t="inlineStr">
        <is>
          <t>G7</t>
        </is>
      </c>
      <c r="B37" s="50" t="inlineStr">
        <is>
          <t>Issuance</t>
        </is>
      </c>
      <c r="C37" s="51" t="inlineStr">
        <is>
          <t>Close</t>
        </is>
      </c>
      <c r="D37" s="52" t="inlineStr">
        <is>
          <t>Must</t>
        </is>
      </c>
      <c r="E37" s="50" t="inlineStr">
        <is>
          <t>Risk accepted above appetite is escalated</t>
        </is>
      </c>
      <c r="F37" s="50" t="inlineStr">
        <is>
          <t>Use N/A unless the report shows that management accepted a risk above appetite or tolerance. Where it does, the report shows the discussion with senior management and, if unresolved, escalation to the board. A miss here is a Must.</t>
        </is>
      </c>
      <c r="G37" s="50">
        <f>"11.5 "&amp;INDEX('6. Standards'!$B$5:$B$21,MATCH("11.5",'6. Standards'!$A$5:$A$21,0))&amp;" — "&amp;INDEX('6. Standards'!$C$5:$C$21,MATCH("11.5",'6. Standards'!$A$5:$A$21,0))</f>
        <v/>
      </c>
      <c r="H37" s="50">
        <f>"Use N/A unless the report shows risk accepted above appetite or tolerance. Standard 11.5 then applies."</f>
        <v/>
      </c>
      <c r="I37" s="77" t="n"/>
      <c r="J37" s="77" t="n"/>
      <c r="K37" s="77" t="n"/>
      <c r="L37" s="51" t="inlineStr">
        <is>
          <t>Yes</t>
        </is>
      </c>
      <c r="M37" s="51" t="inlineStr">
        <is>
          <t>No</t>
        </is>
      </c>
      <c r="N37" s="73">
        <f>IF(OR(OR(AA37,AND(UPPER(TRIM(I37&amp;""))="N/A",L37="Yes"),AND(UPPER(TRIM(I37&amp;""))="NOT TESTED",M37="Yes")),OR(AND(UPPER(TRIM(I37&amp;""))="N/A",L37&lt;&gt;"Yes"),AND(UPPER(TRIM(I37&amp;""))="NOT TESTED",M37&lt;&gt;"Yes"),AND(NOT(I37=""),NOT(UPPER(TRIM(I37&amp;""))="N/A"),NOT(UPPER(TRIM(I37&amp;""))="NOT TESTED"),NOT(AND(ISNUMBER(IFERROR(VALUE(I37&amp;""),"")),OR(IFERROR(VALUE(I37&amp;""),"")=0,IFERROR(VALUE(I37&amp;""),"")=1,IFERROR(VALUE(I37&amp;""),"")=2,IFERROR(VALUE(I37&amp;""),"")=3)))))),0,IF(AND(ISNUMBER(IFERROR(VALUE(I37&amp;""),"")),OR(IFERROR(VALUE(I37&amp;""),"")=0,IFERROR(VALUE(I37&amp;""),"")=1,IFERROR(VALUE(I37&amp;""),"")=2,IFERROR(VALUE(I37&amp;""),"")=3)),IFERROR(VALUE(I37&amp;""),"")*IF(D37="Must",2,1),0))</f>
        <v/>
      </c>
      <c r="O37" s="73">
        <f>IF(OR(AA37,AND(UPPER(TRIM(I37&amp;""))="N/A",L37="Yes"),AND(UPPER(TRIM(I37&amp;""))="NOT TESTED",M37="Yes")),0,IF(OR(OR(AND(UPPER(TRIM(I37&amp;""))="N/A",L37&lt;&gt;"Yes"),AND(UPPER(TRIM(I37&amp;""))="NOT TESTED",M37&lt;&gt;"Yes"),AND(NOT(I37=""),NOT(UPPER(TRIM(I37&amp;""))="N/A"),NOT(UPPER(TRIM(I37&amp;""))="NOT TESTED"),NOT(AND(ISNUMBER(IFERROR(VALUE(I37&amp;""),"")),OR(IFERROR(VALUE(I37&amp;""),"")=0,IFERROR(VALUE(I37&amp;""),"")=1,IFERROR(VALUE(I37&amp;""),"")=2,IFERROR(VALUE(I37&amp;""),"")=3))))),AND(ISNUMBER(IFERROR(VALUE(I37&amp;""),"")),OR(IFERROR(VALUE(I37&amp;""),"")=0,IFERROR(VALUE(I37&amp;""),"")=1,IFERROR(VALUE(I37&amp;""),"")=2,IFERROR(VALUE(I37&amp;""),"")=3))),3*IF(D37="Must",2,1),0))</f>
        <v/>
      </c>
      <c r="P37" s="74">
        <f>IF(OR(AA37,NOT(AND(D37="Must",ISNUMBER(X37),X37=0))),0,1)</f>
        <v/>
      </c>
      <c r="Q37" s="74">
        <f>IF(OR(AA37,NOT(AND(D37="Must",ISNUMBER(X37),X37=1))),0,1)</f>
        <v/>
      </c>
      <c r="R37" s="74">
        <f>IF(AND(NOT(AA37),D37="Must",I37=""),1,0)</f>
        <v/>
      </c>
      <c r="S37" s="74">
        <f>IF(AND(NOT(AA37),UPPER(TRIM(I37&amp;""))="N/A",L37&lt;&gt;"Yes"),1,0)</f>
        <v/>
      </c>
      <c r="T37" s="74">
        <f>IF(AND(NOT(AA37),UPPER(TRIM(I37&amp;""))="NOT TESTED",M37&lt;&gt;"Yes"),1,0)</f>
        <v/>
      </c>
      <c r="U37" s="74">
        <f>IF(OR(AA37,NOT(AND(D37="Should",ISNUMBER(X37),X37=0))),0,1)</f>
        <v/>
      </c>
      <c r="V37" s="74">
        <f>IF(OR(AA37,NOT(AND(D37="Should",ISNUMBER(X37),X37=1))),0,1)</f>
        <v/>
      </c>
      <c r="W37" s="74">
        <f>IF(OR(I37="",AA37),0,1)</f>
        <v/>
      </c>
      <c r="X37" s="74">
        <f>IF(I37="","",IF(UPPER(TRIM(I37&amp;""))="N/A","N/A",IF(UPPER(TRIM(I37&amp;""))="NOT TESTED","NT",IF(AND(ISNUMBER(IFERROR(VALUE(I37&amp;""),"")),OR(IFERROR(VALUE(I37&amp;""),"")=0,IFERROR(VALUE(I37&amp;""),"")=1,IFERROR(VALUE(I37&amp;""),"")=2,IFERROR(VALUE(I37&amp;""),"")=3)),IFERROR(VALUE(I37&amp;""),""),"BAD"))))</f>
        <v/>
      </c>
      <c r="Y37" s="74">
        <f>IF(OR(AA37,NOT(OR(AND(D37="Must",I37="",SUM($W$6:$W$47)&gt;0),AND(ISNUMBER(X37),X37&lt;2),AND(UPPER(TRIM(I37&amp;""))="N/A",L37&lt;&gt;"Yes"),AND(UPPER(TRIM(I37&amp;""))="NOT TESTED",M37&lt;&gt;"Yes"),AND(NOT(I37=""),NOT(UPPER(TRIM(I37&amp;""))="N/A"),NOT(UPPER(TRIM(I37&amp;""))="NOT TESTED"),NOT(AND(ISNUMBER(IFERROR(VALUE(I37&amp;""),"")),OR(IFERROR(VALUE(I37&amp;""),"")=0,IFERROR(VALUE(I37&amp;""),"")=1,IFERROR(VALUE(I37&amp;""),"")=2,IFERROR(VALUE(I37&amp;""),"")=3))))))),0,1)</f>
        <v/>
      </c>
      <c r="Z37" s="74">
        <f>IF(Y37=1,COUNTIF($Y$6:Y37,1),0)</f>
        <v/>
      </c>
      <c r="AA37" s="74">
        <f>OR(AND(LEFT(A37,1)="O",EngagementType&lt;&gt;"Overall opinion"),AND(A37="G3",StandardsEra="Before 9 January 2025"),AND(A37="E2",OR(INDEX($I$6:$I$47,MATCH("E1",$A$6:$A$47,0))=0,INDEX($I$6:$I$47,MATCH("E1",$A$6:$A$47,0))="0")),AND(A37="B2",UPPER(TRIM(INDEX($I$6:$I$47,MATCH("B1",$A$6:$A$47,0))&amp;""))="N/A"),AND(OR(A37="D1",A37="D2",A37="D3",A37="D4",A37="D5"),UPPER(TRIM(INDEX($I$6:$I$47,MATCH("C1",$A$6:$A$47,0))&amp;""))="N/A"))</f>
        <v/>
      </c>
      <c r="AB37" s="26" t="inlineStr">
        <is>
          <t>11.5</t>
        </is>
      </c>
      <c r="AC37">
        <f>IF(AND(NOT(AA37),AND(NOT(I37=""),NOT(UPPER(TRIM(I37&amp;""))="N/A"),NOT(UPPER(TRIM(I37&amp;""))="NOT TESTED"),NOT(AND(ISNUMBER(IFERROR(VALUE(I37&amp;""),"")),OR(IFERROR(VALUE(I37&amp;""),"")=0,IFERROR(VALUE(I37&amp;""),"")=1,IFERROR(VALUE(I37&amp;""),"")=2,IFERROR(VALUE(I37&amp;""),"")=3))))),1,0)</f>
        <v/>
      </c>
    </row>
    <row r="38" ht="48" customHeight="1" s="79">
      <c r="A38" s="54" t="inlineStr">
        <is>
          <t>H1</t>
        </is>
      </c>
      <c r="B38" s="55" t="inlineStr">
        <is>
          <t>Reader</t>
        </is>
      </c>
      <c r="C38" s="56" t="inlineStr">
        <is>
          <t>Close</t>
        </is>
      </c>
      <c r="D38" s="57" t="inlineStr">
        <is>
          <t>Should</t>
        </is>
      </c>
      <c r="E38" s="55" t="inlineStr">
        <is>
          <t>The opening is enough for the intended reader</t>
        </is>
      </c>
      <c r="F38" s="55" t="inlineStr">
        <is>
          <t>From the opening, the reader can see the conclusion, the significant findings, and what will be done. A contents list or a ratings table alone scores 1.</t>
        </is>
      </c>
      <c r="G38" s="55">
        <f>"11.2 "&amp;INDEX('6. Standards'!$B$5:$B$21,MATCH("11.2",'6. Standards'!$A$5:$A$21,0))&amp;" — "&amp;"considerations"</f>
        <v/>
      </c>
      <c r="H38" s="55">
        <f>"No other line switches this off."</f>
        <v/>
      </c>
      <c r="I38" s="77" t="n"/>
      <c r="J38" s="77" t="n"/>
      <c r="K38" s="77" t="n"/>
      <c r="L38" s="56" t="inlineStr">
        <is>
          <t>No</t>
        </is>
      </c>
      <c r="M38" s="56" t="inlineStr">
        <is>
          <t>No</t>
        </is>
      </c>
      <c r="N38" s="73">
        <f>IF(OR(OR(AA38,AND(UPPER(TRIM(I38&amp;""))="N/A",L38="Yes"),AND(UPPER(TRIM(I38&amp;""))="NOT TESTED",M38="Yes")),OR(AND(UPPER(TRIM(I38&amp;""))="N/A",L38&lt;&gt;"Yes"),AND(UPPER(TRIM(I38&amp;""))="NOT TESTED",M38&lt;&gt;"Yes"),AND(NOT(I38=""),NOT(UPPER(TRIM(I38&amp;""))="N/A"),NOT(UPPER(TRIM(I38&amp;""))="NOT TESTED"),NOT(AND(ISNUMBER(IFERROR(VALUE(I38&amp;""),"")),OR(IFERROR(VALUE(I38&amp;""),"")=0,IFERROR(VALUE(I38&amp;""),"")=1,IFERROR(VALUE(I38&amp;""),"")=2,IFERROR(VALUE(I38&amp;""),"")=3)))))),0,IF(AND(ISNUMBER(IFERROR(VALUE(I38&amp;""),"")),OR(IFERROR(VALUE(I38&amp;""),"")=0,IFERROR(VALUE(I38&amp;""),"")=1,IFERROR(VALUE(I38&amp;""),"")=2,IFERROR(VALUE(I38&amp;""),"")=3)),IFERROR(VALUE(I38&amp;""),"")*IF(D38="Must",2,1),0))</f>
        <v/>
      </c>
      <c r="O38" s="73">
        <f>IF(OR(AA38,AND(UPPER(TRIM(I38&amp;""))="N/A",L38="Yes"),AND(UPPER(TRIM(I38&amp;""))="NOT TESTED",M38="Yes")),0,IF(OR(OR(AND(UPPER(TRIM(I38&amp;""))="N/A",L38&lt;&gt;"Yes"),AND(UPPER(TRIM(I38&amp;""))="NOT TESTED",M38&lt;&gt;"Yes"),AND(NOT(I38=""),NOT(UPPER(TRIM(I38&amp;""))="N/A"),NOT(UPPER(TRIM(I38&amp;""))="NOT TESTED"),NOT(AND(ISNUMBER(IFERROR(VALUE(I38&amp;""),"")),OR(IFERROR(VALUE(I38&amp;""),"")=0,IFERROR(VALUE(I38&amp;""),"")=1,IFERROR(VALUE(I38&amp;""),"")=2,IFERROR(VALUE(I38&amp;""),"")=3))))),AND(ISNUMBER(IFERROR(VALUE(I38&amp;""),"")),OR(IFERROR(VALUE(I38&amp;""),"")=0,IFERROR(VALUE(I38&amp;""),"")=1,IFERROR(VALUE(I38&amp;""),"")=2,IFERROR(VALUE(I38&amp;""),"")=3))),3*IF(D38="Must",2,1),0))</f>
        <v/>
      </c>
      <c r="P38" s="74">
        <f>IF(OR(AA38,NOT(AND(D38="Must",ISNUMBER(X38),X38=0))),0,1)</f>
        <v/>
      </c>
      <c r="Q38" s="74">
        <f>IF(OR(AA38,NOT(AND(D38="Must",ISNUMBER(X38),X38=1))),0,1)</f>
        <v/>
      </c>
      <c r="R38" s="74">
        <f>IF(AND(NOT(AA38),D38="Must",I38=""),1,0)</f>
        <v/>
      </c>
      <c r="S38" s="74">
        <f>IF(AND(NOT(AA38),UPPER(TRIM(I38&amp;""))="N/A",L38&lt;&gt;"Yes"),1,0)</f>
        <v/>
      </c>
      <c r="T38" s="74">
        <f>IF(AND(NOT(AA38),UPPER(TRIM(I38&amp;""))="NOT TESTED",M38&lt;&gt;"Yes"),1,0)</f>
        <v/>
      </c>
      <c r="U38" s="74">
        <f>IF(OR(AA38,NOT(AND(D38="Should",ISNUMBER(X38),X38=0))),0,1)</f>
        <v/>
      </c>
      <c r="V38" s="74">
        <f>IF(OR(AA38,NOT(AND(D38="Should",ISNUMBER(X38),X38=1))),0,1)</f>
        <v/>
      </c>
      <c r="W38" s="74">
        <f>IF(OR(I38="",AA38),0,1)</f>
        <v/>
      </c>
      <c r="X38" s="74">
        <f>IF(I38="","",IF(UPPER(TRIM(I38&amp;""))="N/A","N/A",IF(UPPER(TRIM(I38&amp;""))="NOT TESTED","NT",IF(AND(ISNUMBER(IFERROR(VALUE(I38&amp;""),"")),OR(IFERROR(VALUE(I38&amp;""),"")=0,IFERROR(VALUE(I38&amp;""),"")=1,IFERROR(VALUE(I38&amp;""),"")=2,IFERROR(VALUE(I38&amp;""),"")=3)),IFERROR(VALUE(I38&amp;""),""),"BAD"))))</f>
        <v/>
      </c>
      <c r="Y38" s="74">
        <f>IF(OR(AA38,NOT(OR(AND(D38="Must",I38="",SUM($W$6:$W$47)&gt;0),AND(ISNUMBER(X38),X38&lt;2),AND(UPPER(TRIM(I38&amp;""))="N/A",L38&lt;&gt;"Yes"),AND(UPPER(TRIM(I38&amp;""))="NOT TESTED",M38&lt;&gt;"Yes"),AND(NOT(I38=""),NOT(UPPER(TRIM(I38&amp;""))="N/A"),NOT(UPPER(TRIM(I38&amp;""))="NOT TESTED"),NOT(AND(ISNUMBER(IFERROR(VALUE(I38&amp;""),"")),OR(IFERROR(VALUE(I38&amp;""),"")=0,IFERROR(VALUE(I38&amp;""),"")=1,IFERROR(VALUE(I38&amp;""),"")=2,IFERROR(VALUE(I38&amp;""),"")=3))))))),0,1)</f>
        <v/>
      </c>
      <c r="Z38" s="74">
        <f>IF(Y38=1,COUNTIF($Y$6:Y38,1),0)</f>
        <v/>
      </c>
      <c r="AA38" s="74">
        <f>OR(AND(LEFT(A38,1)="O",EngagementType&lt;&gt;"Overall opinion"),AND(A38="G3",StandardsEra="Before 9 January 2025"),AND(A38="E2",OR(INDEX($I$6:$I$47,MATCH("E1",$A$6:$A$47,0))=0,INDEX($I$6:$I$47,MATCH("E1",$A$6:$A$47,0))="0")),AND(A38="B2",UPPER(TRIM(INDEX($I$6:$I$47,MATCH("B1",$A$6:$A$47,0))&amp;""))="N/A"),AND(OR(A38="D1",A38="D2",A38="D3",A38="D4",A38="D5"),UPPER(TRIM(INDEX($I$6:$I$47,MATCH("C1",$A$6:$A$47,0))&amp;""))="N/A"))</f>
        <v/>
      </c>
      <c r="AB38" s="26" t="inlineStr">
        <is>
          <t>11.2</t>
        </is>
      </c>
      <c r="AC38">
        <f>IF(AND(NOT(AA38),AND(NOT(I38=""),NOT(UPPER(TRIM(I38&amp;""))="N/A"),NOT(UPPER(TRIM(I38&amp;""))="NOT TESTED"),NOT(AND(ISNUMBER(IFERROR(VALUE(I38&amp;""),"")),OR(IFERROR(VALUE(I38&amp;""),"")=0,IFERROR(VALUE(I38&amp;""),"")=1,IFERROR(VALUE(I38&amp;""),"")=2,IFERROR(VALUE(I38&amp;""),"")=3))))),1,0)</f>
        <v/>
      </c>
    </row>
    <row r="39" ht="48" customHeight="1" s="79">
      <c r="A39" s="54" t="inlineStr">
        <is>
          <t>H2</t>
        </is>
      </c>
      <c r="B39" s="55" t="inlineStr">
        <is>
          <t>Reader</t>
        </is>
      </c>
      <c r="C39" s="56" t="inlineStr">
        <is>
          <t>Findings</t>
        </is>
      </c>
      <c r="D39" s="57" t="inlineStr">
        <is>
          <t>Should</t>
        </is>
      </c>
      <c r="E39" s="55" t="inlineStr">
        <is>
          <t>Significant findings stand out</t>
        </is>
      </c>
      <c r="F39" s="55" t="inlineStr">
        <is>
          <t>Significant risks are distinguishable from lesser points. Housekeeping does not lead.</t>
        </is>
      </c>
      <c r="G39" s="55">
        <f>"14.3 "&amp;INDEX('6. Standards'!$B$5:$B$21,MATCH("14.3",'6. Standards'!$A$5:$A$21,0))&amp;" — "&amp;"Requirements. Prioritisation is the Must on C4. This line is a Should"</f>
        <v/>
      </c>
      <c r="H39" s="55">
        <f>"See "&amp;INDEX($A$6:$A$47,MATCH("C4",$A$6:$A$47,0))&amp;", which scores whether every finding has a priority. "&amp;INDEX($A$6:$A$47,MATCH("C4",$A$6:$A$47,0))&amp;" is "&amp;IF(INDEX($I$6:$I$47,MATCH("C4",$A$6:$A$47,0))="","blank",INDEX($I$6:$I$47,MATCH("C4",$A$6:$A$47,0)))&amp;". This line scores whether that priority is visible."</f>
        <v/>
      </c>
      <c r="I39" s="77" t="n"/>
      <c r="J39" s="77" t="n"/>
      <c r="K39" s="77" t="n"/>
      <c r="L39" s="56" t="inlineStr">
        <is>
          <t>No</t>
        </is>
      </c>
      <c r="M39" s="56" t="inlineStr">
        <is>
          <t>No</t>
        </is>
      </c>
      <c r="N39" s="73">
        <f>IF(OR(OR(AA39,AND(UPPER(TRIM(I39&amp;""))="N/A",L39="Yes"),AND(UPPER(TRIM(I39&amp;""))="NOT TESTED",M39="Yes")),OR(AND(UPPER(TRIM(I39&amp;""))="N/A",L39&lt;&gt;"Yes"),AND(UPPER(TRIM(I39&amp;""))="NOT TESTED",M39&lt;&gt;"Yes"),AND(NOT(I39=""),NOT(UPPER(TRIM(I39&amp;""))="N/A"),NOT(UPPER(TRIM(I39&amp;""))="NOT TESTED"),NOT(AND(ISNUMBER(IFERROR(VALUE(I39&amp;""),"")),OR(IFERROR(VALUE(I39&amp;""),"")=0,IFERROR(VALUE(I39&amp;""),"")=1,IFERROR(VALUE(I39&amp;""),"")=2,IFERROR(VALUE(I39&amp;""),"")=3)))))),0,IF(AND(ISNUMBER(IFERROR(VALUE(I39&amp;""),"")),OR(IFERROR(VALUE(I39&amp;""),"")=0,IFERROR(VALUE(I39&amp;""),"")=1,IFERROR(VALUE(I39&amp;""),"")=2,IFERROR(VALUE(I39&amp;""),"")=3)),IFERROR(VALUE(I39&amp;""),"")*IF(D39="Must",2,1),0))</f>
        <v/>
      </c>
      <c r="O39" s="73">
        <f>IF(OR(AA39,AND(UPPER(TRIM(I39&amp;""))="N/A",L39="Yes"),AND(UPPER(TRIM(I39&amp;""))="NOT TESTED",M39="Yes")),0,IF(OR(OR(AND(UPPER(TRIM(I39&amp;""))="N/A",L39&lt;&gt;"Yes"),AND(UPPER(TRIM(I39&amp;""))="NOT TESTED",M39&lt;&gt;"Yes"),AND(NOT(I39=""),NOT(UPPER(TRIM(I39&amp;""))="N/A"),NOT(UPPER(TRIM(I39&amp;""))="NOT TESTED"),NOT(AND(ISNUMBER(IFERROR(VALUE(I39&amp;""),"")),OR(IFERROR(VALUE(I39&amp;""),"")=0,IFERROR(VALUE(I39&amp;""),"")=1,IFERROR(VALUE(I39&amp;""),"")=2,IFERROR(VALUE(I39&amp;""),"")=3))))),AND(ISNUMBER(IFERROR(VALUE(I39&amp;""),"")),OR(IFERROR(VALUE(I39&amp;""),"")=0,IFERROR(VALUE(I39&amp;""),"")=1,IFERROR(VALUE(I39&amp;""),"")=2,IFERROR(VALUE(I39&amp;""),"")=3))),3*IF(D39="Must",2,1),0))</f>
        <v/>
      </c>
      <c r="P39" s="74">
        <f>IF(OR(AA39,NOT(AND(D39="Must",ISNUMBER(X39),X39=0))),0,1)</f>
        <v/>
      </c>
      <c r="Q39" s="74">
        <f>IF(OR(AA39,NOT(AND(D39="Must",ISNUMBER(X39),X39=1))),0,1)</f>
        <v/>
      </c>
      <c r="R39" s="74">
        <f>IF(AND(NOT(AA39),D39="Must",I39=""),1,0)</f>
        <v/>
      </c>
      <c r="S39" s="74">
        <f>IF(AND(NOT(AA39),UPPER(TRIM(I39&amp;""))="N/A",L39&lt;&gt;"Yes"),1,0)</f>
        <v/>
      </c>
      <c r="T39" s="74">
        <f>IF(AND(NOT(AA39),UPPER(TRIM(I39&amp;""))="NOT TESTED",M39&lt;&gt;"Yes"),1,0)</f>
        <v/>
      </c>
      <c r="U39" s="74">
        <f>IF(OR(AA39,NOT(AND(D39="Should",ISNUMBER(X39),X39=0))),0,1)</f>
        <v/>
      </c>
      <c r="V39" s="74">
        <f>IF(OR(AA39,NOT(AND(D39="Should",ISNUMBER(X39),X39=1))),0,1)</f>
        <v/>
      </c>
      <c r="W39" s="74">
        <f>IF(OR(I39="",AA39),0,1)</f>
        <v/>
      </c>
      <c r="X39" s="74">
        <f>IF(I39="","",IF(UPPER(TRIM(I39&amp;""))="N/A","N/A",IF(UPPER(TRIM(I39&amp;""))="NOT TESTED","NT",IF(AND(ISNUMBER(IFERROR(VALUE(I39&amp;""),"")),OR(IFERROR(VALUE(I39&amp;""),"")=0,IFERROR(VALUE(I39&amp;""),"")=1,IFERROR(VALUE(I39&amp;""),"")=2,IFERROR(VALUE(I39&amp;""),"")=3)),IFERROR(VALUE(I39&amp;""),""),"BAD"))))</f>
        <v/>
      </c>
      <c r="Y39" s="74">
        <f>IF(OR(AA39,NOT(OR(AND(D39="Must",I39="",SUM($W$6:$W$47)&gt;0),AND(ISNUMBER(X39),X39&lt;2),AND(UPPER(TRIM(I39&amp;""))="N/A",L39&lt;&gt;"Yes"),AND(UPPER(TRIM(I39&amp;""))="NOT TESTED",M39&lt;&gt;"Yes"),AND(NOT(I39=""),NOT(UPPER(TRIM(I39&amp;""))="N/A"),NOT(UPPER(TRIM(I39&amp;""))="NOT TESTED"),NOT(AND(ISNUMBER(IFERROR(VALUE(I39&amp;""),"")),OR(IFERROR(VALUE(I39&amp;""),"")=0,IFERROR(VALUE(I39&amp;""),"")=1,IFERROR(VALUE(I39&amp;""),"")=2,IFERROR(VALUE(I39&amp;""),"")=3))))))),0,1)</f>
        <v/>
      </c>
      <c r="Z39" s="74">
        <f>IF(Y39=1,COUNTIF($Y$6:Y39,1),0)</f>
        <v/>
      </c>
      <c r="AA39" s="74">
        <f>OR(AND(LEFT(A39,1)="O",EngagementType&lt;&gt;"Overall opinion"),AND(A39="G3",StandardsEra="Before 9 January 2025"),AND(A39="E2",OR(INDEX($I$6:$I$47,MATCH("E1",$A$6:$A$47,0))=0,INDEX($I$6:$I$47,MATCH("E1",$A$6:$A$47,0))="0")),AND(A39="B2",UPPER(TRIM(INDEX($I$6:$I$47,MATCH("B1",$A$6:$A$47,0))&amp;""))="N/A"),AND(OR(A39="D1",A39="D2",A39="D3",A39="D4",A39="D5"),UPPER(TRIM(INDEX($I$6:$I$47,MATCH("C1",$A$6:$A$47,0))&amp;""))="N/A"))</f>
        <v/>
      </c>
      <c r="AB39" s="26" t="inlineStr">
        <is>
          <t>14.3</t>
        </is>
      </c>
      <c r="AC39">
        <f>IF(AND(NOT(AA39),AND(NOT(I39=""),NOT(UPPER(TRIM(I39&amp;""))="N/A"),NOT(UPPER(TRIM(I39&amp;""))="NOT TESTED"),NOT(AND(ISNUMBER(IFERROR(VALUE(I39&amp;""),"")),OR(IFERROR(VALUE(I39&amp;""),"")=0,IFERROR(VALUE(I39&amp;""),"")=1,IFERROR(VALUE(I39&amp;""),"")=2,IFERROR(VALUE(I39&amp;""),"")=3))))),1,0)</f>
        <v/>
      </c>
    </row>
    <row r="40" ht="48" customHeight="1" s="79">
      <c r="A40" s="54" t="inlineStr">
        <is>
          <t>H3</t>
        </is>
      </c>
      <c r="B40" s="55" t="inlineStr">
        <is>
          <t>Reader</t>
        </is>
      </c>
      <c r="C40" s="56" t="inlineStr">
        <is>
          <t>Close</t>
        </is>
      </c>
      <c r="D40" s="57" t="inlineStr">
        <is>
          <t>Should</t>
        </is>
      </c>
      <c r="E40" s="55" t="inlineStr">
        <is>
          <t>A pattern in this engagement is stated</t>
        </is>
      </c>
      <c r="F40" s="55" t="inlineStr">
        <is>
          <t>Where the findings in this engagement share a cause, the report says so. Use N/A when they do not. A theme across several audits is an 11.3 communication, not a requirement of this report.</t>
        </is>
      </c>
      <c r="G40" s="55">
        <f>"14.3 "&amp;INDEX('6. Standards'!$B$5:$B$21,MATCH("14.3",'6. Standards'!$A$5:$A$21,0))&amp;" — "&amp;"considerations"&amp;CHAR(10)&amp;"11.3 "&amp;INDEX('6. Standards'!$B$5:$B$21,MATCH("11.3",'6. Standards'!$A$5:$A$21,0))&amp;" — "&amp;"themes across engagements, not a requirement of this report"</f>
        <v/>
      </c>
      <c r="H40" s="55">
        <f>"No other line switches this off."</f>
        <v/>
      </c>
      <c r="I40" s="77" t="n"/>
      <c r="J40" s="77" t="n"/>
      <c r="K40" s="77" t="n"/>
      <c r="L40" s="56" t="inlineStr">
        <is>
          <t>Yes</t>
        </is>
      </c>
      <c r="M40" s="56" t="inlineStr">
        <is>
          <t>No</t>
        </is>
      </c>
      <c r="N40" s="73">
        <f>IF(OR(OR(AA40,AND(UPPER(TRIM(I40&amp;""))="N/A",L40="Yes"),AND(UPPER(TRIM(I40&amp;""))="NOT TESTED",M40="Yes")),OR(AND(UPPER(TRIM(I40&amp;""))="N/A",L40&lt;&gt;"Yes"),AND(UPPER(TRIM(I40&amp;""))="NOT TESTED",M40&lt;&gt;"Yes"),AND(NOT(I40=""),NOT(UPPER(TRIM(I40&amp;""))="N/A"),NOT(UPPER(TRIM(I40&amp;""))="NOT TESTED"),NOT(AND(ISNUMBER(IFERROR(VALUE(I40&amp;""),"")),OR(IFERROR(VALUE(I40&amp;""),"")=0,IFERROR(VALUE(I40&amp;""),"")=1,IFERROR(VALUE(I40&amp;""),"")=2,IFERROR(VALUE(I40&amp;""),"")=3)))))),0,IF(AND(ISNUMBER(IFERROR(VALUE(I40&amp;""),"")),OR(IFERROR(VALUE(I40&amp;""),"")=0,IFERROR(VALUE(I40&amp;""),"")=1,IFERROR(VALUE(I40&amp;""),"")=2,IFERROR(VALUE(I40&amp;""),"")=3)),IFERROR(VALUE(I40&amp;""),"")*IF(D40="Must",2,1),0))</f>
        <v/>
      </c>
      <c r="O40" s="73">
        <f>IF(OR(AA40,AND(UPPER(TRIM(I40&amp;""))="N/A",L40="Yes"),AND(UPPER(TRIM(I40&amp;""))="NOT TESTED",M40="Yes")),0,IF(OR(OR(AND(UPPER(TRIM(I40&amp;""))="N/A",L40&lt;&gt;"Yes"),AND(UPPER(TRIM(I40&amp;""))="NOT TESTED",M40&lt;&gt;"Yes"),AND(NOT(I40=""),NOT(UPPER(TRIM(I40&amp;""))="N/A"),NOT(UPPER(TRIM(I40&amp;""))="NOT TESTED"),NOT(AND(ISNUMBER(IFERROR(VALUE(I40&amp;""),"")),OR(IFERROR(VALUE(I40&amp;""),"")=0,IFERROR(VALUE(I40&amp;""),"")=1,IFERROR(VALUE(I40&amp;""),"")=2,IFERROR(VALUE(I40&amp;""),"")=3))))),AND(ISNUMBER(IFERROR(VALUE(I40&amp;""),"")),OR(IFERROR(VALUE(I40&amp;""),"")=0,IFERROR(VALUE(I40&amp;""),"")=1,IFERROR(VALUE(I40&amp;""),"")=2,IFERROR(VALUE(I40&amp;""),"")=3))),3*IF(D40="Must",2,1),0))</f>
        <v/>
      </c>
      <c r="P40" s="74">
        <f>IF(OR(AA40,NOT(AND(D40="Must",ISNUMBER(X40),X40=0))),0,1)</f>
        <v/>
      </c>
      <c r="Q40" s="74">
        <f>IF(OR(AA40,NOT(AND(D40="Must",ISNUMBER(X40),X40=1))),0,1)</f>
        <v/>
      </c>
      <c r="R40" s="74">
        <f>IF(AND(NOT(AA40),D40="Must",I40=""),1,0)</f>
        <v/>
      </c>
      <c r="S40" s="74">
        <f>IF(AND(NOT(AA40),UPPER(TRIM(I40&amp;""))="N/A",L40&lt;&gt;"Yes"),1,0)</f>
        <v/>
      </c>
      <c r="T40" s="74">
        <f>IF(AND(NOT(AA40),UPPER(TRIM(I40&amp;""))="NOT TESTED",M40&lt;&gt;"Yes"),1,0)</f>
        <v/>
      </c>
      <c r="U40" s="74">
        <f>IF(OR(AA40,NOT(AND(D40="Should",ISNUMBER(X40),X40=0))),0,1)</f>
        <v/>
      </c>
      <c r="V40" s="74">
        <f>IF(OR(AA40,NOT(AND(D40="Should",ISNUMBER(X40),X40=1))),0,1)</f>
        <v/>
      </c>
      <c r="W40" s="74">
        <f>IF(OR(I40="",AA40),0,1)</f>
        <v/>
      </c>
      <c r="X40" s="74">
        <f>IF(I40="","",IF(UPPER(TRIM(I40&amp;""))="N/A","N/A",IF(UPPER(TRIM(I40&amp;""))="NOT TESTED","NT",IF(AND(ISNUMBER(IFERROR(VALUE(I40&amp;""),"")),OR(IFERROR(VALUE(I40&amp;""),"")=0,IFERROR(VALUE(I40&amp;""),"")=1,IFERROR(VALUE(I40&amp;""),"")=2,IFERROR(VALUE(I40&amp;""),"")=3)),IFERROR(VALUE(I40&amp;""),""),"BAD"))))</f>
        <v/>
      </c>
      <c r="Y40" s="74">
        <f>IF(OR(AA40,NOT(OR(AND(D40="Must",I40="",SUM($W$6:$W$47)&gt;0),AND(ISNUMBER(X40),X40&lt;2),AND(UPPER(TRIM(I40&amp;""))="N/A",L40&lt;&gt;"Yes"),AND(UPPER(TRIM(I40&amp;""))="NOT TESTED",M40&lt;&gt;"Yes"),AND(NOT(I40=""),NOT(UPPER(TRIM(I40&amp;""))="N/A"),NOT(UPPER(TRIM(I40&amp;""))="NOT TESTED"),NOT(AND(ISNUMBER(IFERROR(VALUE(I40&amp;""),"")),OR(IFERROR(VALUE(I40&amp;""),"")=0,IFERROR(VALUE(I40&amp;""),"")=1,IFERROR(VALUE(I40&amp;""),"")=2,IFERROR(VALUE(I40&amp;""),"")=3))))))),0,1)</f>
        <v/>
      </c>
      <c r="Z40" s="74">
        <f>IF(Y40=1,COUNTIF($Y$6:Y40,1),0)</f>
        <v/>
      </c>
      <c r="AA40" s="74">
        <f>OR(AND(LEFT(A40,1)="O",EngagementType&lt;&gt;"Overall opinion"),AND(A40="G3",StandardsEra="Before 9 January 2025"),AND(A40="E2",OR(INDEX($I$6:$I$47,MATCH("E1",$A$6:$A$47,0))=0,INDEX($I$6:$I$47,MATCH("E1",$A$6:$A$47,0))="0")),AND(A40="B2",UPPER(TRIM(INDEX($I$6:$I$47,MATCH("B1",$A$6:$A$47,0))&amp;""))="N/A"),AND(OR(A40="D1",A40="D2",A40="D3",A40="D4",A40="D5"),UPPER(TRIM(INDEX($I$6:$I$47,MATCH("C1",$A$6:$A$47,0))&amp;""))="N/A"))</f>
        <v/>
      </c>
      <c r="AB40" s="26" t="inlineStr">
        <is>
          <t>14.3;11.3</t>
        </is>
      </c>
      <c r="AC40">
        <f>IF(AND(NOT(AA40),AND(NOT(I40=""),NOT(UPPER(TRIM(I40&amp;""))="N/A"),NOT(UPPER(TRIM(I40&amp;""))="NOT TESTED"),NOT(AND(ISNUMBER(IFERROR(VALUE(I40&amp;""),"")),OR(IFERROR(VALUE(I40&amp;""),"")=0,IFERROR(VALUE(I40&amp;""),"")=1,IFERROR(VALUE(I40&amp;""),"")=2,IFERROR(VALUE(I40&amp;""),"")=3))))),1,0)</f>
        <v/>
      </c>
    </row>
    <row r="41" ht="48" customHeight="1" s="79">
      <c r="A41" s="54" t="inlineStr">
        <is>
          <t>H4</t>
        </is>
      </c>
      <c r="B41" s="55" t="inlineStr">
        <is>
          <t>Reader</t>
        </is>
      </c>
      <c r="C41" s="56" t="inlineStr">
        <is>
          <t>Close</t>
        </is>
      </c>
      <c r="D41" s="57" t="inlineStr">
        <is>
          <t>Should</t>
        </is>
      </c>
      <c r="E41" s="55" t="inlineStr">
        <is>
          <t>The result is tied to the activity’s objectives</t>
        </is>
      </c>
      <c r="F41" s="55" t="inlineStr">
        <is>
          <t>The report says what the findings mean for the activity, including when an impact is serious for the activity and not for the organisation as a whole.</t>
        </is>
      </c>
      <c r="G41" s="55">
        <f>"14.5 "&amp;INDEX('6. Standards'!$B$5:$B$21,MATCH("14.5",'6. Standards'!$A$5:$A$21,0))&amp;" — "&amp;"considerations"</f>
        <v/>
      </c>
      <c r="H41" s="55">
        <f>"See "&amp;INDEX($A$6:$A$47,MATCH("E1",$A$6:$A$47,0))&amp;". The conclusion’s link to the objectives is also part of Standard 14.5. "&amp;INDEX($A$6:$A$47,MATCH("E1",$A$6:$A$47,0))&amp;" is "&amp;IF(INDEX($I$6:$I$47,MATCH("E1",$A$6:$A$47,0))="","blank",INDEX($I$6:$I$47,MATCH("E1",$A$6:$A$47,0)))&amp;"."</f>
        <v/>
      </c>
      <c r="I41" s="77" t="n"/>
      <c r="J41" s="77" t="n"/>
      <c r="K41" s="77" t="n"/>
      <c r="L41" s="56" t="inlineStr">
        <is>
          <t>No</t>
        </is>
      </c>
      <c r="M41" s="56" t="inlineStr">
        <is>
          <t>No</t>
        </is>
      </c>
      <c r="N41" s="73">
        <f>IF(OR(OR(AA41,AND(UPPER(TRIM(I41&amp;""))="N/A",L41="Yes"),AND(UPPER(TRIM(I41&amp;""))="NOT TESTED",M41="Yes")),OR(AND(UPPER(TRIM(I41&amp;""))="N/A",L41&lt;&gt;"Yes"),AND(UPPER(TRIM(I41&amp;""))="NOT TESTED",M41&lt;&gt;"Yes"),AND(NOT(I41=""),NOT(UPPER(TRIM(I41&amp;""))="N/A"),NOT(UPPER(TRIM(I41&amp;""))="NOT TESTED"),NOT(AND(ISNUMBER(IFERROR(VALUE(I41&amp;""),"")),OR(IFERROR(VALUE(I41&amp;""),"")=0,IFERROR(VALUE(I41&amp;""),"")=1,IFERROR(VALUE(I41&amp;""),"")=2,IFERROR(VALUE(I41&amp;""),"")=3)))))),0,IF(AND(ISNUMBER(IFERROR(VALUE(I41&amp;""),"")),OR(IFERROR(VALUE(I41&amp;""),"")=0,IFERROR(VALUE(I41&amp;""),"")=1,IFERROR(VALUE(I41&amp;""),"")=2,IFERROR(VALUE(I41&amp;""),"")=3)),IFERROR(VALUE(I41&amp;""),"")*IF(D41="Must",2,1),0))</f>
        <v/>
      </c>
      <c r="O41" s="73">
        <f>IF(OR(AA41,AND(UPPER(TRIM(I41&amp;""))="N/A",L41="Yes"),AND(UPPER(TRIM(I41&amp;""))="NOT TESTED",M41="Yes")),0,IF(OR(OR(AND(UPPER(TRIM(I41&amp;""))="N/A",L41&lt;&gt;"Yes"),AND(UPPER(TRIM(I41&amp;""))="NOT TESTED",M41&lt;&gt;"Yes"),AND(NOT(I41=""),NOT(UPPER(TRIM(I41&amp;""))="N/A"),NOT(UPPER(TRIM(I41&amp;""))="NOT TESTED"),NOT(AND(ISNUMBER(IFERROR(VALUE(I41&amp;""),"")),OR(IFERROR(VALUE(I41&amp;""),"")=0,IFERROR(VALUE(I41&amp;""),"")=1,IFERROR(VALUE(I41&amp;""),"")=2,IFERROR(VALUE(I41&amp;""),"")=3))))),AND(ISNUMBER(IFERROR(VALUE(I41&amp;""),"")),OR(IFERROR(VALUE(I41&amp;""),"")=0,IFERROR(VALUE(I41&amp;""),"")=1,IFERROR(VALUE(I41&amp;""),"")=2,IFERROR(VALUE(I41&amp;""),"")=3))),3*IF(D41="Must",2,1),0))</f>
        <v/>
      </c>
      <c r="P41" s="74">
        <f>IF(OR(AA41,NOT(AND(D41="Must",ISNUMBER(X41),X41=0))),0,1)</f>
        <v/>
      </c>
      <c r="Q41" s="74">
        <f>IF(OR(AA41,NOT(AND(D41="Must",ISNUMBER(X41),X41=1))),0,1)</f>
        <v/>
      </c>
      <c r="R41" s="74">
        <f>IF(AND(NOT(AA41),D41="Must",I41=""),1,0)</f>
        <v/>
      </c>
      <c r="S41" s="74">
        <f>IF(AND(NOT(AA41),UPPER(TRIM(I41&amp;""))="N/A",L41&lt;&gt;"Yes"),1,0)</f>
        <v/>
      </c>
      <c r="T41" s="74">
        <f>IF(AND(NOT(AA41),UPPER(TRIM(I41&amp;""))="NOT TESTED",M41&lt;&gt;"Yes"),1,0)</f>
        <v/>
      </c>
      <c r="U41" s="74">
        <f>IF(OR(AA41,NOT(AND(D41="Should",ISNUMBER(X41),X41=0))),0,1)</f>
        <v/>
      </c>
      <c r="V41" s="74">
        <f>IF(OR(AA41,NOT(AND(D41="Should",ISNUMBER(X41),X41=1))),0,1)</f>
        <v/>
      </c>
      <c r="W41" s="74">
        <f>IF(OR(I41="",AA41),0,1)</f>
        <v/>
      </c>
      <c r="X41" s="74">
        <f>IF(I41="","",IF(UPPER(TRIM(I41&amp;""))="N/A","N/A",IF(UPPER(TRIM(I41&amp;""))="NOT TESTED","NT",IF(AND(ISNUMBER(IFERROR(VALUE(I41&amp;""),"")),OR(IFERROR(VALUE(I41&amp;""),"")=0,IFERROR(VALUE(I41&amp;""),"")=1,IFERROR(VALUE(I41&amp;""),"")=2,IFERROR(VALUE(I41&amp;""),"")=3)),IFERROR(VALUE(I41&amp;""),""),"BAD"))))</f>
        <v/>
      </c>
      <c r="Y41" s="74">
        <f>IF(OR(AA41,NOT(OR(AND(D41="Must",I41="",SUM($W$6:$W$47)&gt;0),AND(ISNUMBER(X41),X41&lt;2),AND(UPPER(TRIM(I41&amp;""))="N/A",L41&lt;&gt;"Yes"),AND(UPPER(TRIM(I41&amp;""))="NOT TESTED",M41&lt;&gt;"Yes"),AND(NOT(I41=""),NOT(UPPER(TRIM(I41&amp;""))="N/A"),NOT(UPPER(TRIM(I41&amp;""))="NOT TESTED"),NOT(AND(ISNUMBER(IFERROR(VALUE(I41&amp;""),"")),OR(IFERROR(VALUE(I41&amp;""),"")=0,IFERROR(VALUE(I41&amp;""),"")=1,IFERROR(VALUE(I41&amp;""),"")=2,IFERROR(VALUE(I41&amp;""),"")=3))))))),0,1)</f>
        <v/>
      </c>
      <c r="Z41" s="74">
        <f>IF(Y41=1,COUNTIF($Y$6:Y41,1),0)</f>
        <v/>
      </c>
      <c r="AA41" s="74">
        <f>OR(AND(LEFT(A41,1)="O",EngagementType&lt;&gt;"Overall opinion"),AND(A41="G3",StandardsEra="Before 9 January 2025"),AND(A41="E2",OR(INDEX($I$6:$I$47,MATCH("E1",$A$6:$A$47,0))=0,INDEX($I$6:$I$47,MATCH("E1",$A$6:$A$47,0))="0")),AND(A41="B2",UPPER(TRIM(INDEX($I$6:$I$47,MATCH("B1",$A$6:$A$47,0))&amp;""))="N/A"),AND(OR(A41="D1",A41="D2",A41="D3",A41="D4",A41="D5"),UPPER(TRIM(INDEX($I$6:$I$47,MATCH("C1",$A$6:$A$47,0))&amp;""))="N/A"))</f>
        <v/>
      </c>
      <c r="AB41" s="26" t="inlineStr">
        <is>
          <t>14.5</t>
        </is>
      </c>
      <c r="AC41">
        <f>IF(AND(NOT(AA41),AND(NOT(I41=""),NOT(UPPER(TRIM(I41&amp;""))="N/A"),NOT(UPPER(TRIM(I41&amp;""))="NOT TESTED"),NOT(AND(ISNUMBER(IFERROR(VALUE(I41&amp;""),"")),OR(IFERROR(VALUE(I41&amp;""),"")=0,IFERROR(VALUE(I41&amp;""),"")=1,IFERROR(VALUE(I41&amp;""),"")=2,IFERROR(VALUE(I41&amp;""),"")=3))))),1,0)</f>
        <v/>
      </c>
    </row>
    <row r="42" ht="48" customHeight="1" s="79">
      <c r="A42" s="54" t="inlineStr">
        <is>
          <t>H5</t>
        </is>
      </c>
      <c r="B42" s="55" t="inlineStr">
        <is>
          <t>Reader</t>
        </is>
      </c>
      <c r="C42" s="56" t="inlineStr">
        <is>
          <t>Close</t>
        </is>
      </c>
      <c r="D42" s="57" t="inlineStr">
        <is>
          <t>Should</t>
        </is>
      </c>
      <c r="E42" s="55" t="inlineStr">
        <is>
          <t>Management’s position is on the record</t>
        </is>
      </c>
      <c r="F42" s="55" t="inlineStr">
        <is>
          <t>Management’s response is recorded. Disagreement does not remove either position. Use Not tested on a draft whose response column is still open. On a final report, a blank response scores 1.</t>
        </is>
      </c>
      <c r="G42" s="55">
        <f>"13.1 "&amp;INDEX('6. Standards'!$B$5:$B$21,MATCH("13.1",'6. Standards'!$A$5:$A$21,0))&amp;" — "&amp;"Requirements, scored as Should"&amp;CHAR(10)&amp;"14.4 "&amp;INDEX('6. Standards'!$B$5:$B$21,MATCH("14.4",'6. Standards'!$A$5:$A$21,0))&amp;" — "&amp;"Requirements, scored as Should"</f>
        <v/>
      </c>
      <c r="H42" s="55">
        <f>"No other line switches this off."</f>
        <v/>
      </c>
      <c r="I42" s="77" t="n"/>
      <c r="J42" s="77" t="n"/>
      <c r="K42" s="77" t="n"/>
      <c r="L42" s="56" t="inlineStr">
        <is>
          <t>No</t>
        </is>
      </c>
      <c r="M42" s="56" t="inlineStr">
        <is>
          <t>Yes</t>
        </is>
      </c>
      <c r="N42" s="73">
        <f>IF(OR(OR(AA42,AND(UPPER(TRIM(I42&amp;""))="N/A",L42="Yes"),AND(UPPER(TRIM(I42&amp;""))="NOT TESTED",M42="Yes")),OR(AND(UPPER(TRIM(I42&amp;""))="N/A",L42&lt;&gt;"Yes"),AND(UPPER(TRIM(I42&amp;""))="NOT TESTED",M42&lt;&gt;"Yes"),AND(NOT(I42=""),NOT(UPPER(TRIM(I42&amp;""))="N/A"),NOT(UPPER(TRIM(I42&amp;""))="NOT TESTED"),NOT(AND(ISNUMBER(IFERROR(VALUE(I42&amp;""),"")),OR(IFERROR(VALUE(I42&amp;""),"")=0,IFERROR(VALUE(I42&amp;""),"")=1,IFERROR(VALUE(I42&amp;""),"")=2,IFERROR(VALUE(I42&amp;""),"")=3)))))),0,IF(AND(ISNUMBER(IFERROR(VALUE(I42&amp;""),"")),OR(IFERROR(VALUE(I42&amp;""),"")=0,IFERROR(VALUE(I42&amp;""),"")=1,IFERROR(VALUE(I42&amp;""),"")=2,IFERROR(VALUE(I42&amp;""),"")=3)),IFERROR(VALUE(I42&amp;""),"")*IF(D42="Must",2,1),0))</f>
        <v/>
      </c>
      <c r="O42" s="73">
        <f>IF(OR(AA42,AND(UPPER(TRIM(I42&amp;""))="N/A",L42="Yes"),AND(UPPER(TRIM(I42&amp;""))="NOT TESTED",M42="Yes")),0,IF(OR(OR(AND(UPPER(TRIM(I42&amp;""))="N/A",L42&lt;&gt;"Yes"),AND(UPPER(TRIM(I42&amp;""))="NOT TESTED",M42&lt;&gt;"Yes"),AND(NOT(I42=""),NOT(UPPER(TRIM(I42&amp;""))="N/A"),NOT(UPPER(TRIM(I42&amp;""))="NOT TESTED"),NOT(AND(ISNUMBER(IFERROR(VALUE(I42&amp;""),"")),OR(IFERROR(VALUE(I42&amp;""),"")=0,IFERROR(VALUE(I42&amp;""),"")=1,IFERROR(VALUE(I42&amp;""),"")=2,IFERROR(VALUE(I42&amp;""),"")=3))))),AND(ISNUMBER(IFERROR(VALUE(I42&amp;""),"")),OR(IFERROR(VALUE(I42&amp;""),"")=0,IFERROR(VALUE(I42&amp;""),"")=1,IFERROR(VALUE(I42&amp;""),"")=2,IFERROR(VALUE(I42&amp;""),"")=3))),3*IF(D42="Must",2,1),0))</f>
        <v/>
      </c>
      <c r="P42" s="74">
        <f>IF(OR(AA42,NOT(AND(D42="Must",ISNUMBER(X42),X42=0))),0,1)</f>
        <v/>
      </c>
      <c r="Q42" s="74">
        <f>IF(OR(AA42,NOT(AND(D42="Must",ISNUMBER(X42),X42=1))),0,1)</f>
        <v/>
      </c>
      <c r="R42" s="74">
        <f>IF(AND(NOT(AA42),D42="Must",I42=""),1,0)</f>
        <v/>
      </c>
      <c r="S42" s="74">
        <f>IF(AND(NOT(AA42),UPPER(TRIM(I42&amp;""))="N/A",L42&lt;&gt;"Yes"),1,0)</f>
        <v/>
      </c>
      <c r="T42" s="74">
        <f>IF(AND(NOT(AA42),UPPER(TRIM(I42&amp;""))="NOT TESTED",M42&lt;&gt;"Yes"),1,0)</f>
        <v/>
      </c>
      <c r="U42" s="74">
        <f>IF(OR(AA42,NOT(AND(D42="Should",ISNUMBER(X42),X42=0))),0,1)</f>
        <v/>
      </c>
      <c r="V42" s="74">
        <f>IF(OR(AA42,NOT(AND(D42="Should",ISNUMBER(X42),X42=1))),0,1)</f>
        <v/>
      </c>
      <c r="W42" s="74">
        <f>IF(OR(I42="",AA42),0,1)</f>
        <v/>
      </c>
      <c r="X42" s="74">
        <f>IF(I42="","",IF(UPPER(TRIM(I42&amp;""))="N/A","N/A",IF(UPPER(TRIM(I42&amp;""))="NOT TESTED","NT",IF(AND(ISNUMBER(IFERROR(VALUE(I42&amp;""),"")),OR(IFERROR(VALUE(I42&amp;""),"")=0,IFERROR(VALUE(I42&amp;""),"")=1,IFERROR(VALUE(I42&amp;""),"")=2,IFERROR(VALUE(I42&amp;""),"")=3)),IFERROR(VALUE(I42&amp;""),""),"BAD"))))</f>
        <v/>
      </c>
      <c r="Y42" s="74">
        <f>IF(OR(AA42,NOT(OR(AND(D42="Must",I42="",SUM($W$6:$W$47)&gt;0),AND(ISNUMBER(X42),X42&lt;2),AND(UPPER(TRIM(I42&amp;""))="N/A",L42&lt;&gt;"Yes"),AND(UPPER(TRIM(I42&amp;""))="NOT TESTED",M42&lt;&gt;"Yes"),AND(NOT(I42=""),NOT(UPPER(TRIM(I42&amp;""))="N/A"),NOT(UPPER(TRIM(I42&amp;""))="NOT TESTED"),NOT(AND(ISNUMBER(IFERROR(VALUE(I42&amp;""),"")),OR(IFERROR(VALUE(I42&amp;""),"")=0,IFERROR(VALUE(I42&amp;""),"")=1,IFERROR(VALUE(I42&amp;""),"")=2,IFERROR(VALUE(I42&amp;""),"")=3))))))),0,1)</f>
        <v/>
      </c>
      <c r="Z42" s="74">
        <f>IF(Y42=1,COUNTIF($Y$6:Y42,1),0)</f>
        <v/>
      </c>
      <c r="AA42" s="74">
        <f>OR(AND(LEFT(A42,1)="O",EngagementType&lt;&gt;"Overall opinion"),AND(A42="G3",StandardsEra="Before 9 January 2025"),AND(A42="E2",OR(INDEX($I$6:$I$47,MATCH("E1",$A$6:$A$47,0))=0,INDEX($I$6:$I$47,MATCH("E1",$A$6:$A$47,0))="0")),AND(A42="B2",UPPER(TRIM(INDEX($I$6:$I$47,MATCH("B1",$A$6:$A$47,0))&amp;""))="N/A"),AND(OR(A42="D1",A42="D2",A42="D3",A42="D4",A42="D5"),UPPER(TRIM(INDEX($I$6:$I$47,MATCH("C1",$A$6:$A$47,0))&amp;""))="N/A"))</f>
        <v/>
      </c>
      <c r="AB42" s="26" t="inlineStr">
        <is>
          <t>13.1;14.4</t>
        </is>
      </c>
      <c r="AC42">
        <f>IF(AND(NOT(AA42),AND(NOT(I42=""),NOT(UPPER(TRIM(I42&amp;""))="N/A"),NOT(UPPER(TRIM(I42&amp;""))="NOT TESTED"),NOT(AND(ISNUMBER(IFERROR(VALUE(I42&amp;""),"")),OR(IFERROR(VALUE(I42&amp;""),"")=0,IFERROR(VALUE(I42&amp;""),"")=1,IFERROR(VALUE(I42&amp;""),"")=2,IFERROR(VALUE(I42&amp;""),"")=3))))),1,0)</f>
        <v/>
      </c>
    </row>
    <row r="43" ht="48" customHeight="1" s="79">
      <c r="A43" s="58" t="inlineStr">
        <is>
          <t>O1</t>
        </is>
      </c>
      <c r="B43" s="59" t="inlineStr">
        <is>
          <t>Overall opinion</t>
        </is>
      </c>
      <c r="C43" s="60" t="inlineStr">
        <is>
          <t>Close</t>
        </is>
      </c>
      <c r="D43" s="61" t="inlineStr">
        <is>
          <t>Must</t>
        </is>
      </c>
      <c r="E43" s="59" t="inlineStr">
        <is>
          <t>The request for the overall conclusion is summarised</t>
        </is>
      </c>
      <c r="F43" s="59" t="inlineStr">
        <is>
          <t>The communication says who asked for the conclusion and what was asked. Leave blank on an engagement report. The scorecard ignores these five lines unless the type is Overall opinion.</t>
        </is>
      </c>
      <c r="G43" s="59">
        <f>"11.3 "&amp;INDEX('6. Standards'!$B$5:$B$21,MATCH("11.3",'6. Standards'!$A$5:$A$21,0))&amp;" — "&amp;INDEX('6. Standards'!$C$5:$C$21,MATCH("11.3",'6. Standards'!$A$5:$A$21,0))</f>
        <v/>
      </c>
      <c r="H43" s="59">
        <f>IF(EngagementType&lt;&gt;"Overall opinion","Off. These lines apply only when 2. Details says Overall opinion. Type is "&amp;IF(EngagementType="","not set",EngagementType)&amp;".","On. Standard 11.3 requires this element of an overall conclusion.")</f>
        <v/>
      </c>
      <c r="I43" s="77" t="n"/>
      <c r="J43" s="77" t="n"/>
      <c r="K43" s="77" t="n"/>
      <c r="L43" s="60" t="inlineStr">
        <is>
          <t>No</t>
        </is>
      </c>
      <c r="M43" s="60" t="inlineStr">
        <is>
          <t>No</t>
        </is>
      </c>
      <c r="N43" s="73">
        <f>IF(OR(OR(AA43,AND(UPPER(TRIM(I43&amp;""))="N/A",L43="Yes"),AND(UPPER(TRIM(I43&amp;""))="NOT TESTED",M43="Yes")),OR(AND(UPPER(TRIM(I43&amp;""))="N/A",L43&lt;&gt;"Yes"),AND(UPPER(TRIM(I43&amp;""))="NOT TESTED",M43&lt;&gt;"Yes"),AND(NOT(I43=""),NOT(UPPER(TRIM(I43&amp;""))="N/A"),NOT(UPPER(TRIM(I43&amp;""))="NOT TESTED"),NOT(AND(ISNUMBER(IFERROR(VALUE(I43&amp;""),"")),OR(IFERROR(VALUE(I43&amp;""),"")=0,IFERROR(VALUE(I43&amp;""),"")=1,IFERROR(VALUE(I43&amp;""),"")=2,IFERROR(VALUE(I43&amp;""),"")=3)))))),0,IF(AND(ISNUMBER(IFERROR(VALUE(I43&amp;""),"")),OR(IFERROR(VALUE(I43&amp;""),"")=0,IFERROR(VALUE(I43&amp;""),"")=1,IFERROR(VALUE(I43&amp;""),"")=2,IFERROR(VALUE(I43&amp;""),"")=3)),IFERROR(VALUE(I43&amp;""),"")*IF(D43="Must",2,1),0))</f>
        <v/>
      </c>
      <c r="O43" s="73">
        <f>IF(OR(AA43,AND(UPPER(TRIM(I43&amp;""))="N/A",L43="Yes"),AND(UPPER(TRIM(I43&amp;""))="NOT TESTED",M43="Yes")),0,IF(OR(OR(AND(UPPER(TRIM(I43&amp;""))="N/A",L43&lt;&gt;"Yes"),AND(UPPER(TRIM(I43&amp;""))="NOT TESTED",M43&lt;&gt;"Yes"),AND(NOT(I43=""),NOT(UPPER(TRIM(I43&amp;""))="N/A"),NOT(UPPER(TRIM(I43&amp;""))="NOT TESTED"),NOT(AND(ISNUMBER(IFERROR(VALUE(I43&amp;""),"")),OR(IFERROR(VALUE(I43&amp;""),"")=0,IFERROR(VALUE(I43&amp;""),"")=1,IFERROR(VALUE(I43&amp;""),"")=2,IFERROR(VALUE(I43&amp;""),"")=3))))),AND(ISNUMBER(IFERROR(VALUE(I43&amp;""),"")),OR(IFERROR(VALUE(I43&amp;""),"")=0,IFERROR(VALUE(I43&amp;""),"")=1,IFERROR(VALUE(I43&amp;""),"")=2,IFERROR(VALUE(I43&amp;""),"")=3))),3*IF(D43="Must",2,1),0))</f>
        <v/>
      </c>
      <c r="P43" s="74">
        <f>IF(OR(AA43,NOT(AND(D43="Must",ISNUMBER(X43),X43=0))),0,1)</f>
        <v/>
      </c>
      <c r="Q43" s="74">
        <f>IF(OR(AA43,NOT(AND(D43="Must",ISNUMBER(X43),X43=1))),0,1)</f>
        <v/>
      </c>
      <c r="R43" s="74">
        <f>IF(AND(NOT(AA43),D43="Must",I43=""),1,0)</f>
        <v/>
      </c>
      <c r="S43" s="74">
        <f>IF(AND(NOT(AA43),UPPER(TRIM(I43&amp;""))="N/A",L43&lt;&gt;"Yes"),1,0)</f>
        <v/>
      </c>
      <c r="T43" s="74">
        <f>IF(AND(NOT(AA43),UPPER(TRIM(I43&amp;""))="NOT TESTED",M43&lt;&gt;"Yes"),1,0)</f>
        <v/>
      </c>
      <c r="U43" s="74">
        <f>IF(OR(AA43,NOT(AND(D43="Should",ISNUMBER(X43),X43=0))),0,1)</f>
        <v/>
      </c>
      <c r="V43" s="74">
        <f>IF(OR(AA43,NOT(AND(D43="Should",ISNUMBER(X43),X43=1))),0,1)</f>
        <v/>
      </c>
      <c r="W43" s="74">
        <f>IF(OR(I43="",AA43),0,1)</f>
        <v/>
      </c>
      <c r="X43" s="74">
        <f>IF(I43="","",IF(UPPER(TRIM(I43&amp;""))="N/A","N/A",IF(UPPER(TRIM(I43&amp;""))="NOT TESTED","NT",IF(AND(ISNUMBER(IFERROR(VALUE(I43&amp;""),"")),OR(IFERROR(VALUE(I43&amp;""),"")=0,IFERROR(VALUE(I43&amp;""),"")=1,IFERROR(VALUE(I43&amp;""),"")=2,IFERROR(VALUE(I43&amp;""),"")=3)),IFERROR(VALUE(I43&amp;""),""),"BAD"))))</f>
        <v/>
      </c>
      <c r="Y43" s="74">
        <f>IF(OR(AA43,NOT(OR(AND(D43="Must",I43="",SUM($W$6:$W$47)&gt;0),AND(ISNUMBER(X43),X43&lt;2),AND(UPPER(TRIM(I43&amp;""))="N/A",L43&lt;&gt;"Yes"),AND(UPPER(TRIM(I43&amp;""))="NOT TESTED",M43&lt;&gt;"Yes"),AND(NOT(I43=""),NOT(UPPER(TRIM(I43&amp;""))="N/A"),NOT(UPPER(TRIM(I43&amp;""))="NOT TESTED"),NOT(AND(ISNUMBER(IFERROR(VALUE(I43&amp;""),"")),OR(IFERROR(VALUE(I43&amp;""),"")=0,IFERROR(VALUE(I43&amp;""),"")=1,IFERROR(VALUE(I43&amp;""),"")=2,IFERROR(VALUE(I43&amp;""),"")=3))))))),0,1)</f>
        <v/>
      </c>
      <c r="Z43" s="74">
        <f>IF(Y43=1,COUNTIF($Y$6:Y43,1),0)</f>
        <v/>
      </c>
      <c r="AA43" s="74">
        <f>OR(AND(LEFT(A43,1)="O",EngagementType&lt;&gt;"Overall opinion"),AND(A43="G3",StandardsEra="Before 9 January 2025"),AND(A43="E2",OR(INDEX($I$6:$I$47,MATCH("E1",$A$6:$A$47,0))=0,INDEX($I$6:$I$47,MATCH("E1",$A$6:$A$47,0))="0")),AND(A43="B2",UPPER(TRIM(INDEX($I$6:$I$47,MATCH("B1",$A$6:$A$47,0))&amp;""))="N/A"),AND(OR(A43="D1",A43="D2",A43="D3",A43="D4",A43="D5"),UPPER(TRIM(INDEX($I$6:$I$47,MATCH("C1",$A$6:$A$47,0))&amp;""))="N/A"))</f>
        <v/>
      </c>
      <c r="AB43" s="26" t="inlineStr">
        <is>
          <t>11.3</t>
        </is>
      </c>
      <c r="AC43">
        <f>IF(AND(NOT(AA43),AND(NOT(I43=""),NOT(UPPER(TRIM(I43&amp;""))="N/A"),NOT(UPPER(TRIM(I43&amp;""))="NOT TESTED"),NOT(AND(ISNUMBER(IFERROR(VALUE(I43&amp;""),"")),OR(IFERROR(VALUE(I43&amp;""),"")=0,IFERROR(VALUE(I43&amp;""),"")=1,IFERROR(VALUE(I43&amp;""),"")=2,IFERROR(VALUE(I43&amp;""),"")=3))))),1,0)</f>
        <v/>
      </c>
    </row>
    <row r="44" ht="48" customHeight="1" s="79">
      <c r="A44" s="58" t="inlineStr">
        <is>
          <t>O2</t>
        </is>
      </c>
      <c r="B44" s="59" t="inlineStr">
        <is>
          <t>Overall opinion</t>
        </is>
      </c>
      <c r="C44" s="60" t="inlineStr">
        <is>
          <t>Close</t>
        </is>
      </c>
      <c r="D44" s="61" t="inlineStr">
        <is>
          <t>Must</t>
        </is>
      </c>
      <c r="E44" s="59" t="inlineStr">
        <is>
          <t>The criteria for the overall conclusion are stated</t>
        </is>
      </c>
      <c r="F44" s="59" t="inlineStr">
        <is>
          <t>The conclusion names the framework or other criteria it uses, for example a governance or risk and control framework.</t>
        </is>
      </c>
      <c r="G44" s="59">
        <f>"11.3 "&amp;INDEX('6. Standards'!$B$5:$B$21,MATCH("11.3",'6. Standards'!$A$5:$A$21,0))&amp;" — "&amp;INDEX('6. Standards'!$C$5:$C$21,MATCH("11.3",'6. Standards'!$A$5:$A$21,0))</f>
        <v/>
      </c>
      <c r="H44" s="59">
        <f>IF(EngagementType&lt;&gt;"Overall opinion","Off. These lines apply only when 2. Details says Overall opinion. Type is "&amp;IF(EngagementType="","not set",EngagementType)&amp;".","On. Standard 11.3 requires this element of an overall conclusion.")</f>
        <v/>
      </c>
      <c r="I44" s="77" t="n"/>
      <c r="J44" s="77" t="n"/>
      <c r="K44" s="77" t="n"/>
      <c r="L44" s="60" t="inlineStr">
        <is>
          <t>No</t>
        </is>
      </c>
      <c r="M44" s="60" t="inlineStr">
        <is>
          <t>No</t>
        </is>
      </c>
      <c r="N44" s="73">
        <f>IF(OR(OR(AA44,AND(UPPER(TRIM(I44&amp;""))="N/A",L44="Yes"),AND(UPPER(TRIM(I44&amp;""))="NOT TESTED",M44="Yes")),OR(AND(UPPER(TRIM(I44&amp;""))="N/A",L44&lt;&gt;"Yes"),AND(UPPER(TRIM(I44&amp;""))="NOT TESTED",M44&lt;&gt;"Yes"),AND(NOT(I44=""),NOT(UPPER(TRIM(I44&amp;""))="N/A"),NOT(UPPER(TRIM(I44&amp;""))="NOT TESTED"),NOT(AND(ISNUMBER(IFERROR(VALUE(I44&amp;""),"")),OR(IFERROR(VALUE(I44&amp;""),"")=0,IFERROR(VALUE(I44&amp;""),"")=1,IFERROR(VALUE(I44&amp;""),"")=2,IFERROR(VALUE(I44&amp;""),"")=3)))))),0,IF(AND(ISNUMBER(IFERROR(VALUE(I44&amp;""),"")),OR(IFERROR(VALUE(I44&amp;""),"")=0,IFERROR(VALUE(I44&amp;""),"")=1,IFERROR(VALUE(I44&amp;""),"")=2,IFERROR(VALUE(I44&amp;""),"")=3)),IFERROR(VALUE(I44&amp;""),"")*IF(D44="Must",2,1),0))</f>
        <v/>
      </c>
      <c r="O44" s="73">
        <f>IF(OR(AA44,AND(UPPER(TRIM(I44&amp;""))="N/A",L44="Yes"),AND(UPPER(TRIM(I44&amp;""))="NOT TESTED",M44="Yes")),0,IF(OR(OR(AND(UPPER(TRIM(I44&amp;""))="N/A",L44&lt;&gt;"Yes"),AND(UPPER(TRIM(I44&amp;""))="NOT TESTED",M44&lt;&gt;"Yes"),AND(NOT(I44=""),NOT(UPPER(TRIM(I44&amp;""))="N/A"),NOT(UPPER(TRIM(I44&amp;""))="NOT TESTED"),NOT(AND(ISNUMBER(IFERROR(VALUE(I44&amp;""),"")),OR(IFERROR(VALUE(I44&amp;""),"")=0,IFERROR(VALUE(I44&amp;""),"")=1,IFERROR(VALUE(I44&amp;""),"")=2,IFERROR(VALUE(I44&amp;""),"")=3))))),AND(ISNUMBER(IFERROR(VALUE(I44&amp;""),"")),OR(IFERROR(VALUE(I44&amp;""),"")=0,IFERROR(VALUE(I44&amp;""),"")=1,IFERROR(VALUE(I44&amp;""),"")=2,IFERROR(VALUE(I44&amp;""),"")=3))),3*IF(D44="Must",2,1),0))</f>
        <v/>
      </c>
      <c r="P44" s="74">
        <f>IF(OR(AA44,NOT(AND(D44="Must",ISNUMBER(X44),X44=0))),0,1)</f>
        <v/>
      </c>
      <c r="Q44" s="74">
        <f>IF(OR(AA44,NOT(AND(D44="Must",ISNUMBER(X44),X44=1))),0,1)</f>
        <v/>
      </c>
      <c r="R44" s="74">
        <f>IF(AND(NOT(AA44),D44="Must",I44=""),1,0)</f>
        <v/>
      </c>
      <c r="S44" s="74">
        <f>IF(AND(NOT(AA44),UPPER(TRIM(I44&amp;""))="N/A",L44&lt;&gt;"Yes"),1,0)</f>
        <v/>
      </c>
      <c r="T44" s="74">
        <f>IF(AND(NOT(AA44),UPPER(TRIM(I44&amp;""))="NOT TESTED",M44&lt;&gt;"Yes"),1,0)</f>
        <v/>
      </c>
      <c r="U44" s="74">
        <f>IF(OR(AA44,NOT(AND(D44="Should",ISNUMBER(X44),X44=0))),0,1)</f>
        <v/>
      </c>
      <c r="V44" s="74">
        <f>IF(OR(AA44,NOT(AND(D44="Should",ISNUMBER(X44),X44=1))),0,1)</f>
        <v/>
      </c>
      <c r="W44" s="74">
        <f>IF(OR(I44="",AA44),0,1)</f>
        <v/>
      </c>
      <c r="X44" s="74">
        <f>IF(I44="","",IF(UPPER(TRIM(I44&amp;""))="N/A","N/A",IF(UPPER(TRIM(I44&amp;""))="NOT TESTED","NT",IF(AND(ISNUMBER(IFERROR(VALUE(I44&amp;""),"")),OR(IFERROR(VALUE(I44&amp;""),"")=0,IFERROR(VALUE(I44&amp;""),"")=1,IFERROR(VALUE(I44&amp;""),"")=2,IFERROR(VALUE(I44&amp;""),"")=3)),IFERROR(VALUE(I44&amp;""),""),"BAD"))))</f>
        <v/>
      </c>
      <c r="Y44" s="74">
        <f>IF(OR(AA44,NOT(OR(AND(D44="Must",I44="",SUM($W$6:$W$47)&gt;0),AND(ISNUMBER(X44),X44&lt;2),AND(UPPER(TRIM(I44&amp;""))="N/A",L44&lt;&gt;"Yes"),AND(UPPER(TRIM(I44&amp;""))="NOT TESTED",M44&lt;&gt;"Yes"),AND(NOT(I44=""),NOT(UPPER(TRIM(I44&amp;""))="N/A"),NOT(UPPER(TRIM(I44&amp;""))="NOT TESTED"),NOT(AND(ISNUMBER(IFERROR(VALUE(I44&amp;""),"")),OR(IFERROR(VALUE(I44&amp;""),"")=0,IFERROR(VALUE(I44&amp;""),"")=1,IFERROR(VALUE(I44&amp;""),"")=2,IFERROR(VALUE(I44&amp;""),"")=3))))))),0,1)</f>
        <v/>
      </c>
      <c r="Z44" s="74">
        <f>IF(Y44=1,COUNTIF($Y$6:Y44,1),0)</f>
        <v/>
      </c>
      <c r="AA44" s="74">
        <f>OR(AND(LEFT(A44,1)="O",EngagementType&lt;&gt;"Overall opinion"),AND(A44="G3",StandardsEra="Before 9 January 2025"),AND(A44="E2",OR(INDEX($I$6:$I$47,MATCH("E1",$A$6:$A$47,0))=0,INDEX($I$6:$I$47,MATCH("E1",$A$6:$A$47,0))="0")),AND(A44="B2",UPPER(TRIM(INDEX($I$6:$I$47,MATCH("B1",$A$6:$A$47,0))&amp;""))="N/A"),AND(OR(A44="D1",A44="D2",A44="D3",A44="D4",A44="D5"),UPPER(TRIM(INDEX($I$6:$I$47,MATCH("C1",$A$6:$A$47,0))&amp;""))="N/A"))</f>
        <v/>
      </c>
      <c r="AB44" s="26" t="inlineStr">
        <is>
          <t>11.3</t>
        </is>
      </c>
      <c r="AC44">
        <f>IF(AND(NOT(AA44),AND(NOT(I44=""),NOT(UPPER(TRIM(I44&amp;""))="N/A"),NOT(UPPER(TRIM(I44&amp;""))="NOT TESTED"),NOT(AND(ISNUMBER(IFERROR(VALUE(I44&amp;""),"")),OR(IFERROR(VALUE(I44&amp;""),"")=0,IFERROR(VALUE(I44&amp;""),"")=1,IFERROR(VALUE(I44&amp;""),"")=2,IFERROR(VALUE(I44&amp;""),"")=3))))),1,0)</f>
        <v/>
      </c>
    </row>
    <row r="45" ht="48" customHeight="1" s="79">
      <c r="A45" s="58" t="inlineStr">
        <is>
          <t>O3</t>
        </is>
      </c>
      <c r="B45" s="59" t="inlineStr">
        <is>
          <t>Overall opinion</t>
        </is>
      </c>
      <c r="C45" s="60" t="inlineStr">
        <is>
          <t>Close</t>
        </is>
      </c>
      <c r="D45" s="61" t="inlineStr">
        <is>
          <t>Must</t>
        </is>
      </c>
      <c r="E45" s="59" t="inlineStr">
        <is>
          <t>Scope, limitations, and period are stated</t>
        </is>
      </c>
      <c r="F45" s="59" t="inlineStr">
        <is>
          <t>The scope includes the limitations and the period the conclusion covers.</t>
        </is>
      </c>
      <c r="G45" s="59">
        <f>"11.3 "&amp;INDEX('6. Standards'!$B$5:$B$21,MATCH("11.3",'6. Standards'!$A$5:$A$21,0))&amp;" — "&amp;INDEX('6. Standards'!$C$5:$C$21,MATCH("11.3",'6. Standards'!$A$5:$A$21,0))</f>
        <v/>
      </c>
      <c r="H45" s="59">
        <f>IF(EngagementType&lt;&gt;"Overall opinion","Off. These lines apply only when 2. Details says Overall opinion. Type is "&amp;IF(EngagementType="","not set",EngagementType)&amp;".","On. Standard 11.3 requires this element of an overall conclusion.")</f>
        <v/>
      </c>
      <c r="I45" s="77" t="n"/>
      <c r="J45" s="77" t="n"/>
      <c r="K45" s="77" t="n"/>
      <c r="L45" s="60" t="inlineStr">
        <is>
          <t>No</t>
        </is>
      </c>
      <c r="M45" s="60" t="inlineStr">
        <is>
          <t>No</t>
        </is>
      </c>
      <c r="N45" s="73">
        <f>IF(OR(OR(AA45,AND(UPPER(TRIM(I45&amp;""))="N/A",L45="Yes"),AND(UPPER(TRIM(I45&amp;""))="NOT TESTED",M45="Yes")),OR(AND(UPPER(TRIM(I45&amp;""))="N/A",L45&lt;&gt;"Yes"),AND(UPPER(TRIM(I45&amp;""))="NOT TESTED",M45&lt;&gt;"Yes"),AND(NOT(I45=""),NOT(UPPER(TRIM(I45&amp;""))="N/A"),NOT(UPPER(TRIM(I45&amp;""))="NOT TESTED"),NOT(AND(ISNUMBER(IFERROR(VALUE(I45&amp;""),"")),OR(IFERROR(VALUE(I45&amp;""),"")=0,IFERROR(VALUE(I45&amp;""),"")=1,IFERROR(VALUE(I45&amp;""),"")=2,IFERROR(VALUE(I45&amp;""),"")=3)))))),0,IF(AND(ISNUMBER(IFERROR(VALUE(I45&amp;""),"")),OR(IFERROR(VALUE(I45&amp;""),"")=0,IFERROR(VALUE(I45&amp;""),"")=1,IFERROR(VALUE(I45&amp;""),"")=2,IFERROR(VALUE(I45&amp;""),"")=3)),IFERROR(VALUE(I45&amp;""),"")*IF(D45="Must",2,1),0))</f>
        <v/>
      </c>
      <c r="O45" s="73">
        <f>IF(OR(AA45,AND(UPPER(TRIM(I45&amp;""))="N/A",L45="Yes"),AND(UPPER(TRIM(I45&amp;""))="NOT TESTED",M45="Yes")),0,IF(OR(OR(AND(UPPER(TRIM(I45&amp;""))="N/A",L45&lt;&gt;"Yes"),AND(UPPER(TRIM(I45&amp;""))="NOT TESTED",M45&lt;&gt;"Yes"),AND(NOT(I45=""),NOT(UPPER(TRIM(I45&amp;""))="N/A"),NOT(UPPER(TRIM(I45&amp;""))="NOT TESTED"),NOT(AND(ISNUMBER(IFERROR(VALUE(I45&amp;""),"")),OR(IFERROR(VALUE(I45&amp;""),"")=0,IFERROR(VALUE(I45&amp;""),"")=1,IFERROR(VALUE(I45&amp;""),"")=2,IFERROR(VALUE(I45&amp;""),"")=3))))),AND(ISNUMBER(IFERROR(VALUE(I45&amp;""),"")),OR(IFERROR(VALUE(I45&amp;""),"")=0,IFERROR(VALUE(I45&amp;""),"")=1,IFERROR(VALUE(I45&amp;""),"")=2,IFERROR(VALUE(I45&amp;""),"")=3))),3*IF(D45="Must",2,1),0))</f>
        <v/>
      </c>
      <c r="P45" s="74">
        <f>IF(OR(AA45,NOT(AND(D45="Must",ISNUMBER(X45),X45=0))),0,1)</f>
        <v/>
      </c>
      <c r="Q45" s="74">
        <f>IF(OR(AA45,NOT(AND(D45="Must",ISNUMBER(X45),X45=1))),0,1)</f>
        <v/>
      </c>
      <c r="R45" s="74">
        <f>IF(AND(NOT(AA45),D45="Must",I45=""),1,0)</f>
        <v/>
      </c>
      <c r="S45" s="74">
        <f>IF(AND(NOT(AA45),UPPER(TRIM(I45&amp;""))="N/A",L45&lt;&gt;"Yes"),1,0)</f>
        <v/>
      </c>
      <c r="T45" s="74">
        <f>IF(AND(NOT(AA45),UPPER(TRIM(I45&amp;""))="NOT TESTED",M45&lt;&gt;"Yes"),1,0)</f>
        <v/>
      </c>
      <c r="U45" s="74">
        <f>IF(OR(AA45,NOT(AND(D45="Should",ISNUMBER(X45),X45=0))),0,1)</f>
        <v/>
      </c>
      <c r="V45" s="74">
        <f>IF(OR(AA45,NOT(AND(D45="Should",ISNUMBER(X45),X45=1))),0,1)</f>
        <v/>
      </c>
      <c r="W45" s="74">
        <f>IF(OR(I45="",AA45),0,1)</f>
        <v/>
      </c>
      <c r="X45" s="74">
        <f>IF(I45="","",IF(UPPER(TRIM(I45&amp;""))="N/A","N/A",IF(UPPER(TRIM(I45&amp;""))="NOT TESTED","NT",IF(AND(ISNUMBER(IFERROR(VALUE(I45&amp;""),"")),OR(IFERROR(VALUE(I45&amp;""),"")=0,IFERROR(VALUE(I45&amp;""),"")=1,IFERROR(VALUE(I45&amp;""),"")=2,IFERROR(VALUE(I45&amp;""),"")=3)),IFERROR(VALUE(I45&amp;""),""),"BAD"))))</f>
        <v/>
      </c>
      <c r="Y45" s="74">
        <f>IF(OR(AA45,NOT(OR(AND(D45="Must",I45="",SUM($W$6:$W$47)&gt;0),AND(ISNUMBER(X45),X45&lt;2),AND(UPPER(TRIM(I45&amp;""))="N/A",L45&lt;&gt;"Yes"),AND(UPPER(TRIM(I45&amp;""))="NOT TESTED",M45&lt;&gt;"Yes"),AND(NOT(I45=""),NOT(UPPER(TRIM(I45&amp;""))="N/A"),NOT(UPPER(TRIM(I45&amp;""))="NOT TESTED"),NOT(AND(ISNUMBER(IFERROR(VALUE(I45&amp;""),"")),OR(IFERROR(VALUE(I45&amp;""),"")=0,IFERROR(VALUE(I45&amp;""),"")=1,IFERROR(VALUE(I45&amp;""),"")=2,IFERROR(VALUE(I45&amp;""),"")=3))))))),0,1)</f>
        <v/>
      </c>
      <c r="Z45" s="74">
        <f>IF(Y45=1,COUNTIF($Y$6:Y45,1),0)</f>
        <v/>
      </c>
      <c r="AA45" s="74">
        <f>OR(AND(LEFT(A45,1)="O",EngagementType&lt;&gt;"Overall opinion"),AND(A45="G3",StandardsEra="Before 9 January 2025"),AND(A45="E2",OR(INDEX($I$6:$I$47,MATCH("E1",$A$6:$A$47,0))=0,INDEX($I$6:$I$47,MATCH("E1",$A$6:$A$47,0))="0")),AND(A45="B2",UPPER(TRIM(INDEX($I$6:$I$47,MATCH("B1",$A$6:$A$47,0))&amp;""))="N/A"),AND(OR(A45="D1",A45="D2",A45="D3",A45="D4",A45="D5"),UPPER(TRIM(INDEX($I$6:$I$47,MATCH("C1",$A$6:$A$47,0))&amp;""))="N/A"))</f>
        <v/>
      </c>
      <c r="AB45" s="26" t="inlineStr">
        <is>
          <t>11.3</t>
        </is>
      </c>
      <c r="AC45">
        <f>IF(AND(NOT(AA45),AND(NOT(I45=""),NOT(UPPER(TRIM(I45&amp;""))="N/A"),NOT(UPPER(TRIM(I45&amp;""))="NOT TESTED"),NOT(AND(ISNUMBER(IFERROR(VALUE(I45&amp;""),"")),OR(IFERROR(VALUE(I45&amp;""),"")=0,IFERROR(VALUE(I45&amp;""),"")=1,IFERROR(VALUE(I45&amp;""),"")=2,IFERROR(VALUE(I45&amp;""),"")=3))))),1,0)</f>
        <v/>
      </c>
    </row>
    <row r="46" ht="48" customHeight="1" s="79">
      <c r="A46" s="58" t="inlineStr">
        <is>
          <t>O4</t>
        </is>
      </c>
      <c r="B46" s="59" t="inlineStr">
        <is>
          <t>Overall opinion</t>
        </is>
      </c>
      <c r="C46" s="60" t="inlineStr">
        <is>
          <t>Close</t>
        </is>
      </c>
      <c r="D46" s="61" t="inlineStr">
        <is>
          <t>Must</t>
        </is>
      </c>
      <c r="E46" s="59" t="inlineStr">
        <is>
          <t>The supporting information is summarised</t>
        </is>
      </c>
      <c r="F46" s="59" t="inlineStr">
        <is>
          <t>The conclusion is supported by relevant, reliable, and sufficient information, summarised in the communication.</t>
        </is>
      </c>
      <c r="G46" s="59">
        <f>"11.3 "&amp;INDEX('6. Standards'!$B$5:$B$21,MATCH("11.3",'6. Standards'!$A$5:$A$21,0))&amp;" — "&amp;INDEX('6. Standards'!$C$5:$C$21,MATCH("11.3",'6. Standards'!$A$5:$A$21,0))</f>
        <v/>
      </c>
      <c r="H46" s="59">
        <f>IF(EngagementType&lt;&gt;"Overall opinion","Off. These lines apply only when 2. Details says Overall opinion. Type is "&amp;IF(EngagementType="","not set",EngagementType)&amp;".","On. Standard 11.3 requires this element of an overall conclusion.")</f>
        <v/>
      </c>
      <c r="I46" s="77" t="n"/>
      <c r="J46" s="77" t="n"/>
      <c r="K46" s="77" t="n"/>
      <c r="L46" s="60" t="inlineStr">
        <is>
          <t>No</t>
        </is>
      </c>
      <c r="M46" s="60" t="inlineStr">
        <is>
          <t>No</t>
        </is>
      </c>
      <c r="N46" s="73">
        <f>IF(OR(OR(AA46,AND(UPPER(TRIM(I46&amp;""))="N/A",L46="Yes"),AND(UPPER(TRIM(I46&amp;""))="NOT TESTED",M46="Yes")),OR(AND(UPPER(TRIM(I46&amp;""))="N/A",L46&lt;&gt;"Yes"),AND(UPPER(TRIM(I46&amp;""))="NOT TESTED",M46&lt;&gt;"Yes"),AND(NOT(I46=""),NOT(UPPER(TRIM(I46&amp;""))="N/A"),NOT(UPPER(TRIM(I46&amp;""))="NOT TESTED"),NOT(AND(ISNUMBER(IFERROR(VALUE(I46&amp;""),"")),OR(IFERROR(VALUE(I46&amp;""),"")=0,IFERROR(VALUE(I46&amp;""),"")=1,IFERROR(VALUE(I46&amp;""),"")=2,IFERROR(VALUE(I46&amp;""),"")=3)))))),0,IF(AND(ISNUMBER(IFERROR(VALUE(I46&amp;""),"")),OR(IFERROR(VALUE(I46&amp;""),"")=0,IFERROR(VALUE(I46&amp;""),"")=1,IFERROR(VALUE(I46&amp;""),"")=2,IFERROR(VALUE(I46&amp;""),"")=3)),IFERROR(VALUE(I46&amp;""),"")*IF(D46="Must",2,1),0))</f>
        <v/>
      </c>
      <c r="O46" s="73">
        <f>IF(OR(AA46,AND(UPPER(TRIM(I46&amp;""))="N/A",L46="Yes"),AND(UPPER(TRIM(I46&amp;""))="NOT TESTED",M46="Yes")),0,IF(OR(OR(AND(UPPER(TRIM(I46&amp;""))="N/A",L46&lt;&gt;"Yes"),AND(UPPER(TRIM(I46&amp;""))="NOT TESTED",M46&lt;&gt;"Yes"),AND(NOT(I46=""),NOT(UPPER(TRIM(I46&amp;""))="N/A"),NOT(UPPER(TRIM(I46&amp;""))="NOT TESTED"),NOT(AND(ISNUMBER(IFERROR(VALUE(I46&amp;""),"")),OR(IFERROR(VALUE(I46&amp;""),"")=0,IFERROR(VALUE(I46&amp;""),"")=1,IFERROR(VALUE(I46&amp;""),"")=2,IFERROR(VALUE(I46&amp;""),"")=3))))),AND(ISNUMBER(IFERROR(VALUE(I46&amp;""),"")),OR(IFERROR(VALUE(I46&amp;""),"")=0,IFERROR(VALUE(I46&amp;""),"")=1,IFERROR(VALUE(I46&amp;""),"")=2,IFERROR(VALUE(I46&amp;""),"")=3))),3*IF(D46="Must",2,1),0))</f>
        <v/>
      </c>
      <c r="P46" s="74">
        <f>IF(OR(AA46,NOT(AND(D46="Must",ISNUMBER(X46),X46=0))),0,1)</f>
        <v/>
      </c>
      <c r="Q46" s="74">
        <f>IF(OR(AA46,NOT(AND(D46="Must",ISNUMBER(X46),X46=1))),0,1)</f>
        <v/>
      </c>
      <c r="R46" s="74">
        <f>IF(AND(NOT(AA46),D46="Must",I46=""),1,0)</f>
        <v/>
      </c>
      <c r="S46" s="74">
        <f>IF(AND(NOT(AA46),UPPER(TRIM(I46&amp;""))="N/A",L46&lt;&gt;"Yes"),1,0)</f>
        <v/>
      </c>
      <c r="T46" s="74">
        <f>IF(AND(NOT(AA46),UPPER(TRIM(I46&amp;""))="NOT TESTED",M46&lt;&gt;"Yes"),1,0)</f>
        <v/>
      </c>
      <c r="U46" s="74">
        <f>IF(OR(AA46,NOT(AND(D46="Should",ISNUMBER(X46),X46=0))),0,1)</f>
        <v/>
      </c>
      <c r="V46" s="74">
        <f>IF(OR(AA46,NOT(AND(D46="Should",ISNUMBER(X46),X46=1))),0,1)</f>
        <v/>
      </c>
      <c r="W46" s="74">
        <f>IF(OR(I46="",AA46),0,1)</f>
        <v/>
      </c>
      <c r="X46" s="74">
        <f>IF(I46="","",IF(UPPER(TRIM(I46&amp;""))="N/A","N/A",IF(UPPER(TRIM(I46&amp;""))="NOT TESTED","NT",IF(AND(ISNUMBER(IFERROR(VALUE(I46&amp;""),"")),OR(IFERROR(VALUE(I46&amp;""),"")=0,IFERROR(VALUE(I46&amp;""),"")=1,IFERROR(VALUE(I46&amp;""),"")=2,IFERROR(VALUE(I46&amp;""),"")=3)),IFERROR(VALUE(I46&amp;""),""),"BAD"))))</f>
        <v/>
      </c>
      <c r="Y46" s="74">
        <f>IF(OR(AA46,NOT(OR(AND(D46="Must",I46="",SUM($W$6:$W$47)&gt;0),AND(ISNUMBER(X46),X46&lt;2),AND(UPPER(TRIM(I46&amp;""))="N/A",L46&lt;&gt;"Yes"),AND(UPPER(TRIM(I46&amp;""))="NOT TESTED",M46&lt;&gt;"Yes"),AND(NOT(I46=""),NOT(UPPER(TRIM(I46&amp;""))="N/A"),NOT(UPPER(TRIM(I46&amp;""))="NOT TESTED"),NOT(AND(ISNUMBER(IFERROR(VALUE(I46&amp;""),"")),OR(IFERROR(VALUE(I46&amp;""),"")=0,IFERROR(VALUE(I46&amp;""),"")=1,IFERROR(VALUE(I46&amp;""),"")=2,IFERROR(VALUE(I46&amp;""),"")=3))))))),0,1)</f>
        <v/>
      </c>
      <c r="Z46" s="74">
        <f>IF(Y46=1,COUNTIF($Y$6:Y46,1),0)</f>
        <v/>
      </c>
      <c r="AA46" s="74">
        <f>OR(AND(LEFT(A46,1)="O",EngagementType&lt;&gt;"Overall opinion"),AND(A46="G3",StandardsEra="Before 9 January 2025"),AND(A46="E2",OR(INDEX($I$6:$I$47,MATCH("E1",$A$6:$A$47,0))=0,INDEX($I$6:$I$47,MATCH("E1",$A$6:$A$47,0))="0")),AND(A46="B2",UPPER(TRIM(INDEX($I$6:$I$47,MATCH("B1",$A$6:$A$47,0))&amp;""))="N/A"),AND(OR(A46="D1",A46="D2",A46="D3",A46="D4",A46="D5"),UPPER(TRIM(INDEX($I$6:$I$47,MATCH("C1",$A$6:$A$47,0))&amp;""))="N/A"))</f>
        <v/>
      </c>
      <c r="AB46" s="26" t="inlineStr">
        <is>
          <t>11.3</t>
        </is>
      </c>
      <c r="AC46">
        <f>IF(AND(NOT(AA46),AND(NOT(I46=""),NOT(UPPER(TRIM(I46&amp;""))="N/A"),NOT(UPPER(TRIM(I46&amp;""))="NOT TESTED"),NOT(AND(ISNUMBER(IFERROR(VALUE(I46&amp;""),"")),OR(IFERROR(VALUE(I46&amp;""),"")=0,IFERROR(VALUE(I46&amp;""),"")=1,IFERROR(VALUE(I46&amp;""),"")=2,IFERROR(VALUE(I46&amp;""),"")=3))))),1,0)</f>
        <v/>
      </c>
    </row>
    <row r="47" ht="48" customHeight="1" s="79">
      <c r="A47" s="58" t="inlineStr">
        <is>
          <t>O5</t>
        </is>
      </c>
      <c r="B47" s="59" t="inlineStr">
        <is>
          <t>Overall opinion</t>
        </is>
      </c>
      <c r="C47" s="60" t="inlineStr">
        <is>
          <t>Close</t>
        </is>
      </c>
      <c r="D47" s="61" t="inlineStr">
        <is>
          <t>Must</t>
        </is>
      </c>
      <c r="E47" s="59" t="inlineStr">
        <is>
          <t>Reliance on other assurance providers is disclosed</t>
        </is>
      </c>
      <c r="F47" s="59" t="inlineStr">
        <is>
          <t>Any reliance on other assurance providers is disclosed. Use N/A when the conclusion does not rely on others.</t>
        </is>
      </c>
      <c r="G47" s="59">
        <f>"11.3 "&amp;INDEX('6. Standards'!$B$5:$B$21,MATCH("11.3",'6. Standards'!$A$5:$A$21,0))&amp;" — "&amp;INDEX('6. Standards'!$C$5:$C$21,MATCH("11.3",'6. Standards'!$A$5:$A$21,0))</f>
        <v/>
      </c>
      <c r="H47" s="59">
        <f>IF(EngagementType&lt;&gt;"Overall opinion","Off. These lines apply only when 2. Details says Overall opinion. Type is "&amp;IF(EngagementType="","not set",EngagementType)&amp;".","On. Standard 11.3 requires this element of an overall conclusion.")</f>
        <v/>
      </c>
      <c r="I47" s="77" t="n"/>
      <c r="J47" s="77" t="n"/>
      <c r="K47" s="77" t="n"/>
      <c r="L47" s="60" t="inlineStr">
        <is>
          <t>Yes</t>
        </is>
      </c>
      <c r="M47" s="60" t="inlineStr">
        <is>
          <t>No</t>
        </is>
      </c>
      <c r="N47" s="73">
        <f>IF(OR(OR(AA47,AND(UPPER(TRIM(I47&amp;""))="N/A",L47="Yes"),AND(UPPER(TRIM(I47&amp;""))="NOT TESTED",M47="Yes")),OR(AND(UPPER(TRIM(I47&amp;""))="N/A",L47&lt;&gt;"Yes"),AND(UPPER(TRIM(I47&amp;""))="NOT TESTED",M47&lt;&gt;"Yes"),AND(NOT(I47=""),NOT(UPPER(TRIM(I47&amp;""))="N/A"),NOT(UPPER(TRIM(I47&amp;""))="NOT TESTED"),NOT(AND(ISNUMBER(IFERROR(VALUE(I47&amp;""),"")),OR(IFERROR(VALUE(I47&amp;""),"")=0,IFERROR(VALUE(I47&amp;""),"")=1,IFERROR(VALUE(I47&amp;""),"")=2,IFERROR(VALUE(I47&amp;""),"")=3)))))),0,IF(AND(ISNUMBER(IFERROR(VALUE(I47&amp;""),"")),OR(IFERROR(VALUE(I47&amp;""),"")=0,IFERROR(VALUE(I47&amp;""),"")=1,IFERROR(VALUE(I47&amp;""),"")=2,IFERROR(VALUE(I47&amp;""),"")=3)),IFERROR(VALUE(I47&amp;""),"")*IF(D47="Must",2,1),0))</f>
        <v/>
      </c>
      <c r="O47" s="73">
        <f>IF(OR(AA47,AND(UPPER(TRIM(I47&amp;""))="N/A",L47="Yes"),AND(UPPER(TRIM(I47&amp;""))="NOT TESTED",M47="Yes")),0,IF(OR(OR(AND(UPPER(TRIM(I47&amp;""))="N/A",L47&lt;&gt;"Yes"),AND(UPPER(TRIM(I47&amp;""))="NOT TESTED",M47&lt;&gt;"Yes"),AND(NOT(I47=""),NOT(UPPER(TRIM(I47&amp;""))="N/A"),NOT(UPPER(TRIM(I47&amp;""))="NOT TESTED"),NOT(AND(ISNUMBER(IFERROR(VALUE(I47&amp;""),"")),OR(IFERROR(VALUE(I47&amp;""),"")=0,IFERROR(VALUE(I47&amp;""),"")=1,IFERROR(VALUE(I47&amp;""),"")=2,IFERROR(VALUE(I47&amp;""),"")=3))))),AND(ISNUMBER(IFERROR(VALUE(I47&amp;""),"")),OR(IFERROR(VALUE(I47&amp;""),"")=0,IFERROR(VALUE(I47&amp;""),"")=1,IFERROR(VALUE(I47&amp;""),"")=2,IFERROR(VALUE(I47&amp;""),"")=3))),3*IF(D47="Must",2,1),0))</f>
        <v/>
      </c>
      <c r="P47" s="74">
        <f>IF(OR(AA47,NOT(AND(D47="Must",ISNUMBER(X47),X47=0))),0,1)</f>
        <v/>
      </c>
      <c r="Q47" s="74">
        <f>IF(OR(AA47,NOT(AND(D47="Must",ISNUMBER(X47),X47=1))),0,1)</f>
        <v/>
      </c>
      <c r="R47" s="74">
        <f>IF(AND(NOT(AA47),D47="Must",I47=""),1,0)</f>
        <v/>
      </c>
      <c r="S47" s="74">
        <f>IF(AND(NOT(AA47),UPPER(TRIM(I47&amp;""))="N/A",L47&lt;&gt;"Yes"),1,0)</f>
        <v/>
      </c>
      <c r="T47" s="74">
        <f>IF(AND(NOT(AA47),UPPER(TRIM(I47&amp;""))="NOT TESTED",M47&lt;&gt;"Yes"),1,0)</f>
        <v/>
      </c>
      <c r="U47" s="74">
        <f>IF(OR(AA47,NOT(AND(D47="Should",ISNUMBER(X47),X47=0))),0,1)</f>
        <v/>
      </c>
      <c r="V47" s="74">
        <f>IF(OR(AA47,NOT(AND(D47="Should",ISNUMBER(X47),X47=1))),0,1)</f>
        <v/>
      </c>
      <c r="W47" s="74">
        <f>IF(OR(I47="",AA47),0,1)</f>
        <v/>
      </c>
      <c r="X47" s="74">
        <f>IF(I47="","",IF(UPPER(TRIM(I47&amp;""))="N/A","N/A",IF(UPPER(TRIM(I47&amp;""))="NOT TESTED","NT",IF(AND(ISNUMBER(IFERROR(VALUE(I47&amp;""),"")),OR(IFERROR(VALUE(I47&amp;""),"")=0,IFERROR(VALUE(I47&amp;""),"")=1,IFERROR(VALUE(I47&amp;""),"")=2,IFERROR(VALUE(I47&amp;""),"")=3)),IFERROR(VALUE(I47&amp;""),""),"BAD"))))</f>
        <v/>
      </c>
      <c r="Y47" s="74">
        <f>IF(OR(AA47,NOT(OR(AND(D47="Must",I47="",SUM($W$6:$W$47)&gt;0),AND(ISNUMBER(X47),X47&lt;2),AND(UPPER(TRIM(I47&amp;""))="N/A",L47&lt;&gt;"Yes"),AND(UPPER(TRIM(I47&amp;""))="NOT TESTED",M47&lt;&gt;"Yes"),AND(NOT(I47=""),NOT(UPPER(TRIM(I47&amp;""))="N/A"),NOT(UPPER(TRIM(I47&amp;""))="NOT TESTED"),NOT(AND(ISNUMBER(IFERROR(VALUE(I47&amp;""),"")),OR(IFERROR(VALUE(I47&amp;""),"")=0,IFERROR(VALUE(I47&amp;""),"")=1,IFERROR(VALUE(I47&amp;""),"")=2,IFERROR(VALUE(I47&amp;""),"")=3))))))),0,1)</f>
        <v/>
      </c>
      <c r="Z47" s="74">
        <f>IF(Y47=1,COUNTIF($Y$6:Y47,1),0)</f>
        <v/>
      </c>
      <c r="AA47" s="74">
        <f>OR(AND(LEFT(A47,1)="O",EngagementType&lt;&gt;"Overall opinion"),AND(A47="G3",StandardsEra="Before 9 January 2025"),AND(A47="E2",OR(INDEX($I$6:$I$47,MATCH("E1",$A$6:$A$47,0))=0,INDEX($I$6:$I$47,MATCH("E1",$A$6:$A$47,0))="0")),AND(A47="B2",UPPER(TRIM(INDEX($I$6:$I$47,MATCH("B1",$A$6:$A$47,0))&amp;""))="N/A"),AND(OR(A47="D1",A47="D2",A47="D3",A47="D4",A47="D5"),UPPER(TRIM(INDEX($I$6:$I$47,MATCH("C1",$A$6:$A$47,0))&amp;""))="N/A"))</f>
        <v/>
      </c>
      <c r="AB47" s="26" t="inlineStr">
        <is>
          <t>11.3</t>
        </is>
      </c>
      <c r="AC47">
        <f>IF(AND(NOT(AA47),AND(NOT(I47=""),NOT(UPPER(TRIM(I47&amp;""))="N/A"),NOT(UPPER(TRIM(I47&amp;""))="NOT TESTED"),NOT(AND(ISNUMBER(IFERROR(VALUE(I47&amp;""),"")),OR(IFERROR(VALUE(I47&amp;""),"")=0,IFERROR(VALUE(I47&amp;""),"")=1,IFERROR(VALUE(I47&amp;""),"")=2,IFERROR(VALUE(I47&amp;""),"")=3))))),1,0)</f>
        <v/>
      </c>
    </row>
  </sheetData>
  <sheetProtection selectLockedCells="1" selectUnlockedCells="1" sheet="1" objects="0" insertRows="0" insertHyperlinks="1" autoFilter="1" scenarios="0" formatColumns="1" deleteColumns="0" insertColumns="0" pivotTables="1" deleteRows="0" formatCells="1" formatRows="1" sort="1"/>
  <autoFilter ref="A5:O47"/>
  <mergeCells count="3">
    <mergeCell ref="A1:O1"/>
    <mergeCell ref="A3:O3"/>
    <mergeCell ref="A2:O2"/>
  </mergeCells>
  <conditionalFormatting sqref="I6:I47">
    <cfRule type="expression" priority="1" dxfId="16">
      <formula>OR(I6=3,I6="3")</formula>
    </cfRule>
    <cfRule type="expression" priority="2" dxfId="15">
      <formula>OR(I6=2,I6="2")</formula>
    </cfRule>
    <cfRule type="expression" priority="3" dxfId="14">
      <formula>OR(I6=1,I6="1")</formula>
    </cfRule>
    <cfRule type="expression" priority="4" dxfId="13">
      <formula>OR(I6=0,I6="0")</formula>
    </cfRule>
    <cfRule type="expression" priority="5" dxfId="12">
      <formula>AND(UPPER(I6&amp;"")="N/A",L6="Yes")</formula>
    </cfRule>
    <cfRule type="expression" priority="6" dxfId="11">
      <formula>AND(UPPER(I6&amp;"")="NOT TESTED",M6="Yes")</formula>
    </cfRule>
    <cfRule type="expression" priority="7" dxfId="10">
      <formula>OR(AND(UPPER(I6&amp;"")="N/A",L6&lt;&gt;"Yes"),AND(UPPER(I6&amp;"")="NOT TESTED",M6&lt;&gt;"Yes"))</formula>
    </cfRule>
  </conditionalFormatting>
  <conditionalFormatting sqref="K6:K47">
    <cfRule type="expression" priority="8" dxfId="0">
      <formula>AND(OR(I6=0,I6="0",I6=1,I6="1",UPPER(I6&amp;"")="N/A",UPPER(I6&amp;"")="NOT TESTED"),K6="")</formula>
    </cfRule>
  </conditionalFormatting>
  <dataValidations count="1">
    <dataValidation sqref="I6:I47" showDropDown="0" showInputMessage="1" showErrorMessage="1" allowBlank="1" errorTitle="Score" error="Use 3, 2, 1, 0, N/A, or Not tested." promptTitle="Score" prompt="3 strong, 2 met, 1 partly met, 0 not met. N/A and Not tested only where the columns say Yes." type="list">
      <formula1>"3,2,1,0,N/A,Not tested"</formula1>
    </dataValidation>
  </dataValidations>
  <printOptions horizontalCentered="1"/>
  <pageMargins left="0.4" right="0.4" top="0.55" bottom="0.45" header="0.22" footer="0.25"/>
  <pageSetup orientation="landscape" paperSize="3" fitToHeight="0"/>
  <headerFooter>
    <oddHeader>&amp;LGIAS 2024 report evaluation&amp;R&amp;"Calibri"&amp;9 Majid Mumtaz (CIA, ACA, FCCA) | Veritux Advisory | The Audit Signal</oddHeader>
    <oddFooter>&amp;LYellow cells are inputs. Scores follow the Global Internal Audit Standards (2024).&amp;RPage &amp;P of &amp;N</oddFooter>
    <evenHeader/>
    <evenFooter/>
    <firstHeader/>
    <firstFooter/>
  </headerFooter>
</worksheet>
</file>

<file path=xl/worksheets/sheet4.xml><?xml version="1.0" encoding="utf-8"?>
<worksheet xmlns="http://schemas.openxmlformats.org/spreadsheetml/2006/main">
  <sheetPr>
    <tabColor rgb="FF9A6B2F"/>
    <outlinePr summaryBelow="1" summaryRight="1"/>
    <pageSetUpPr fitToPage="1"/>
  </sheetPr>
  <dimension ref="A1:L39"/>
  <sheetViews>
    <sheetView showGridLines="0" workbookViewId="0">
      <pane ySplit="7" topLeftCell="A8" activePane="bottomLeft" state="frozen"/>
      <selection pane="bottomLeft" activeCell="A1" sqref="A1"/>
    </sheetView>
  </sheetViews>
  <sheetFormatPr baseColWidth="8" defaultRowHeight="14.5"/>
  <cols>
    <col width="32" customWidth="1" style="79" min="1" max="1"/>
    <col width="16" customWidth="1" style="79" min="2" max="3"/>
    <col width="22" customWidth="1" style="79" min="4" max="4"/>
    <col width="32" customWidth="1" style="79" min="5" max="5"/>
    <col width="22" customWidth="1" style="79" min="6" max="6"/>
    <col width="18" customWidth="1" style="79" min="7" max="7"/>
    <col width="22" customWidth="1" style="79" min="8" max="8"/>
    <col width="24" customWidth="1" style="79" min="9" max="9"/>
    <col width="28" customWidth="1" style="79" min="10" max="10"/>
    <col width="16" customWidth="1" style="79" min="11" max="11"/>
  </cols>
  <sheetData>
    <row r="1" ht="26" customHeight="1" s="79">
      <c r="A1" s="78" t="inlineStr">
        <is>
          <t>Finding-level test</t>
        </is>
      </c>
    </row>
    <row r="2" ht="36" customHeight="1" s="79">
      <c r="A2" s="97" t="inlineStr">
        <is>
          <t>One row per finding, up to 20. Y = present and usable. P = present but weak. N = absent or wrong. Map these columns to C1, C2, C3, C4, C5, and D1. The matrix remains the scored record. If there are more than 20 findings, record the pattern on the matrix rather than adding a row.</t>
        </is>
      </c>
    </row>
    <row r="3" ht="15.5" customHeight="1" s="79">
      <c r="A3" s="108">
        <f>IF(ReportTitle="","","Report: "&amp;ReportTitle)</f>
        <v/>
      </c>
    </row>
    <row r="5" ht="18.5" customHeight="1" s="79">
      <c r="A5" s="100" t="inlineStr">
        <is>
          <t>Findings logged</t>
        </is>
      </c>
      <c r="B5" s="62">
        <f>COUNTA(A8:A27)</f>
        <v/>
      </c>
      <c r="C5" s="100" t="inlineStr">
        <is>
          <t>N on cause</t>
        </is>
      </c>
      <c r="D5" s="62">
        <f>COUNTIF(E8:E27,"N")</f>
        <v/>
      </c>
      <c r="E5" s="100" t="inlineStr">
        <is>
          <t>N on effect</t>
        </is>
      </c>
      <c r="F5" s="62">
        <f>COUNTIF(F8:F27,"N")</f>
        <v/>
      </c>
      <c r="G5" s="100" t="inlineStr">
        <is>
          <t>Average / 2</t>
        </is>
      </c>
      <c r="H5" s="62">
        <f>IF(COUNT(K8:K27)=0,"—",ROUND(AVERAGE(K8:K27),2))</f>
        <v/>
      </c>
    </row>
    <row r="7" ht="32" customHeight="1" s="79">
      <c r="A7" s="20" t="inlineStr">
        <is>
          <t>Finding title</t>
        </is>
      </c>
      <c r="B7" s="20" t="inlineStr">
        <is>
          <t>Priority in the report</t>
        </is>
      </c>
      <c r="C7" s="20" t="inlineStr">
        <is>
          <t>Criteria named</t>
        </is>
      </c>
      <c r="D7" s="20" t="inlineStr">
        <is>
          <t>Condition against criteria</t>
        </is>
      </c>
      <c r="E7" s="20" t="inlineStr">
        <is>
          <t>Root cause, or why it could not be found</t>
        </is>
      </c>
      <c r="F7" s="20" t="inlineStr">
        <is>
          <t>Effect</t>
        </is>
      </c>
      <c r="G7" s="20" t="inlineStr">
        <is>
          <t>Priority is defined</t>
        </is>
      </c>
      <c r="H7" s="20" t="inlineStr">
        <is>
          <t>Evidence a reader can see</t>
        </is>
      </c>
      <c r="I7" s="20" t="inlineStr">
        <is>
          <t>Action addresses the cause</t>
        </is>
      </c>
      <c r="J7" s="20" t="inlineStr">
        <is>
          <t>Reviewer note</t>
        </is>
      </c>
      <c r="K7" s="20" t="inlineStr">
        <is>
          <t>Attribute score / 2</t>
        </is>
      </c>
    </row>
    <row r="8" ht="20" customHeight="1" s="79">
      <c r="A8" s="77" t="n"/>
      <c r="B8" s="77" t="n"/>
      <c r="C8" s="77" t="n"/>
      <c r="D8" s="77" t="n"/>
      <c r="E8" s="77" t="n"/>
      <c r="F8" s="77" t="n"/>
      <c r="G8" s="77" t="n"/>
      <c r="H8" s="77" t="n"/>
      <c r="I8" s="77" t="n"/>
      <c r="J8" s="77" t="n"/>
      <c r="K8" s="63">
        <f>IF(COUNTIF(C8:I8,"Y")+COUNTIF(C8:I8,"P")+COUNTIF(C8:I8,"N")=0,"",ROUND((COUNTIF(C8:I8,"Y")*2+COUNTIF(C8:I8,"P"))/(COUNTIF(C8:I8,"Y")+COUNTIF(C8:I8,"P")+COUNTIF(C8:I8,"N")),2))</f>
        <v/>
      </c>
    </row>
    <row r="9" ht="20" customHeight="1" s="79">
      <c r="A9" s="77" t="n"/>
      <c r="B9" s="77" t="n"/>
      <c r="C9" s="77" t="n"/>
      <c r="D9" s="77" t="n"/>
      <c r="E9" s="77" t="n"/>
      <c r="F9" s="77" t="n"/>
      <c r="G9" s="77" t="n"/>
      <c r="H9" s="77" t="n"/>
      <c r="I9" s="77" t="n"/>
      <c r="J9" s="77" t="n"/>
      <c r="K9" s="63">
        <f>IF(COUNTIF(C9:I9,"Y")+COUNTIF(C9:I9,"P")+COUNTIF(C9:I9,"N")=0,"",ROUND((COUNTIF(C9:I9,"Y")*2+COUNTIF(C9:I9,"P"))/(COUNTIF(C9:I9,"Y")+COUNTIF(C9:I9,"P")+COUNTIF(C9:I9,"N")),2))</f>
        <v/>
      </c>
    </row>
    <row r="10" ht="20" customHeight="1" s="79">
      <c r="A10" s="77" t="n"/>
      <c r="B10" s="77" t="n"/>
      <c r="C10" s="77" t="n"/>
      <c r="D10" s="77" t="n"/>
      <c r="E10" s="77" t="n"/>
      <c r="F10" s="77" t="n"/>
      <c r="G10" s="77" t="n"/>
      <c r="H10" s="77" t="n"/>
      <c r="I10" s="77" t="n"/>
      <c r="J10" s="77" t="n"/>
      <c r="K10" s="63">
        <f>IF(COUNTIF(C10:I10,"Y")+COUNTIF(C10:I10,"P")+COUNTIF(C10:I10,"N")=0,"",ROUND((COUNTIF(C10:I10,"Y")*2+COUNTIF(C10:I10,"P"))/(COUNTIF(C10:I10,"Y")+COUNTIF(C10:I10,"P")+COUNTIF(C10:I10,"N")),2))</f>
        <v/>
      </c>
    </row>
    <row r="11" ht="20" customHeight="1" s="79">
      <c r="A11" s="77" t="n"/>
      <c r="B11" s="77" t="n"/>
      <c r="C11" s="77" t="n"/>
      <c r="D11" s="77" t="n"/>
      <c r="E11" s="77" t="n"/>
      <c r="F11" s="77" t="n"/>
      <c r="G11" s="77" t="n"/>
      <c r="H11" s="77" t="n"/>
      <c r="I11" s="77" t="n"/>
      <c r="J11" s="77" t="n"/>
      <c r="K11" s="63">
        <f>IF(COUNTIF(C11:I11,"Y")+COUNTIF(C11:I11,"P")+COUNTIF(C11:I11,"N")=0,"",ROUND((COUNTIF(C11:I11,"Y")*2+COUNTIF(C11:I11,"P"))/(COUNTIF(C11:I11,"Y")+COUNTIF(C11:I11,"P")+COUNTIF(C11:I11,"N")),2))</f>
        <v/>
      </c>
    </row>
    <row r="12" ht="20" customHeight="1" s="79">
      <c r="A12" s="77" t="n"/>
      <c r="B12" s="77" t="n"/>
      <c r="C12" s="77" t="n"/>
      <c r="D12" s="77" t="n"/>
      <c r="E12" s="77" t="n"/>
      <c r="F12" s="77" t="n"/>
      <c r="G12" s="77" t="n"/>
      <c r="H12" s="77" t="n"/>
      <c r="I12" s="77" t="n"/>
      <c r="J12" s="77" t="n"/>
      <c r="K12" s="63">
        <f>IF(COUNTIF(C12:I12,"Y")+COUNTIF(C12:I12,"P")+COUNTIF(C12:I12,"N")=0,"",ROUND((COUNTIF(C12:I12,"Y")*2+COUNTIF(C12:I12,"P"))/(COUNTIF(C12:I12,"Y")+COUNTIF(C12:I12,"P")+COUNTIF(C12:I12,"N")),2))</f>
        <v/>
      </c>
    </row>
    <row r="13" ht="20" customHeight="1" s="79">
      <c r="A13" s="77" t="n"/>
      <c r="B13" s="77" t="n"/>
      <c r="C13" s="77" t="n"/>
      <c r="D13" s="77" t="n"/>
      <c r="E13" s="77" t="n"/>
      <c r="F13" s="77" t="n"/>
      <c r="G13" s="77" t="n"/>
      <c r="H13" s="77" t="n"/>
      <c r="I13" s="77" t="n"/>
      <c r="J13" s="77" t="n"/>
      <c r="K13" s="63">
        <f>IF(COUNTIF(C13:I13,"Y")+COUNTIF(C13:I13,"P")+COUNTIF(C13:I13,"N")=0,"",ROUND((COUNTIF(C13:I13,"Y")*2+COUNTIF(C13:I13,"P"))/(COUNTIF(C13:I13,"Y")+COUNTIF(C13:I13,"P")+COUNTIF(C13:I13,"N")),2))</f>
        <v/>
      </c>
    </row>
    <row r="14" ht="20" customHeight="1" s="79">
      <c r="A14" s="77" t="n"/>
      <c r="B14" s="77" t="n"/>
      <c r="C14" s="77" t="n"/>
      <c r="D14" s="77" t="n"/>
      <c r="E14" s="77" t="n"/>
      <c r="F14" s="77" t="n"/>
      <c r="G14" s="77" t="n"/>
      <c r="H14" s="77" t="n"/>
      <c r="I14" s="77" t="n"/>
      <c r="J14" s="77" t="n"/>
      <c r="K14" s="63">
        <f>IF(COUNTIF(C14:I14,"Y")+COUNTIF(C14:I14,"P")+COUNTIF(C14:I14,"N")=0,"",ROUND((COUNTIF(C14:I14,"Y")*2+COUNTIF(C14:I14,"P"))/(COUNTIF(C14:I14,"Y")+COUNTIF(C14:I14,"P")+COUNTIF(C14:I14,"N")),2))</f>
        <v/>
      </c>
    </row>
    <row r="15" ht="20" customHeight="1" s="79">
      <c r="A15" s="77" t="n"/>
      <c r="B15" s="77" t="n"/>
      <c r="C15" s="77" t="n"/>
      <c r="D15" s="77" t="n"/>
      <c r="E15" s="77" t="n"/>
      <c r="F15" s="77" t="n"/>
      <c r="G15" s="77" t="n"/>
      <c r="H15" s="77" t="n"/>
      <c r="I15" s="77" t="n"/>
      <c r="J15" s="77" t="n"/>
      <c r="K15" s="63">
        <f>IF(COUNTIF(C15:I15,"Y")+COUNTIF(C15:I15,"P")+COUNTIF(C15:I15,"N")=0,"",ROUND((COUNTIF(C15:I15,"Y")*2+COUNTIF(C15:I15,"P"))/(COUNTIF(C15:I15,"Y")+COUNTIF(C15:I15,"P")+COUNTIF(C15:I15,"N")),2))</f>
        <v/>
      </c>
    </row>
    <row r="16" ht="20" customHeight="1" s="79">
      <c r="A16" s="77" t="n"/>
      <c r="B16" s="77" t="n"/>
      <c r="C16" s="77" t="n"/>
      <c r="D16" s="77" t="n"/>
      <c r="E16" s="77" t="n"/>
      <c r="F16" s="77" t="n"/>
      <c r="G16" s="77" t="n"/>
      <c r="H16" s="77" t="n"/>
      <c r="I16" s="77" t="n"/>
      <c r="J16" s="77" t="n"/>
      <c r="K16" s="63">
        <f>IF(COUNTIF(C16:I16,"Y")+COUNTIF(C16:I16,"P")+COUNTIF(C16:I16,"N")=0,"",ROUND((COUNTIF(C16:I16,"Y")*2+COUNTIF(C16:I16,"P"))/(COUNTIF(C16:I16,"Y")+COUNTIF(C16:I16,"P")+COUNTIF(C16:I16,"N")),2))</f>
        <v/>
      </c>
    </row>
    <row r="17" ht="20" customHeight="1" s="79">
      <c r="A17" s="77" t="n"/>
      <c r="B17" s="77" t="n"/>
      <c r="C17" s="77" t="n"/>
      <c r="D17" s="77" t="n"/>
      <c r="E17" s="77" t="n"/>
      <c r="F17" s="77" t="n"/>
      <c r="G17" s="77" t="n"/>
      <c r="H17" s="77" t="n"/>
      <c r="I17" s="77" t="n"/>
      <c r="J17" s="77" t="n"/>
      <c r="K17" s="63">
        <f>IF(COUNTIF(C17:I17,"Y")+COUNTIF(C17:I17,"P")+COUNTIF(C17:I17,"N")=0,"",ROUND((COUNTIF(C17:I17,"Y")*2+COUNTIF(C17:I17,"P"))/(COUNTIF(C17:I17,"Y")+COUNTIF(C17:I17,"P")+COUNTIF(C17:I17,"N")),2))</f>
        <v/>
      </c>
    </row>
    <row r="18" ht="20" customHeight="1" s="79">
      <c r="A18" s="77" t="n"/>
      <c r="B18" s="77" t="n"/>
      <c r="C18" s="77" t="n"/>
      <c r="D18" s="77" t="n"/>
      <c r="E18" s="77" t="n"/>
      <c r="F18" s="77" t="n"/>
      <c r="G18" s="77" t="n"/>
      <c r="H18" s="77" t="n"/>
      <c r="I18" s="77" t="n"/>
      <c r="J18" s="77" t="n"/>
      <c r="K18" s="63">
        <f>IF(COUNTIF(C18:I18,"Y")+COUNTIF(C18:I18,"P")+COUNTIF(C18:I18,"N")=0,"",ROUND((COUNTIF(C18:I18,"Y")*2+COUNTIF(C18:I18,"P"))/(COUNTIF(C18:I18,"Y")+COUNTIF(C18:I18,"P")+COUNTIF(C18:I18,"N")),2))</f>
        <v/>
      </c>
    </row>
    <row r="19" ht="20" customHeight="1" s="79">
      <c r="A19" s="77" t="n"/>
      <c r="B19" s="77" t="n"/>
      <c r="C19" s="77" t="n"/>
      <c r="D19" s="77" t="n"/>
      <c r="E19" s="77" t="n"/>
      <c r="F19" s="77" t="n"/>
      <c r="G19" s="77" t="n"/>
      <c r="H19" s="77" t="n"/>
      <c r="I19" s="77" t="n"/>
      <c r="J19" s="77" t="n"/>
      <c r="K19" s="63">
        <f>IF(COUNTIF(C19:I19,"Y")+COUNTIF(C19:I19,"P")+COUNTIF(C19:I19,"N")=0,"",ROUND((COUNTIF(C19:I19,"Y")*2+COUNTIF(C19:I19,"P"))/(COUNTIF(C19:I19,"Y")+COUNTIF(C19:I19,"P")+COUNTIF(C19:I19,"N")),2))</f>
        <v/>
      </c>
    </row>
    <row r="20" ht="20" customHeight="1" s="79">
      <c r="A20" s="77" t="n"/>
      <c r="B20" s="77" t="n"/>
      <c r="C20" s="77" t="n"/>
      <c r="D20" s="77" t="n"/>
      <c r="E20" s="77" t="n"/>
      <c r="F20" s="77" t="n"/>
      <c r="G20" s="77" t="n"/>
      <c r="H20" s="77" t="n"/>
      <c r="I20" s="77" t="n"/>
      <c r="J20" s="77" t="n"/>
      <c r="K20" s="63">
        <f>IF(COUNTIF(C20:I20,"Y")+COUNTIF(C20:I20,"P")+COUNTIF(C20:I20,"N")=0,"",ROUND((COUNTIF(C20:I20,"Y")*2+COUNTIF(C20:I20,"P"))/(COUNTIF(C20:I20,"Y")+COUNTIF(C20:I20,"P")+COUNTIF(C20:I20,"N")),2))</f>
        <v/>
      </c>
    </row>
    <row r="21" ht="20" customHeight="1" s="79">
      <c r="A21" s="77" t="n"/>
      <c r="B21" s="77" t="n"/>
      <c r="C21" s="77" t="n"/>
      <c r="D21" s="77" t="n"/>
      <c r="E21" s="77" t="n"/>
      <c r="F21" s="77" t="n"/>
      <c r="G21" s="77" t="n"/>
      <c r="H21" s="77" t="n"/>
      <c r="I21" s="77" t="n"/>
      <c r="J21" s="77" t="n"/>
      <c r="K21" s="63">
        <f>IF(COUNTIF(C21:I21,"Y")+COUNTIF(C21:I21,"P")+COUNTIF(C21:I21,"N")=0,"",ROUND((COUNTIF(C21:I21,"Y")*2+COUNTIF(C21:I21,"P"))/(COUNTIF(C21:I21,"Y")+COUNTIF(C21:I21,"P")+COUNTIF(C21:I21,"N")),2))</f>
        <v/>
      </c>
    </row>
    <row r="22" ht="20" customHeight="1" s="79">
      <c r="A22" s="77" t="n"/>
      <c r="B22" s="77" t="n"/>
      <c r="C22" s="77" t="n"/>
      <c r="D22" s="77" t="n"/>
      <c r="E22" s="77" t="n"/>
      <c r="F22" s="77" t="n"/>
      <c r="G22" s="77" t="n"/>
      <c r="H22" s="77" t="n"/>
      <c r="I22" s="77" t="n"/>
      <c r="J22" s="77" t="n"/>
      <c r="K22" s="63">
        <f>IF(COUNTIF(C22:I22,"Y")+COUNTIF(C22:I22,"P")+COUNTIF(C22:I22,"N")=0,"",ROUND((COUNTIF(C22:I22,"Y")*2+COUNTIF(C22:I22,"P"))/(COUNTIF(C22:I22,"Y")+COUNTIF(C22:I22,"P")+COUNTIF(C22:I22,"N")),2))</f>
        <v/>
      </c>
    </row>
    <row r="23" ht="20" customHeight="1" s="79">
      <c r="A23" s="77" t="n"/>
      <c r="B23" s="77" t="n"/>
      <c r="C23" s="77" t="n"/>
      <c r="D23" s="77" t="n"/>
      <c r="E23" s="77" t="n"/>
      <c r="F23" s="77" t="n"/>
      <c r="G23" s="77" t="n"/>
      <c r="H23" s="77" t="n"/>
      <c r="I23" s="77" t="n"/>
      <c r="J23" s="77" t="n"/>
      <c r="K23" s="63">
        <f>IF(COUNTIF(C23:I23,"Y")+COUNTIF(C23:I23,"P")+COUNTIF(C23:I23,"N")=0,"",ROUND((COUNTIF(C23:I23,"Y")*2+COUNTIF(C23:I23,"P"))/(COUNTIF(C23:I23,"Y")+COUNTIF(C23:I23,"P")+COUNTIF(C23:I23,"N")),2))</f>
        <v/>
      </c>
    </row>
    <row r="24" ht="20" customHeight="1" s="79">
      <c r="A24" s="77" t="n"/>
      <c r="B24" s="77" t="n"/>
      <c r="C24" s="77" t="n"/>
      <c r="D24" s="77" t="n"/>
      <c r="E24" s="77" t="n"/>
      <c r="F24" s="77" t="n"/>
      <c r="G24" s="77" t="n"/>
      <c r="H24" s="77" t="n"/>
      <c r="I24" s="77" t="n"/>
      <c r="J24" s="77" t="n"/>
      <c r="K24" s="63">
        <f>IF(COUNTIF(C24:I24,"Y")+COUNTIF(C24:I24,"P")+COUNTIF(C24:I24,"N")=0,"",ROUND((COUNTIF(C24:I24,"Y")*2+COUNTIF(C24:I24,"P"))/(COUNTIF(C24:I24,"Y")+COUNTIF(C24:I24,"P")+COUNTIF(C24:I24,"N")),2))</f>
        <v/>
      </c>
    </row>
    <row r="25" ht="20" customHeight="1" s="79">
      <c r="A25" s="77" t="n"/>
      <c r="B25" s="77" t="n"/>
      <c r="C25" s="77" t="n"/>
      <c r="D25" s="77" t="n"/>
      <c r="E25" s="77" t="n"/>
      <c r="F25" s="77" t="n"/>
      <c r="G25" s="77" t="n"/>
      <c r="H25" s="77" t="n"/>
      <c r="I25" s="77" t="n"/>
      <c r="J25" s="77" t="n"/>
      <c r="K25" s="63">
        <f>IF(COUNTIF(C25:I25,"Y")+COUNTIF(C25:I25,"P")+COUNTIF(C25:I25,"N")=0,"",ROUND((COUNTIF(C25:I25,"Y")*2+COUNTIF(C25:I25,"P"))/(COUNTIF(C25:I25,"Y")+COUNTIF(C25:I25,"P")+COUNTIF(C25:I25,"N")),2))</f>
        <v/>
      </c>
    </row>
    <row r="26" ht="20" customHeight="1" s="79">
      <c r="A26" s="77" t="n"/>
      <c r="B26" s="77" t="n"/>
      <c r="C26" s="77" t="n"/>
      <c r="D26" s="77" t="n"/>
      <c r="E26" s="77" t="n"/>
      <c r="F26" s="77" t="n"/>
      <c r="G26" s="77" t="n"/>
      <c r="H26" s="77" t="n"/>
      <c r="I26" s="77" t="n"/>
      <c r="J26" s="77" t="n"/>
      <c r="K26" s="63">
        <f>IF(COUNTIF(C26:I26,"Y")+COUNTIF(C26:I26,"P")+COUNTIF(C26:I26,"N")=0,"",ROUND((COUNTIF(C26:I26,"Y")*2+COUNTIF(C26:I26,"P"))/(COUNTIF(C26:I26,"Y")+COUNTIF(C26:I26,"P")+COUNTIF(C26:I26,"N")),2))</f>
        <v/>
      </c>
    </row>
    <row r="27" ht="20" customHeight="1" s="79">
      <c r="A27" s="77" t="n"/>
      <c r="B27" s="77" t="n"/>
      <c r="C27" s="77" t="n"/>
      <c r="D27" s="77" t="n"/>
      <c r="E27" s="77" t="n"/>
      <c r="F27" s="77" t="n"/>
      <c r="G27" s="77" t="n"/>
      <c r="H27" s="77" t="n"/>
      <c r="I27" s="77" t="n"/>
      <c r="J27" s="77" t="n"/>
      <c r="K27" s="63">
        <f>IF(COUNTIF(C27:I27,"Y")+COUNTIF(C27:I27,"P")+COUNTIF(C27:I27,"N")=0,"",ROUND((COUNTIF(C27:I27,"Y")*2+COUNTIF(C27:I27,"P"))/(COUNTIF(C27:I27,"Y")+COUNTIF(C27:I27,"P")+COUNTIF(C27:I27,"N")),2))</f>
        <v/>
      </c>
    </row>
    <row r="29" ht="32" customHeight="1" s="79">
      <c r="A29" s="110" t="inlineStr">
        <is>
          <t>Carry a pattern into the matrix. Several significant findings with N on cause: score C2 as 1. A single housekeeping finding can stay at 2 on the matrix when the significant findings are sound. Blank owners on a final report score D2 as 0. Blank owners on a draft score Not tested.</t>
        </is>
      </c>
    </row>
    <row r="31" ht="20" customHeight="1" s="79">
      <c r="A31" s="109" t="inlineStr">
        <is>
          <t>Cross-reference to the matrix. The suggestion is a formula from the Y, P and N marks. It does not change the score on 3. Matrix.</t>
        </is>
      </c>
    </row>
    <row r="32" ht="29" customHeight="1" s="79">
      <c r="A32" s="20" t="inlineStr">
        <is>
          <t>Matrix line</t>
        </is>
      </c>
      <c r="B32" s="20" t="inlineStr">
        <is>
          <t>Suggested score</t>
        </is>
      </c>
      <c r="C32" s="20" t="inlineStr">
        <is>
          <t>Score entered on the matrix</t>
        </is>
      </c>
      <c r="D32" s="20" t="inlineStr">
        <is>
          <t>Same</t>
        </is>
      </c>
      <c r="E32" s="20" t="inlineStr">
        <is>
          <t>Standard, from the matrix</t>
        </is>
      </c>
    </row>
    <row r="33" ht="28" customHeight="1" s="79">
      <c r="A33" s="72">
        <f>INDEX('3. Matrix'!$A$6:$A$47,MATCH("B1",'3. Matrix'!$A$6:$A$47,0))</f>
        <v/>
      </c>
      <c r="B33" s="75">
        <f>IF(COUNTIF(C8:C27,"Y")+COUNTIF(C8:C27,"P")+COUNTIF(C8:C27,"N")=0,"",IF(COUNTIF(C8:C27,"N")=COUNTIF(C8:C27,"Y")+COUNTIF(C8:C27,"P")+COUNTIF(C8:C27,"N"),0,IF(OR(COUNTIF(C8:C27,"N")&gt;0,COUNTIF(C8:C27,"P")&gt;0),1,2)))</f>
        <v/>
      </c>
      <c r="C33" s="75">
        <f>IFERROR(INDEX('3. Matrix'!$I$6:$I$47,MATCH(A33,'3. Matrix'!$A$6:$A$47,0)),"")</f>
        <v/>
      </c>
      <c r="D33" s="75">
        <f>IF(OR(B33="",C33=""),"",IF(B33&amp;""=C33&amp;"","Yes","Check"))</f>
        <v/>
      </c>
      <c r="E33" s="75">
        <f>IFERROR(INDEX('3. Matrix'!$G$6:$G$47,MATCH(A33,'3. Matrix'!$A$6:$A$47,0)),"")</f>
        <v/>
      </c>
    </row>
    <row r="34" ht="28" customHeight="1" s="79">
      <c r="A34" s="72">
        <f>INDEX('3. Matrix'!$A$6:$A$47,MATCH("C1",'3. Matrix'!$A$6:$A$47,0))</f>
        <v/>
      </c>
      <c r="B34" s="75">
        <f>IF(COUNTIF(D8:D27,"Y")+COUNTIF(D8:D27,"P")+COUNTIF(D8:D27,"N")=0,"",IF(COUNTIF(D8:D27,"N")=COUNTIF(D8:D27,"Y")+COUNTIF(D8:D27,"P")+COUNTIF(D8:D27,"N"),0,IF(OR(COUNTIF(D8:D27,"N")&gt;0,COUNTIF(D8:D27,"P")&gt;0),1,2)))</f>
        <v/>
      </c>
      <c r="C34" s="75">
        <f>IFERROR(INDEX('3. Matrix'!$I$6:$I$47,MATCH(A34,'3. Matrix'!$A$6:$A$47,0)),"")</f>
        <v/>
      </c>
      <c r="D34" s="75">
        <f>IF(OR(B34="",C34=""),"",IF(B34&amp;""=C34&amp;"","Yes","Check"))</f>
        <v/>
      </c>
      <c r="E34" s="75">
        <f>IFERROR(INDEX('3. Matrix'!$G$6:$G$47,MATCH(A34,'3. Matrix'!$A$6:$A$47,0)),"")</f>
        <v/>
      </c>
    </row>
    <row r="35" ht="28" customHeight="1" s="79">
      <c r="A35" s="72">
        <f>INDEX('3. Matrix'!$A$6:$A$47,MATCH("C2",'3. Matrix'!$A$6:$A$47,0))</f>
        <v/>
      </c>
      <c r="B35" s="75">
        <f>IF(COUNTIF(E8:E27,"Y")+COUNTIF(E8:E27,"P")+COUNTIF(E8:E27,"N")=0,"",IF(COUNTIF(E8:E27,"N")=COUNTIF(E8:E27,"Y")+COUNTIF(E8:E27,"P")+COUNTIF(E8:E27,"N"),0,IF(OR(COUNTIF(E8:E27,"N")&gt;0,COUNTIF(E8:E27,"P")&gt;0),1,2)))</f>
        <v/>
      </c>
      <c r="C35" s="75">
        <f>IFERROR(INDEX('3. Matrix'!$I$6:$I$47,MATCH(A35,'3. Matrix'!$A$6:$A$47,0)),"")</f>
        <v/>
      </c>
      <c r="D35" s="75">
        <f>IF(OR(B35="",C35=""),"",IF(B35&amp;""=C35&amp;"","Yes","Check"))</f>
        <v/>
      </c>
      <c r="E35" s="75">
        <f>IFERROR(INDEX('3. Matrix'!$G$6:$G$47,MATCH(A35,'3. Matrix'!$A$6:$A$47,0)),"")</f>
        <v/>
      </c>
    </row>
    <row r="36" ht="28" customHeight="1" s="79">
      <c r="A36" s="72">
        <f>INDEX('3. Matrix'!$A$6:$A$47,MATCH("C3",'3. Matrix'!$A$6:$A$47,0))</f>
        <v/>
      </c>
      <c r="B36" s="75">
        <f>IF(COUNTIF(F8:F27,"Y")+COUNTIF(F8:F27,"P")+COUNTIF(F8:F27,"N")=0,"",IF(COUNTIF(F8:F27,"N")=COUNTIF(F8:F27,"Y")+COUNTIF(F8:F27,"P")+COUNTIF(F8:F27,"N"),0,IF(OR(COUNTIF(F8:F27,"N")&gt;0,COUNTIF(F8:F27,"P")&gt;0),1,2)))</f>
        <v/>
      </c>
      <c r="C36" s="75">
        <f>IFERROR(INDEX('3. Matrix'!$I$6:$I$47,MATCH(A36,'3. Matrix'!$A$6:$A$47,0)),"")</f>
        <v/>
      </c>
      <c r="D36" s="75">
        <f>IF(OR(B36="",C36=""),"",IF(B36&amp;""=C36&amp;"","Yes","Check"))</f>
        <v/>
      </c>
      <c r="E36" s="75">
        <f>IFERROR(INDEX('3. Matrix'!$G$6:$G$47,MATCH(A36,'3. Matrix'!$A$6:$A$47,0)),"")</f>
        <v/>
      </c>
    </row>
    <row r="37" ht="28" customHeight="1" s="79">
      <c r="A37" s="72">
        <f>INDEX('3. Matrix'!$A$6:$A$47,MATCH("C4",'3. Matrix'!$A$6:$A$47,0))</f>
        <v/>
      </c>
      <c r="B37" s="75">
        <f>IF(COUNTIF(G8:G27,"Y")+COUNTIF(G8:G27,"P")+COUNTIF(G8:G27,"N")=0,"",IF(COUNTIF(G8:G27,"N")=COUNTIF(G8:G27,"Y")+COUNTIF(G8:G27,"P")+COUNTIF(G8:G27,"N"),0,IF(OR(COUNTIF(G8:G27,"N")&gt;0,COUNTIF(G8:G27,"P")&gt;0),1,2)))</f>
        <v/>
      </c>
      <c r="C37" s="75">
        <f>IFERROR(INDEX('3. Matrix'!$I$6:$I$47,MATCH(A37,'3. Matrix'!$A$6:$A$47,0)),"")</f>
        <v/>
      </c>
      <c r="D37" s="75">
        <f>IF(OR(B37="",C37=""),"",IF(B37&amp;""=C37&amp;"","Yes","Check"))</f>
        <v/>
      </c>
      <c r="E37" s="75">
        <f>IFERROR(INDEX('3. Matrix'!$G$6:$G$47,MATCH(A37,'3. Matrix'!$A$6:$A$47,0)),"")</f>
        <v/>
      </c>
    </row>
    <row r="38" ht="28" customHeight="1" s="79">
      <c r="A38" s="72">
        <f>INDEX('3. Matrix'!$A$6:$A$47,MATCH("C5",'3. Matrix'!$A$6:$A$47,0))</f>
        <v/>
      </c>
      <c r="B38" s="75">
        <f>IF(COUNTIF(H8:H27,"Y")+COUNTIF(H8:H27,"P")+COUNTIF(H8:H27,"N")=0,"",IF(COUNTIF(H8:H27,"N")=COUNTIF(H8:H27,"Y")+COUNTIF(H8:H27,"P")+COUNTIF(H8:H27,"N"),0,IF(OR(COUNTIF(H8:H27,"N")&gt;0,COUNTIF(H8:H27,"P")&gt;0),1,2)))</f>
        <v/>
      </c>
      <c r="C38" s="75">
        <f>IFERROR(INDEX('3. Matrix'!$I$6:$I$47,MATCH(A38,'3. Matrix'!$A$6:$A$47,0)),"")</f>
        <v/>
      </c>
      <c r="D38" s="75">
        <f>IF(OR(B38="",C38=""),"",IF(B38&amp;""=C38&amp;"","Yes","Check"))</f>
        <v/>
      </c>
      <c r="E38" s="75">
        <f>IFERROR(INDEX('3. Matrix'!$G$6:$G$47,MATCH(A38,'3. Matrix'!$A$6:$A$47,0)),"")</f>
        <v/>
      </c>
    </row>
    <row r="39" ht="28" customHeight="1" s="79">
      <c r="A39" s="72">
        <f>INDEX('3. Matrix'!$A$6:$A$47,MATCH("D1",'3. Matrix'!$A$6:$A$47,0))</f>
        <v/>
      </c>
      <c r="B39" s="75">
        <f>IF(COUNTIF(I8:I27,"Y")+COUNTIF(I8:I27,"P")+COUNTIF(I8:I27,"N")=0,"",IF(COUNTIF(I8:I27,"N")=COUNTIF(I8:I27,"Y")+COUNTIF(I8:I27,"P")+COUNTIF(I8:I27,"N"),0,IF(OR(COUNTIF(I8:I27,"N")&gt;0,COUNTIF(I8:I27,"P")&gt;0),1,2)))</f>
        <v/>
      </c>
      <c r="C39" s="75">
        <f>IFERROR(INDEX('3. Matrix'!$I$6:$I$47,MATCH(A39,'3. Matrix'!$A$6:$A$47,0)),"")</f>
        <v/>
      </c>
      <c r="D39" s="75">
        <f>IF(OR(B39="",C39=""),"",IF(B39&amp;""=C39&amp;"","Yes","Check"))</f>
        <v/>
      </c>
      <c r="E39" s="75">
        <f>IFERROR(INDEX('3. Matrix'!$G$6:$G$47,MATCH(A39,'3. Matrix'!$A$6:$A$47,0)),"")</f>
        <v/>
      </c>
    </row>
  </sheetData>
  <sheetProtection selectLockedCells="1" selectUnlockedCells="1" sheet="1" objects="0" insertRows="0" insertHyperlinks="1" autoFilter="1" scenarios="0" formatColumns="1" deleteColumns="0" insertColumns="0" pivotTables="1" deleteRows="0" formatCells="1" formatRows="1" sort="1"/>
  <autoFilter ref="A7:K27"/>
  <mergeCells count="5">
    <mergeCell ref="A2:L2"/>
    <mergeCell ref="A29:K29"/>
    <mergeCell ref="A1:L1"/>
    <mergeCell ref="A31:E31"/>
    <mergeCell ref="A3:L3"/>
  </mergeCells>
  <conditionalFormatting sqref="C8:I27">
    <cfRule type="expression" priority="1" dxfId="8">
      <formula>C8="Y"</formula>
    </cfRule>
    <cfRule type="expression" priority="2" dxfId="0">
      <formula>C8="P"</formula>
    </cfRule>
    <cfRule type="expression" priority="3" dxfId="1">
      <formula>C8="N"</formula>
    </cfRule>
  </conditionalFormatting>
  <dataValidations count="2">
    <dataValidation sqref="C8:I27" showDropDown="0" showInputMessage="0" showErrorMessage="0" allowBlank="1" type="list">
      <formula1>"Y,P,N"</formula1>
    </dataValidation>
    <dataValidation sqref="B8:B27" showDropDown="0" showInputMessage="0" showErrorMessage="0" allowBlank="1" type="list">
      <formula1>"Critical,High,Medium,Low,Not rated"</formula1>
    </dataValidation>
  </dataValidations>
  <printOptions horizontalCentered="1"/>
  <pageMargins left="0.5" right="0.5" top="0.55" bottom="0.5" header="0.25" footer="0.25"/>
  <pageSetup orientation="landscape" paperSize="3" fitToHeight="0"/>
  <headerFooter>
    <oddHeader>&amp;R&amp;"Calibri"&amp;9 Majid Mumtaz (CIA, ACA, FCCA) | Veritux Advisory | The Audit Signal</oddHeader>
    <oddFooter>&amp;LSupports the Findings lines. Does not change the issue decision by itself.&amp;RPage &amp;P of &amp;N</oddFooter>
    <evenHeader/>
    <evenFooter/>
    <firstHeader/>
    <firstFooter/>
  </headerFooter>
</worksheet>
</file>

<file path=xl/worksheets/sheet5.xml><?xml version="1.0" encoding="utf-8"?>
<worksheet xmlns="http://schemas.openxmlformats.org/spreadsheetml/2006/main">
  <sheetPr>
    <tabColor rgb="FF1B4332"/>
    <outlinePr summaryBelow="1" summaryRight="1"/>
    <pageSetUpPr fitToPage="1"/>
  </sheetPr>
  <dimension ref="B2:G49"/>
  <sheetViews>
    <sheetView showGridLines="0" zoomScale="11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4.5"/>
  <cols>
    <col width="3" customWidth="1" style="79" min="1" max="1"/>
    <col width="36" customWidth="1" style="79" min="2" max="2"/>
    <col width="22" customWidth="1" style="79" min="3" max="3"/>
    <col width="16" customWidth="1" style="79" min="4" max="4"/>
    <col width="22" customWidth="1" style="79" min="5" max="5"/>
    <col width="18" customWidth="1" style="79" min="6" max="6"/>
    <col width="42" customWidth="1" style="79" min="7" max="7"/>
  </cols>
  <sheetData>
    <row r="2" ht="26" customHeight="1" s="79">
      <c r="B2" s="78" t="inlineStr">
        <is>
          <t>Scorecard</t>
        </is>
      </c>
    </row>
    <row r="3" ht="15.5" customHeight="1" s="79">
      <c r="B3" s="108">
        <f>IF(ReportTitle="","Complete 2. Details and 3. Matrix.","Report: "&amp;ReportTitle&amp;IF(Organisation="","","  |  "&amp;Organisation)&amp;IF(Reviewer="","","  |  "&amp;Reviewer)&amp;IF(ReviewDate="","","  |  "&amp;ReviewDate))</f>
        <v/>
      </c>
    </row>
    <row r="5">
      <c r="B5" s="100" t="inlineStr">
        <is>
          <t>Issue decision</t>
        </is>
      </c>
      <c r="E5" s="100" t="inlineStr">
        <is>
          <t>Findings index</t>
        </is>
      </c>
      <c r="F5" s="100" t="inlineStr">
        <is>
          <t>Close index</t>
        </is>
      </c>
      <c r="G5" s="100" t="inlineStr">
        <is>
          <t>Combined</t>
        </is>
      </c>
    </row>
    <row r="6" ht="24" customHeight="1" s="79">
      <c r="B6" s="116">
        <f>IF(EngagementType="Not an engagement report","Outside this matrix",IF(DocStatus="Draft","Draft — "&amp;IF(SUM(ScoredFlags)=0,"Not started",IF(OR(SUM(MustFail)&gt;0,SUM(MustBlank)&gt;0,SUM(InvalidNA)&gt;0,SUM(InvalidNT)&gt;0,SUM(InvalidScore)&gt;0),"Withhold",IF(OR(SUM(MustPartial)&gt;0,SUM(ShouldFail)&gt;=3),"Revise before issue",IF(OR(SUM(ShouldFail)&gt;0,SUM(ShouldPartial)&gt;0),"Accept, and record the gaps","Accept")))),IF(SUM(ScoredFlags)=0,"Not started",IF(OR(SUM(MustFail)&gt;0,SUM(MustBlank)&gt;0,SUM(InvalidNA)&gt;0,SUM(InvalidNT)&gt;0,SUM(InvalidScore)&gt;0),"Withhold",IF(OR(SUM(MustPartial)&gt;0,SUM(ShouldFail)&gt;=3),"Revise before issue",IF(OR(SUM(ShouldFail)&gt;0,SUM(ShouldPartial)&gt;0),"Accept, and record the gaps","Accept"))))))</f>
        <v/>
      </c>
      <c r="C6" s="117" t="n"/>
      <c r="E6" s="122">
        <f>IF(SUMIF(AxisCol,"Findings",MaxPoints)=0,"—",TEXT(SUMIF(AxisCol,"Findings",Points)/SUMIF(AxisCol,"Findings",MaxPoints),"0%"))</f>
        <v/>
      </c>
      <c r="F6" s="122">
        <f>IF(SUMIF(AxisCol,"Close",MaxPoints)=0,"—",TEXT(SUMIF(AxisCol,"Close",Points)/SUMIF(AxisCol,"Close",MaxPoints),"0%"))</f>
        <v/>
      </c>
      <c r="G6" s="122">
        <f>IF(SUM(MaxPoints)=0,"—",TEXT(SUM(Points)/SUM(MaxPoints),"0%"))</f>
        <v/>
      </c>
    </row>
    <row r="7" ht="24" customHeight="1" s="79">
      <c r="B7" s="118" t="n"/>
      <c r="C7" s="119" t="n"/>
      <c r="E7" s="123" t="n"/>
      <c r="F7" s="123" t="n"/>
      <c r="G7" s="123" t="n"/>
    </row>
    <row r="8" ht="32" customHeight="1" s="79">
      <c r="B8" s="97">
        <f>IF(AND(SUM(ScoredFlags)&gt;0,OR(INDEX('3. Matrix'!$I$6:$I$47,MATCH("G6",'3. Matrix'!$A$6:$A$47,0))="",INDEX('3. Matrix'!$I$6:$I$47,MATCH("G7",'3. Matrix'!$A$6:$A$47,0))="")),"G6 and G7 are N/A on an ordinary engagement. A blank on either line withholds the report. Use N/A unless this document corrects a significant error, or shows risk accepted above appetite.","")</f>
        <v/>
      </c>
    </row>
    <row r="9" ht="28" customHeight="1" s="79">
      <c r="B9" s="110">
        <f>IF(UPPER(TRIM(INDEX('3. Matrix'!$I$6:$I$47,MATCH("G1",'3. Matrix'!$A$6:$A$47,0))&amp;""))="NOT TESTED","Approval was not tested. Standard 15.1 still requires the chief audit executive to approve the communication before issue.","")</f>
        <v/>
      </c>
    </row>
    <row r="10" ht="48" customHeight="1" s="79">
      <c r="B10" s="97" t="inlineStr">
        <is>
          <t>A Met is 2 out of a maximum of 3, so a report that meets every scored line shows 67%. Must weight 2. Should weight 1. Not tested, permitted N/A, and any line column H marks Off are left out of both indexes. That switch is a formula: E2 when E1 is 0, B2 when B1 is N/A, D1 to D5 when C1 is N/A, G3 before 9 January 2025, and O1 to O5 unless the type is Overall opinion. On an ordinary report, enter N/A on G6 and G7.</t>
        </is>
      </c>
    </row>
    <row r="12">
      <c r="B12" s="107" t="inlineStr">
        <is>
          <t>Gate</t>
        </is>
      </c>
      <c r="C12" s="107" t="inlineStr">
        <is>
          <t>Count</t>
        </is>
      </c>
      <c r="D12" s="107" t="inlineStr">
        <is>
          <t>Effect</t>
        </is>
      </c>
    </row>
    <row r="13" ht="20" customHeight="1" s="79">
      <c r="B13" s="18" t="inlineStr">
        <is>
          <t>Must scored 0</t>
        </is>
      </c>
      <c r="C13" s="64">
        <f>SUM(MustFail)</f>
        <v/>
      </c>
      <c r="D13" s="96" t="inlineStr">
        <is>
          <t>Any count above zero forces Withhold.</t>
        </is>
      </c>
      <c r="E13" s="82" t="n"/>
      <c r="F13" s="82" t="n"/>
      <c r="G13" s="83" t="n"/>
    </row>
    <row r="14" ht="20" customHeight="1" s="79">
      <c r="B14" s="17" t="inlineStr">
        <is>
          <t>Must left blank</t>
        </is>
      </c>
      <c r="C14" s="65">
        <f>SUM(MustBlank)</f>
        <v/>
      </c>
      <c r="D14" s="86" t="inlineStr">
        <is>
          <t>A blank Must on an active line forces Withhold. Not tested is not blank.</t>
        </is>
      </c>
      <c r="E14" s="82" t="n"/>
      <c r="F14" s="82" t="n"/>
      <c r="G14" s="83" t="n"/>
    </row>
    <row r="15" ht="20" customHeight="1" s="79">
      <c r="B15" s="18" t="inlineStr">
        <is>
          <t>N/A not permitted</t>
        </is>
      </c>
      <c r="C15" s="64">
        <f>SUM(InvalidNA)</f>
        <v/>
      </c>
      <c r="D15" s="96" t="inlineStr">
        <is>
          <t>Forces Withhold until the score is corrected.</t>
        </is>
      </c>
      <c r="E15" s="82" t="n"/>
      <c r="F15" s="82" t="n"/>
      <c r="G15" s="83" t="n"/>
    </row>
    <row r="16" ht="20" customHeight="1" s="79">
      <c r="B16" s="17" t="inlineStr">
        <is>
          <t>Not tested not permitted</t>
        </is>
      </c>
      <c r="C16" s="65">
        <f>SUM(InvalidNT)</f>
        <v/>
      </c>
      <c r="D16" s="86" t="inlineStr">
        <is>
          <t>Forces Withhold until the score is corrected.</t>
        </is>
      </c>
      <c r="E16" s="82" t="n"/>
      <c r="F16" s="82" t="n"/>
      <c r="G16" s="83" t="n"/>
    </row>
    <row r="17" ht="20" customHeight="1" s="79">
      <c r="B17" s="18" t="inlineStr">
        <is>
          <t>Must scored 1</t>
        </is>
      </c>
      <c r="C17" s="64">
        <f>SUM(MustPartial)</f>
        <v/>
      </c>
      <c r="D17" s="96" t="inlineStr">
        <is>
          <t>Any count above zero forces Revise before issue. A disclaimed conclusion is a 1 on E1.</t>
        </is>
      </c>
      <c r="E17" s="82" t="n"/>
      <c r="F17" s="82" t="n"/>
      <c r="G17" s="83" t="n"/>
    </row>
    <row r="18" ht="20" customHeight="1" s="79">
      <c r="B18" s="17" t="inlineStr">
        <is>
          <t>Should scored 0</t>
        </is>
      </c>
      <c r="C18" s="65">
        <f>SUM(ShouldFail)</f>
        <v/>
      </c>
      <c r="D18" s="86" t="inlineStr">
        <is>
          <t>Three or more forces Revise before issue.</t>
        </is>
      </c>
      <c r="E18" s="82" t="n"/>
      <c r="F18" s="82" t="n"/>
      <c r="G18" s="83" t="n"/>
    </row>
    <row r="19" ht="20" customHeight="1" s="79">
      <c r="B19" s="18" t="inlineStr">
        <is>
          <t>Should scored 1</t>
        </is>
      </c>
      <c r="C19" s="64">
        <f>SUM(ShouldPartial)</f>
        <v/>
      </c>
      <c r="D19" s="96" t="inlineStr">
        <is>
          <t>Keeps the decision at Accept, and record the gaps.</t>
        </is>
      </c>
      <c r="E19" s="82" t="n"/>
      <c r="F19" s="82" t="n"/>
      <c r="G19" s="83" t="n"/>
    </row>
    <row r="20" ht="20" customHeight="1" s="79">
      <c r="B20" s="17" t="inlineStr">
        <is>
          <t>Lines scored</t>
        </is>
      </c>
      <c r="C20" s="65">
        <f>SUM(ScoredFlags)&amp;" of "&amp;ROWS(ScoredFlags)</f>
        <v/>
      </c>
      <c r="D20" s="86" t="inlineStr">
        <is>
          <t>A switched-off line does not count, even if a score was typed. The total is every line on the matrix.</t>
        </is>
      </c>
      <c r="E20" s="82" t="n"/>
      <c r="F20" s="82" t="n"/>
      <c r="G20" s="83" t="n"/>
    </row>
    <row r="21" ht="20" customHeight="1" s="79">
      <c r="B21" s="17" t="inlineStr">
        <is>
          <t>Score not on the list</t>
        </is>
      </c>
      <c r="C21" s="65">
        <f>SUM(InvalidScore)</f>
        <v/>
      </c>
      <c r="D21" s="86" t="inlineStr">
        <is>
          <t>A word, or a number other than 0, 1, 2, or 3, forces Withhold.</t>
        </is>
      </c>
      <c r="E21" s="82" t="n"/>
      <c r="F21" s="82" t="n"/>
      <c r="G21" s="83" t="n"/>
    </row>
    <row r="22">
      <c r="B22" s="124" t="inlineStr">
        <is>
          <t>Index</t>
        </is>
      </c>
      <c r="C22" s="124" t="inlineStr">
        <is>
          <t>Points</t>
        </is>
      </c>
      <c r="D22" s="124" t="inlineStr">
        <is>
          <t>Maximum</t>
        </is>
      </c>
      <c r="E22" s="124" t="inlineStr">
        <is>
          <t>Result</t>
        </is>
      </c>
      <c r="F22" s="124" t="inlineStr">
        <is>
          <t>Must at 0 or 1 in this index</t>
        </is>
      </c>
    </row>
    <row r="23" ht="20" customHeight="1" s="79">
      <c r="B23" s="18" t="inlineStr">
        <is>
          <t>Findings</t>
        </is>
      </c>
      <c r="C23" s="120">
        <f>SUMIF(AxisCol,B23,Points)</f>
        <v/>
      </c>
      <c r="D23" s="120">
        <f>SUMIF(AxisCol,B23,MaxPoints)</f>
        <v/>
      </c>
      <c r="E23" s="120">
        <f>IF(D23=0,"—",TEXT(C23/D23,"0%"))</f>
        <v/>
      </c>
      <c r="F23" s="120">
        <f>SUMIF(AxisCol,B23,MustFail)+SUMIF(AxisCol,B23,MustPartial)</f>
        <v/>
      </c>
      <c r="G23" s="83" t="n"/>
    </row>
    <row r="24" ht="20" customHeight="1" s="79">
      <c r="B24" s="18" t="inlineStr">
        <is>
          <t>Close</t>
        </is>
      </c>
      <c r="C24" s="120">
        <f>SUMIF(AxisCol,B24,Points)</f>
        <v/>
      </c>
      <c r="D24" s="120">
        <f>SUMIF(AxisCol,B24,MaxPoints)</f>
        <v/>
      </c>
      <c r="E24" s="120">
        <f>IF(D24=0,"—",TEXT(C24/D24,"0%"))</f>
        <v/>
      </c>
      <c r="F24" s="120">
        <f>SUMIF(AxisCol,B24,MustFail)+SUMIF(AxisCol,B24,MustPartial)</f>
        <v/>
      </c>
      <c r="G24" s="83" t="n"/>
    </row>
    <row r="26">
      <c r="B26" s="125" t="inlineStr">
        <is>
          <t>First 12 gaps. Must lines left blank once scoring has started, lines scored 0 or 1, and any score that is not 3, 2, 1, 0, N/A, or Not tested. Further gaps stay in the counts above.</t>
        </is>
      </c>
    </row>
    <row r="27">
      <c r="B27" s="121" t="inlineStr">
        <is>
          <t>Ref</t>
        </is>
      </c>
      <c r="C27" s="121" t="inlineStr">
        <is>
          <t>Level</t>
        </is>
      </c>
      <c r="D27" s="121" t="inlineStr">
        <is>
          <t>Criterion</t>
        </is>
      </c>
      <c r="F27" s="121" t="inlineStr">
        <is>
          <t>Score</t>
        </is>
      </c>
      <c r="G27" s="121" t="inlineStr">
        <is>
          <t>Comment</t>
        </is>
      </c>
    </row>
    <row r="28" ht="18" customHeight="1" s="79">
      <c r="B28" s="115">
        <f>IFERROR(INDEX('3. Matrix'!$A$6:$A$47,MATCH(1,'3. Matrix'!$Z$6:$Z$47,0)),"")</f>
        <v/>
      </c>
      <c r="C28" s="115">
        <f>IF(B28="","",INDEX('3. Matrix'!$D$6:$D$47,MATCH(1,'3. Matrix'!$Z$6:$Z$47,0)))</f>
        <v/>
      </c>
      <c r="D28" s="115">
        <f>IF(B28="","",INDEX('3. Matrix'!$E$6:$E$47,MATCH(1,'3. Matrix'!$Z$6:$Z$47,0)))</f>
        <v/>
      </c>
      <c r="E28" s="83" t="n"/>
      <c r="F28" s="115">
        <f>IF(B28="","",INDEX('3. Matrix'!$I$6:$I$47,MATCH(1,'3. Matrix'!$Z$6:$Z$47,0)))</f>
        <v/>
      </c>
      <c r="G28" s="115">
        <f>IF(B28="","",INDEX('3. Matrix'!$K$6:$K$47,MATCH(1,'3. Matrix'!$Z$6:$Z$47,0)))</f>
        <v/>
      </c>
    </row>
    <row r="29" ht="18" customHeight="1" s="79">
      <c r="B29" s="115">
        <f>IFERROR(INDEX('3. Matrix'!$A$6:$A$47,MATCH(2,'3. Matrix'!$Z$6:$Z$47,0)),"")</f>
        <v/>
      </c>
      <c r="C29" s="115">
        <f>IF(B29="","",INDEX('3. Matrix'!$D$6:$D$47,MATCH(2,'3. Matrix'!$Z$6:$Z$47,0)))</f>
        <v/>
      </c>
      <c r="D29" s="115">
        <f>IF(B29="","",INDEX('3. Matrix'!$E$6:$E$47,MATCH(2,'3. Matrix'!$Z$6:$Z$47,0)))</f>
        <v/>
      </c>
      <c r="E29" s="83" t="n"/>
      <c r="F29" s="115">
        <f>IF(B29="","",INDEX('3. Matrix'!$I$6:$I$47,MATCH(2,'3. Matrix'!$Z$6:$Z$47,0)))</f>
        <v/>
      </c>
      <c r="G29" s="115">
        <f>IF(B29="","",INDEX('3. Matrix'!$K$6:$K$47,MATCH(2,'3. Matrix'!$Z$6:$Z$47,0)))</f>
        <v/>
      </c>
    </row>
    <row r="30" ht="18" customHeight="1" s="79">
      <c r="B30" s="115">
        <f>IFERROR(INDEX('3. Matrix'!$A$6:$A$47,MATCH(3,'3. Matrix'!$Z$6:$Z$47,0)),"")</f>
        <v/>
      </c>
      <c r="C30" s="115">
        <f>IF(B30="","",INDEX('3. Matrix'!$D$6:$D$47,MATCH(3,'3. Matrix'!$Z$6:$Z$47,0)))</f>
        <v/>
      </c>
      <c r="D30" s="115">
        <f>IF(B30="","",INDEX('3. Matrix'!$E$6:$E$47,MATCH(3,'3. Matrix'!$Z$6:$Z$47,0)))</f>
        <v/>
      </c>
      <c r="E30" s="83" t="n"/>
      <c r="F30" s="115">
        <f>IF(B30="","",INDEX('3. Matrix'!$I$6:$I$47,MATCH(3,'3. Matrix'!$Z$6:$Z$47,0)))</f>
        <v/>
      </c>
      <c r="G30" s="115">
        <f>IF(B30="","",INDEX('3. Matrix'!$K$6:$K$47,MATCH(3,'3. Matrix'!$Z$6:$Z$47,0)))</f>
        <v/>
      </c>
    </row>
    <row r="31" ht="18" customHeight="1" s="79">
      <c r="B31" s="115">
        <f>IFERROR(INDEX('3. Matrix'!$A$6:$A$47,MATCH(4,'3. Matrix'!$Z$6:$Z$47,0)),"")</f>
        <v/>
      </c>
      <c r="C31" s="115">
        <f>IF(B31="","",INDEX('3. Matrix'!$D$6:$D$47,MATCH(4,'3. Matrix'!$Z$6:$Z$47,0)))</f>
        <v/>
      </c>
      <c r="D31" s="115">
        <f>IF(B31="","",INDEX('3. Matrix'!$E$6:$E$47,MATCH(4,'3. Matrix'!$Z$6:$Z$47,0)))</f>
        <v/>
      </c>
      <c r="E31" s="83" t="n"/>
      <c r="F31" s="115">
        <f>IF(B31="","",INDEX('3. Matrix'!$I$6:$I$47,MATCH(4,'3. Matrix'!$Z$6:$Z$47,0)))</f>
        <v/>
      </c>
      <c r="G31" s="115">
        <f>IF(B31="","",INDEX('3. Matrix'!$K$6:$K$47,MATCH(4,'3. Matrix'!$Z$6:$Z$47,0)))</f>
        <v/>
      </c>
    </row>
    <row r="32" ht="18" customHeight="1" s="79">
      <c r="B32" s="115">
        <f>IFERROR(INDEX('3. Matrix'!$A$6:$A$47,MATCH(5,'3. Matrix'!$Z$6:$Z$47,0)),"")</f>
        <v/>
      </c>
      <c r="C32" s="115">
        <f>IF(B32="","",INDEX('3. Matrix'!$D$6:$D$47,MATCH(5,'3. Matrix'!$Z$6:$Z$47,0)))</f>
        <v/>
      </c>
      <c r="D32" s="115">
        <f>IF(B32="","",INDEX('3. Matrix'!$E$6:$E$47,MATCH(5,'3. Matrix'!$Z$6:$Z$47,0)))</f>
        <v/>
      </c>
      <c r="E32" s="83" t="n"/>
      <c r="F32" s="115">
        <f>IF(B32="","",INDEX('3. Matrix'!$I$6:$I$47,MATCH(5,'3. Matrix'!$Z$6:$Z$47,0)))</f>
        <v/>
      </c>
      <c r="G32" s="115">
        <f>IF(B32="","",INDEX('3. Matrix'!$K$6:$K$47,MATCH(5,'3. Matrix'!$Z$6:$Z$47,0)))</f>
        <v/>
      </c>
    </row>
    <row r="33" ht="18" customHeight="1" s="79">
      <c r="B33" s="115">
        <f>IFERROR(INDEX('3. Matrix'!$A$6:$A$47,MATCH(6,'3. Matrix'!$Z$6:$Z$47,0)),"")</f>
        <v/>
      </c>
      <c r="C33" s="115">
        <f>IF(B33="","",INDEX('3. Matrix'!$D$6:$D$47,MATCH(6,'3. Matrix'!$Z$6:$Z$47,0)))</f>
        <v/>
      </c>
      <c r="D33" s="115">
        <f>IF(B33="","",INDEX('3. Matrix'!$E$6:$E$47,MATCH(6,'3. Matrix'!$Z$6:$Z$47,0)))</f>
        <v/>
      </c>
      <c r="E33" s="83" t="n"/>
      <c r="F33" s="115">
        <f>IF(B33="","",INDEX('3. Matrix'!$I$6:$I$47,MATCH(6,'3. Matrix'!$Z$6:$Z$47,0)))</f>
        <v/>
      </c>
      <c r="G33" s="115">
        <f>IF(B33="","",INDEX('3. Matrix'!$K$6:$K$47,MATCH(6,'3. Matrix'!$Z$6:$Z$47,0)))</f>
        <v/>
      </c>
    </row>
    <row r="34" ht="18" customHeight="1" s="79">
      <c r="B34" s="115">
        <f>IFERROR(INDEX('3. Matrix'!$A$6:$A$47,MATCH(7,'3. Matrix'!$Z$6:$Z$47,0)),"")</f>
        <v/>
      </c>
      <c r="C34" s="115">
        <f>IF(B34="","",INDEX('3. Matrix'!$D$6:$D$47,MATCH(7,'3. Matrix'!$Z$6:$Z$47,0)))</f>
        <v/>
      </c>
      <c r="D34" s="115">
        <f>IF(B34="","",INDEX('3. Matrix'!$E$6:$E$47,MATCH(7,'3. Matrix'!$Z$6:$Z$47,0)))</f>
        <v/>
      </c>
      <c r="E34" s="83" t="n"/>
      <c r="F34" s="115">
        <f>IF(B34="","",INDEX('3. Matrix'!$I$6:$I$47,MATCH(7,'3. Matrix'!$Z$6:$Z$47,0)))</f>
        <v/>
      </c>
      <c r="G34" s="115">
        <f>IF(B34="","",INDEX('3. Matrix'!$K$6:$K$47,MATCH(7,'3. Matrix'!$Z$6:$Z$47,0)))</f>
        <v/>
      </c>
    </row>
    <row r="35" ht="18" customHeight="1" s="79">
      <c r="B35" s="115">
        <f>IFERROR(INDEX('3. Matrix'!$A$6:$A$47,MATCH(8,'3. Matrix'!$Z$6:$Z$47,0)),"")</f>
        <v/>
      </c>
      <c r="C35" s="115">
        <f>IF(B35="","",INDEX('3. Matrix'!$D$6:$D$47,MATCH(8,'3. Matrix'!$Z$6:$Z$47,0)))</f>
        <v/>
      </c>
      <c r="D35" s="115">
        <f>IF(B35="","",INDEX('3. Matrix'!$E$6:$E$47,MATCH(8,'3. Matrix'!$Z$6:$Z$47,0)))</f>
        <v/>
      </c>
      <c r="E35" s="83" t="n"/>
      <c r="F35" s="115">
        <f>IF(B35="","",INDEX('3. Matrix'!$I$6:$I$47,MATCH(8,'3. Matrix'!$Z$6:$Z$47,0)))</f>
        <v/>
      </c>
      <c r="G35" s="115">
        <f>IF(B35="","",INDEX('3. Matrix'!$K$6:$K$47,MATCH(8,'3. Matrix'!$Z$6:$Z$47,0)))</f>
        <v/>
      </c>
    </row>
    <row r="36" ht="18" customHeight="1" s="79">
      <c r="B36" s="115">
        <f>IFERROR(INDEX('3. Matrix'!$A$6:$A$47,MATCH(9,'3. Matrix'!$Z$6:$Z$47,0)),"")</f>
        <v/>
      </c>
      <c r="C36" s="115">
        <f>IF(B36="","",INDEX('3. Matrix'!$D$6:$D$47,MATCH(9,'3. Matrix'!$Z$6:$Z$47,0)))</f>
        <v/>
      </c>
      <c r="D36" s="115">
        <f>IF(B36="","",INDEX('3. Matrix'!$E$6:$E$47,MATCH(9,'3. Matrix'!$Z$6:$Z$47,0)))</f>
        <v/>
      </c>
      <c r="E36" s="83" t="n"/>
      <c r="F36" s="115">
        <f>IF(B36="","",INDEX('3. Matrix'!$I$6:$I$47,MATCH(9,'3. Matrix'!$Z$6:$Z$47,0)))</f>
        <v/>
      </c>
      <c r="G36" s="115">
        <f>IF(B36="","",INDEX('3. Matrix'!$K$6:$K$47,MATCH(9,'3. Matrix'!$Z$6:$Z$47,0)))</f>
        <v/>
      </c>
    </row>
    <row r="37" ht="18" customHeight="1" s="79">
      <c r="B37" s="115">
        <f>IFERROR(INDEX('3. Matrix'!$A$6:$A$47,MATCH(10,'3. Matrix'!$Z$6:$Z$47,0)),"")</f>
        <v/>
      </c>
      <c r="C37" s="115">
        <f>IF(B37="","",INDEX('3. Matrix'!$D$6:$D$47,MATCH(10,'3. Matrix'!$Z$6:$Z$47,0)))</f>
        <v/>
      </c>
      <c r="D37" s="115">
        <f>IF(B37="","",INDEX('3. Matrix'!$E$6:$E$47,MATCH(10,'3. Matrix'!$Z$6:$Z$47,0)))</f>
        <v/>
      </c>
      <c r="E37" s="83" t="n"/>
      <c r="F37" s="115">
        <f>IF(B37="","",INDEX('3. Matrix'!$I$6:$I$47,MATCH(10,'3. Matrix'!$Z$6:$Z$47,0)))</f>
        <v/>
      </c>
      <c r="G37" s="115">
        <f>IF(B37="","",INDEX('3. Matrix'!$K$6:$K$47,MATCH(10,'3. Matrix'!$Z$6:$Z$47,0)))</f>
        <v/>
      </c>
    </row>
    <row r="38" ht="18" customHeight="1" s="79">
      <c r="B38" s="115">
        <f>IFERROR(INDEX('3. Matrix'!$A$6:$A$47,MATCH(11,'3. Matrix'!$Z$6:$Z$47,0)),"")</f>
        <v/>
      </c>
      <c r="C38" s="115">
        <f>IF(B38="","",INDEX('3. Matrix'!$D$6:$D$47,MATCH(11,'3. Matrix'!$Z$6:$Z$47,0)))</f>
        <v/>
      </c>
      <c r="D38" s="115">
        <f>IF(B38="","",INDEX('3. Matrix'!$E$6:$E$47,MATCH(11,'3. Matrix'!$Z$6:$Z$47,0)))</f>
        <v/>
      </c>
      <c r="E38" s="83" t="n"/>
      <c r="F38" s="115">
        <f>IF(B38="","",INDEX('3. Matrix'!$I$6:$I$47,MATCH(11,'3. Matrix'!$Z$6:$Z$47,0)))</f>
        <v/>
      </c>
      <c r="G38" s="115">
        <f>IF(B38="","",INDEX('3. Matrix'!$K$6:$K$47,MATCH(11,'3. Matrix'!$Z$6:$Z$47,0)))</f>
        <v/>
      </c>
    </row>
    <row r="39" ht="18" customHeight="1" s="79">
      <c r="B39" s="115">
        <f>IFERROR(INDEX('3. Matrix'!$A$6:$A$47,MATCH(12,'3. Matrix'!$Z$6:$Z$47,0)),"")</f>
        <v/>
      </c>
      <c r="C39" s="115">
        <f>IF(B39="","",INDEX('3. Matrix'!$D$6:$D$47,MATCH(12,'3. Matrix'!$Z$6:$Z$47,0)))</f>
        <v/>
      </c>
      <c r="D39" s="115">
        <f>IF(B39="","",INDEX('3. Matrix'!$E$6:$E$47,MATCH(12,'3. Matrix'!$Z$6:$Z$47,0)))</f>
        <v/>
      </c>
      <c r="E39" s="83" t="n"/>
      <c r="F39" s="115">
        <f>IF(B39="","",INDEX('3. Matrix'!$I$6:$I$47,MATCH(12,'3. Matrix'!$Z$6:$Z$47,0)))</f>
        <v/>
      </c>
      <c r="G39" s="115">
        <f>IF(B39="","",INDEX('3. Matrix'!$K$6:$K$47,MATCH(12,'3. Matrix'!$Z$6:$Z$47,0)))</f>
        <v/>
      </c>
    </row>
    <row r="41" ht="18.5" customHeight="1" s="79">
      <c r="B41" s="84" t="inlineStr">
        <is>
          <t>Reviewer conclusion</t>
        </is>
      </c>
    </row>
    <row r="42" ht="18" customHeight="1" s="79">
      <c r="B42" s="111" t="inlineStr">
        <is>
          <t>State whether the findings index and the close index tell different stories, and whether any Not tested line still has to be cleared before issue.</t>
        </is>
      </c>
      <c r="C42" s="102" t="n"/>
      <c r="D42" s="102" t="n"/>
      <c r="E42" s="102" t="n"/>
      <c r="F42" s="102" t="n"/>
      <c r="G42" s="103" t="n"/>
    </row>
    <row r="43" ht="18" customHeight="1" s="79">
      <c r="B43" s="112" t="n"/>
      <c r="C43" s="113" t="n"/>
      <c r="D43" s="113" t="n"/>
      <c r="E43" s="113" t="n"/>
      <c r="F43" s="113" t="n"/>
      <c r="G43" s="114" t="n"/>
    </row>
    <row r="44" ht="18" customHeight="1" s="79">
      <c r="B44" s="104" t="n"/>
      <c r="C44" s="105" t="n"/>
      <c r="D44" s="105" t="n"/>
      <c r="E44" s="105" t="n"/>
      <c r="F44" s="105" t="n"/>
      <c r="G44" s="106" t="n"/>
    </row>
    <row r="45">
      <c r="B45" s="131" t="inlineStr">
        <is>
          <t>FRAMEWORK ARCHITECTURE, QAIP GOVERNANCE &amp; THOUGHT LEADERSHIP</t>
        </is>
      </c>
    </row>
    <row r="46">
      <c r="B46" s="132" t="inlineStr">
        <is>
          <t>Framework Architect:</t>
        </is>
      </c>
      <c r="C46" s="133" t="inlineStr">
        <is>
          <t>Majid Mumtaz | CIA (IIA), ACA (ICAEW UK), FCCA (ACCA UK), GRCP &amp; GRCA (OCEG), COSO ERM Certified</t>
        </is>
      </c>
    </row>
    <row r="47">
      <c r="B47" s="132" t="inlineStr">
        <is>
          <t>The Audit Signal Newsletter:</t>
        </is>
      </c>
      <c r="C47" s="134" t="inlineStr">
        <is>
          <t>The Audit Signal — Technical Articles on Continuous Auditing &amp; GIAS 2024 Governance (LinkedIn)</t>
        </is>
      </c>
    </row>
    <row r="48">
      <c r="B48" s="132" t="inlineStr">
        <is>
          <t>Continuous Controls Monitoring:</t>
        </is>
      </c>
      <c r="C48" s="134" t="inlineStr">
        <is>
          <t>Interactive Audit Portfolio &amp; Tools (majidrajpar.github.io/portfolio_my)</t>
        </is>
      </c>
    </row>
    <row r="49">
      <c r="B49" s="132" t="inlineStr">
        <is>
          <t>Author Executive Profile:</t>
        </is>
      </c>
      <c r="C49" s="134" t="inlineStr">
        <is>
          <t>LinkedIn Executive Profile: Majid Mumtaz</t>
        </is>
      </c>
    </row>
  </sheetData>
  <sheetProtection selectLockedCells="1" selectUnlockedCells="1" sheet="1" objects="0" insertRows="0" insertHyperlinks="1" autoFilter="1" scenarios="0" formatColumns="1" deleteColumns="0" insertColumns="0" pivotTables="1" deleteRows="0" formatCells="1" formatRows="1" sort="1"/>
  <mergeCells count="39">
    <mergeCell ref="B2:G2"/>
    <mergeCell ref="D18:G18"/>
    <mergeCell ref="D12:G12"/>
    <mergeCell ref="B42:G44"/>
    <mergeCell ref="D34:E34"/>
    <mergeCell ref="B8:G8"/>
    <mergeCell ref="B6:C7"/>
    <mergeCell ref="D15:G15"/>
    <mergeCell ref="D36:E36"/>
    <mergeCell ref="D31:E31"/>
    <mergeCell ref="D14:G14"/>
    <mergeCell ref="B10:G10"/>
    <mergeCell ref="F24:G24"/>
    <mergeCell ref="D20:G20"/>
    <mergeCell ref="D27:E27"/>
    <mergeCell ref="B9:G9"/>
    <mergeCell ref="G6:G7"/>
    <mergeCell ref="D32:E32"/>
    <mergeCell ref="E6:E7"/>
    <mergeCell ref="D19:G19"/>
    <mergeCell ref="B41:G41"/>
    <mergeCell ref="D37:E37"/>
    <mergeCell ref="F23:G23"/>
    <mergeCell ref="D21:G21"/>
    <mergeCell ref="D28:E28"/>
    <mergeCell ref="F22:G22"/>
    <mergeCell ref="B26:G26"/>
    <mergeCell ref="D13:G13"/>
    <mergeCell ref="D39:E39"/>
    <mergeCell ref="B3:G3"/>
    <mergeCell ref="D17:G17"/>
    <mergeCell ref="D30:E30"/>
    <mergeCell ref="D33:E33"/>
    <mergeCell ref="B5:C5"/>
    <mergeCell ref="D29:E29"/>
    <mergeCell ref="D16:G16"/>
    <mergeCell ref="D38:E38"/>
    <mergeCell ref="F6:F7"/>
    <mergeCell ref="D35:E35"/>
  </mergeCells>
  <conditionalFormatting sqref="B6:C7">
    <cfRule type="expression" priority="1" dxfId="5">
      <formula>ISNUMBER(SEARCH("Accept",$B$6))</formula>
    </cfRule>
    <cfRule type="expression" priority="2" dxfId="4">
      <formula>ISNUMBER(SEARCH("Revise",$B$6))</formula>
    </cfRule>
    <cfRule type="expression" priority="3" dxfId="3">
      <formula>ISNUMBER(SEARCH("Withhold",$B$6))</formula>
    </cfRule>
    <cfRule type="expression" priority="4" dxfId="2">
      <formula>OR($B$6="Not started",$B$6="Outside this matrix")</formula>
    </cfRule>
  </conditionalFormatting>
  <conditionalFormatting sqref="F28:F39">
    <cfRule type="expression" priority="5" dxfId="1">
      <formula>OR(F28=0,F28="0")</formula>
    </cfRule>
    <cfRule type="expression" priority="6" dxfId="0">
      <formula>OR(F28=1,F28="1")</formula>
    </cfRule>
  </conditionalFormatting>
  <hyperlinks>
    <hyperlink xmlns:r="http://schemas.openxmlformats.org/officeDocument/2006/relationships" ref="C47" r:id="rId1"/>
    <hyperlink xmlns:r="http://schemas.openxmlformats.org/officeDocument/2006/relationships" ref="C48" r:id="rId2"/>
    <hyperlink xmlns:r="http://schemas.openxmlformats.org/officeDocument/2006/relationships" ref="C49" r:id="rId3"/>
  </hyperlinks>
  <printOptions horizontalCentered="1"/>
  <pageMargins left="0.5" right="0.5" top="0.55" bottom="0.5" header="0.25" footer="0.25"/>
  <pageSetup orientation="landscape" paperSize="9" fitToHeight="2"/>
  <headerFooter>
    <oddHeader>&amp;R&amp;"Calibri"&amp;9 Majid Mumtaz (CIA, ACA, FCCA) | Veritux Advisory | The Audit Signal</oddHeader>
    <oddFooter>&amp;LCalculated from 3. Matrix.&amp;RPage &amp;P of &amp;N</oddFooter>
    <evenHeader/>
    <evenFooter/>
    <firstHeader/>
    <firstFooter/>
  </headerFooter>
</worksheet>
</file>

<file path=xl/worksheets/sheet6.xml><?xml version="1.0" encoding="utf-8"?>
<worksheet xmlns="http://schemas.openxmlformats.org/spreadsheetml/2006/main">
  <sheetPr>
    <tabColor rgb="FF1F6F6A"/>
    <outlinePr summaryBelow="1" summaryRight="1"/>
    <pageSetUpPr fitToPage="1"/>
  </sheetPr>
  <dimension ref="A1:G21"/>
  <sheetViews>
    <sheetView showGridLines="0" zoomScale="110" workbookViewId="0">
      <pane ySplit="4" topLeftCell="A5" activePane="bottomLeft" state="frozen"/>
      <selection pane="bottomLeft" activeCell="A1" sqref="A1"/>
    </sheetView>
  </sheetViews>
  <sheetFormatPr baseColWidth="8" defaultRowHeight="14.5"/>
  <cols>
    <col width="14" customWidth="1" style="79" min="1" max="1"/>
    <col width="42" customWidth="1" style="79" min="2" max="2"/>
    <col width="24" customWidth="1" style="79" min="3" max="3"/>
    <col width="78" customWidth="1" style="79" min="4" max="4"/>
    <col width="36" customWidth="1" style="79" min="5" max="5"/>
    <col hidden="1" width="55" customWidth="1" style="79" min="6" max="6"/>
    <col hidden="1" width="20" customWidth="1" style="79" min="7" max="7"/>
  </cols>
  <sheetData>
    <row r="1" ht="28" customHeight="1" s="79">
      <c r="A1" s="78" t="inlineStr">
        <is>
          <t>Standards cited by this matrix</t>
        </is>
      </c>
    </row>
    <row r="2" ht="36" customHeight="1" s="79">
      <c r="A2" s="109" t="inlineStr">
        <is>
          <t>Each label is a formula the matrix looks up. The sentences are a paraphrase for this review. They are not the text of the Global Internal Audit Standards. Where they differ from the 9 January 2024 edition, follow the Standards. Column E lists the matrix lines that cite the standard.</t>
        </is>
      </c>
    </row>
    <row r="4" ht="22" customHeight="1" s="79">
      <c r="A4" s="20" t="inlineStr">
        <is>
          <t>Standard</t>
        </is>
      </c>
      <c r="B4" s="20" t="inlineStr">
        <is>
          <t>Name</t>
        </is>
      </c>
      <c r="C4" s="20" t="inlineStr">
        <is>
          <t>Where in the Standards</t>
        </is>
      </c>
      <c r="D4" s="20" t="inlineStr">
        <is>
          <t>What it requires of this review</t>
        </is>
      </c>
      <c r="E4" s="20" t="inlineStr">
        <is>
          <t>Matrix lines</t>
        </is>
      </c>
      <c r="F4" s="20" t="inlineStr">
        <is>
          <t>Label the matrix looks up</t>
        </is>
      </c>
    </row>
    <row r="5" ht="48" customHeight="1" s="79">
      <c r="A5" s="69" t="inlineStr">
        <is>
          <t>5.1</t>
        </is>
      </c>
      <c r="B5" s="70" t="inlineStr">
        <is>
          <t>Use of Information</t>
        </is>
      </c>
      <c r="C5" s="70" t="inlineStr">
        <is>
          <t>Requirements</t>
        </is>
      </c>
      <c r="D5" s="70" t="inlineStr">
        <is>
          <t>Information is used only as policy and law allow, and not for personal gain or against the organisation’s legitimate objectives.</t>
        </is>
      </c>
      <c r="E5" s="70">
        <f>IF(G5="","Not scored on an assignment report",MID(G5,3,400))</f>
        <v/>
      </c>
      <c r="F5" s="70">
        <f>A5&amp;" "&amp;B5&amp;" — "&amp;C5</f>
        <v/>
      </c>
      <c r="G5">
        <f>IF(ISNUMBER(SEARCH(";"&amp;A5&amp;";",";"&amp;'3. Matrix'!AB6&amp;";")),", "&amp;'3. Matrix'!A6,"")&amp;IF(ISNUMBER(SEARCH(";"&amp;A5&amp;";",";"&amp;'3. Matrix'!AB7&amp;";")),", "&amp;'3. Matrix'!A7,"")&amp;IF(ISNUMBER(SEARCH(";"&amp;A5&amp;";",";"&amp;'3. Matrix'!AB8&amp;";")),", "&amp;'3. Matrix'!A8,"")&amp;IF(ISNUMBER(SEARCH(";"&amp;A5&amp;";",";"&amp;'3. Matrix'!AB9&amp;";")),", "&amp;'3. Matrix'!A9,"")&amp;IF(ISNUMBER(SEARCH(";"&amp;A5&amp;";",";"&amp;'3. Matrix'!AB10&amp;";")),", "&amp;'3. Matrix'!A10,"")&amp;IF(ISNUMBER(SEARCH(";"&amp;A5&amp;";",";"&amp;'3. Matrix'!AB11&amp;";")),", "&amp;'3. Matrix'!A11,"")&amp;IF(ISNUMBER(SEARCH(";"&amp;A5&amp;";",";"&amp;'3. Matrix'!AB12&amp;";")),", "&amp;'3. Matrix'!A12,"")&amp;IF(ISNUMBER(SEARCH(";"&amp;A5&amp;";",";"&amp;'3. Matrix'!AB13&amp;";")),", "&amp;'3. Matrix'!A13,"")&amp;IF(ISNUMBER(SEARCH(";"&amp;A5&amp;";",";"&amp;'3. Matrix'!AB14&amp;";")),", "&amp;'3. Matrix'!A14,"")&amp;IF(ISNUMBER(SEARCH(";"&amp;A5&amp;";",";"&amp;'3. Matrix'!AB15&amp;";")),", "&amp;'3. Matrix'!A15,"")&amp;IF(ISNUMBER(SEARCH(";"&amp;A5&amp;";",";"&amp;'3. Matrix'!AB16&amp;";")),", "&amp;'3. Matrix'!A16,"")&amp;IF(ISNUMBER(SEARCH(";"&amp;A5&amp;";",";"&amp;'3. Matrix'!AB17&amp;";")),", "&amp;'3. Matrix'!A17,"")&amp;IF(ISNUMBER(SEARCH(";"&amp;A5&amp;";",";"&amp;'3. Matrix'!AB18&amp;";")),", "&amp;'3. Matrix'!A18,"")&amp;IF(ISNUMBER(SEARCH(";"&amp;A5&amp;";",";"&amp;'3. Matrix'!AB19&amp;";")),", "&amp;'3. Matrix'!A19,"")&amp;IF(ISNUMBER(SEARCH(";"&amp;A5&amp;";",";"&amp;'3. Matrix'!AB20&amp;";")),", "&amp;'3. Matrix'!A20,"")&amp;IF(ISNUMBER(SEARCH(";"&amp;A5&amp;";",";"&amp;'3. Matrix'!AB21&amp;";")),", "&amp;'3. Matrix'!A21,"")&amp;IF(ISNUMBER(SEARCH(";"&amp;A5&amp;";",";"&amp;'3. Matrix'!AB22&amp;";")),", "&amp;'3. Matrix'!A22,"")&amp;IF(ISNUMBER(SEARCH(";"&amp;A5&amp;";",";"&amp;'3. Matrix'!AB23&amp;";")),", "&amp;'3. Matrix'!A23,"")&amp;IF(ISNUMBER(SEARCH(";"&amp;A5&amp;";",";"&amp;'3. Matrix'!AB24&amp;";")),", "&amp;'3. Matrix'!A24,"")&amp;IF(ISNUMBER(SEARCH(";"&amp;A5&amp;";",";"&amp;'3. Matrix'!AB25&amp;";")),", "&amp;'3. Matrix'!A25,"")&amp;IF(ISNUMBER(SEARCH(";"&amp;A5&amp;";",";"&amp;'3. Matrix'!AB26&amp;";")),", "&amp;'3. Matrix'!A26,"")&amp;IF(ISNUMBER(SEARCH(";"&amp;A5&amp;";",";"&amp;'3. Matrix'!AB27&amp;";")),", "&amp;'3. Matrix'!A27,"")&amp;IF(ISNUMBER(SEARCH(";"&amp;A5&amp;";",";"&amp;'3. Matrix'!AB28&amp;";")),", "&amp;'3. Matrix'!A28,"")&amp;IF(ISNUMBER(SEARCH(";"&amp;A5&amp;";",";"&amp;'3. Matrix'!AB29&amp;";")),", "&amp;'3. Matrix'!A29,"")&amp;IF(ISNUMBER(SEARCH(";"&amp;A5&amp;";",";"&amp;'3. Matrix'!AB30&amp;";")),", "&amp;'3. Matrix'!A30,"")&amp;IF(ISNUMBER(SEARCH(";"&amp;A5&amp;";",";"&amp;'3. Matrix'!AB31&amp;";")),", "&amp;'3. Matrix'!A31,"")&amp;IF(ISNUMBER(SEARCH(";"&amp;A5&amp;";",";"&amp;'3. Matrix'!AB32&amp;";")),", "&amp;'3. Matrix'!A32,"")&amp;IF(ISNUMBER(SEARCH(";"&amp;A5&amp;";",";"&amp;'3. Matrix'!AB33&amp;";")),", "&amp;'3. Matrix'!A33,"")&amp;IF(ISNUMBER(SEARCH(";"&amp;A5&amp;";",";"&amp;'3. Matrix'!AB34&amp;";")),", "&amp;'3. Matrix'!A34,"")&amp;IF(ISNUMBER(SEARCH(";"&amp;A5&amp;";",";"&amp;'3. Matrix'!AB35&amp;";")),", "&amp;'3. Matrix'!A35,"")&amp;IF(ISNUMBER(SEARCH(";"&amp;A5&amp;";",";"&amp;'3. Matrix'!AB36&amp;";")),", "&amp;'3. Matrix'!A36,"")&amp;IF(ISNUMBER(SEARCH(";"&amp;A5&amp;";",";"&amp;'3. Matrix'!AB37&amp;";")),", "&amp;'3. Matrix'!A37,"")&amp;IF(ISNUMBER(SEARCH(";"&amp;A5&amp;";",";"&amp;'3. Matrix'!AB38&amp;";")),", "&amp;'3. Matrix'!A38,"")&amp;IF(ISNUMBER(SEARCH(";"&amp;A5&amp;";",";"&amp;'3. Matrix'!AB39&amp;";")),", "&amp;'3. Matrix'!A39,"")&amp;IF(ISNUMBER(SEARCH(";"&amp;A5&amp;";",";"&amp;'3. Matrix'!AB40&amp;";")),", "&amp;'3. Matrix'!A40,"")&amp;IF(ISNUMBER(SEARCH(";"&amp;A5&amp;";",";"&amp;'3. Matrix'!AB41&amp;";")),", "&amp;'3. Matrix'!A41,"")&amp;IF(ISNUMBER(SEARCH(";"&amp;A5&amp;";",";"&amp;'3. Matrix'!AB42&amp;";")),", "&amp;'3. Matrix'!A42,"")&amp;IF(ISNUMBER(SEARCH(";"&amp;A5&amp;";",";"&amp;'3. Matrix'!AB43&amp;";")),", "&amp;'3. Matrix'!A43,"")&amp;IF(ISNUMBER(SEARCH(";"&amp;A5&amp;";",";"&amp;'3. Matrix'!AB44&amp;";")),", "&amp;'3. Matrix'!A44,"")&amp;IF(ISNUMBER(SEARCH(";"&amp;A5&amp;";",";"&amp;'3. Matrix'!AB45&amp;";")),", "&amp;'3. Matrix'!A45,"")&amp;IF(ISNUMBER(SEARCH(";"&amp;A5&amp;";",";"&amp;'3. Matrix'!AB46&amp;";")),", "&amp;'3. Matrix'!A46,"")&amp;IF(ISNUMBER(SEARCH(";"&amp;A5&amp;";",";"&amp;'3. Matrix'!AB47&amp;";")),", "&amp;'3. Matrix'!A47,"")</f>
        <v/>
      </c>
    </row>
    <row r="6" ht="48" customHeight="1" s="79">
      <c r="A6" s="71" t="inlineStr">
        <is>
          <t>5.2</t>
        </is>
      </c>
      <c r="B6" s="72" t="inlineStr">
        <is>
          <t>Protection of Information</t>
        </is>
      </c>
      <c r="C6" s="72" t="inlineStr">
        <is>
          <t>Requirements</t>
        </is>
      </c>
      <c r="D6" s="72" t="inlineStr">
        <is>
          <t>Confidential information is not disclosed to unauthorised parties, and the risk of inadvertent disclosure is managed.</t>
        </is>
      </c>
      <c r="E6" s="72">
        <f>IF(G6="","Not scored on an assignment report",MID(G6,3,400))</f>
        <v/>
      </c>
      <c r="F6" s="72">
        <f>A6&amp;" "&amp;B6&amp;" — "&amp;C6</f>
        <v/>
      </c>
      <c r="G6">
        <f>IF(ISNUMBER(SEARCH(";"&amp;A6&amp;";",";"&amp;'3. Matrix'!AB6&amp;";")),", "&amp;'3. Matrix'!A6,"")&amp;IF(ISNUMBER(SEARCH(";"&amp;A6&amp;";",";"&amp;'3. Matrix'!AB7&amp;";")),", "&amp;'3. Matrix'!A7,"")&amp;IF(ISNUMBER(SEARCH(";"&amp;A6&amp;";",";"&amp;'3. Matrix'!AB8&amp;";")),", "&amp;'3. Matrix'!A8,"")&amp;IF(ISNUMBER(SEARCH(";"&amp;A6&amp;";",";"&amp;'3. Matrix'!AB9&amp;";")),", "&amp;'3. Matrix'!A9,"")&amp;IF(ISNUMBER(SEARCH(";"&amp;A6&amp;";",";"&amp;'3. Matrix'!AB10&amp;";")),", "&amp;'3. Matrix'!A10,"")&amp;IF(ISNUMBER(SEARCH(";"&amp;A6&amp;";",";"&amp;'3. Matrix'!AB11&amp;";")),", "&amp;'3. Matrix'!A11,"")&amp;IF(ISNUMBER(SEARCH(";"&amp;A6&amp;";",";"&amp;'3. Matrix'!AB12&amp;";")),", "&amp;'3. Matrix'!A12,"")&amp;IF(ISNUMBER(SEARCH(";"&amp;A6&amp;";",";"&amp;'3. Matrix'!AB13&amp;";")),", "&amp;'3. Matrix'!A13,"")&amp;IF(ISNUMBER(SEARCH(";"&amp;A6&amp;";",";"&amp;'3. Matrix'!AB14&amp;";")),", "&amp;'3. Matrix'!A14,"")&amp;IF(ISNUMBER(SEARCH(";"&amp;A6&amp;";",";"&amp;'3. Matrix'!AB15&amp;";")),", "&amp;'3. Matrix'!A15,"")&amp;IF(ISNUMBER(SEARCH(";"&amp;A6&amp;";",";"&amp;'3. Matrix'!AB16&amp;";")),", "&amp;'3. Matrix'!A16,"")&amp;IF(ISNUMBER(SEARCH(";"&amp;A6&amp;";",";"&amp;'3. Matrix'!AB17&amp;";")),", "&amp;'3. Matrix'!A17,"")&amp;IF(ISNUMBER(SEARCH(";"&amp;A6&amp;";",";"&amp;'3. Matrix'!AB18&amp;";")),", "&amp;'3. Matrix'!A18,"")&amp;IF(ISNUMBER(SEARCH(";"&amp;A6&amp;";",";"&amp;'3. Matrix'!AB19&amp;";")),", "&amp;'3. Matrix'!A19,"")&amp;IF(ISNUMBER(SEARCH(";"&amp;A6&amp;";",";"&amp;'3. Matrix'!AB20&amp;";")),", "&amp;'3. Matrix'!A20,"")&amp;IF(ISNUMBER(SEARCH(";"&amp;A6&amp;";",";"&amp;'3. Matrix'!AB21&amp;";")),", "&amp;'3. Matrix'!A21,"")&amp;IF(ISNUMBER(SEARCH(";"&amp;A6&amp;";",";"&amp;'3. Matrix'!AB22&amp;";")),", "&amp;'3. Matrix'!A22,"")&amp;IF(ISNUMBER(SEARCH(";"&amp;A6&amp;";",";"&amp;'3. Matrix'!AB23&amp;";")),", "&amp;'3. Matrix'!A23,"")&amp;IF(ISNUMBER(SEARCH(";"&amp;A6&amp;";",";"&amp;'3. Matrix'!AB24&amp;";")),", "&amp;'3. Matrix'!A24,"")&amp;IF(ISNUMBER(SEARCH(";"&amp;A6&amp;";",";"&amp;'3. Matrix'!AB25&amp;";")),", "&amp;'3. Matrix'!A25,"")&amp;IF(ISNUMBER(SEARCH(";"&amp;A6&amp;";",";"&amp;'3. Matrix'!AB26&amp;";")),", "&amp;'3. Matrix'!A26,"")&amp;IF(ISNUMBER(SEARCH(";"&amp;A6&amp;";",";"&amp;'3. Matrix'!AB27&amp;";")),", "&amp;'3. Matrix'!A27,"")&amp;IF(ISNUMBER(SEARCH(";"&amp;A6&amp;";",";"&amp;'3. Matrix'!AB28&amp;";")),", "&amp;'3. Matrix'!A28,"")&amp;IF(ISNUMBER(SEARCH(";"&amp;A6&amp;";",";"&amp;'3. Matrix'!AB29&amp;";")),", "&amp;'3. Matrix'!A29,"")&amp;IF(ISNUMBER(SEARCH(";"&amp;A6&amp;";",";"&amp;'3. Matrix'!AB30&amp;";")),", "&amp;'3. Matrix'!A30,"")&amp;IF(ISNUMBER(SEARCH(";"&amp;A6&amp;";",";"&amp;'3. Matrix'!AB31&amp;";")),", "&amp;'3. Matrix'!A31,"")&amp;IF(ISNUMBER(SEARCH(";"&amp;A6&amp;";",";"&amp;'3. Matrix'!AB32&amp;";")),", "&amp;'3. Matrix'!A32,"")&amp;IF(ISNUMBER(SEARCH(";"&amp;A6&amp;";",";"&amp;'3. Matrix'!AB33&amp;";")),", "&amp;'3. Matrix'!A33,"")&amp;IF(ISNUMBER(SEARCH(";"&amp;A6&amp;";",";"&amp;'3. Matrix'!AB34&amp;";")),", "&amp;'3. Matrix'!A34,"")&amp;IF(ISNUMBER(SEARCH(";"&amp;A6&amp;";",";"&amp;'3. Matrix'!AB35&amp;";")),", "&amp;'3. Matrix'!A35,"")&amp;IF(ISNUMBER(SEARCH(";"&amp;A6&amp;";",";"&amp;'3. Matrix'!AB36&amp;";")),", "&amp;'3. Matrix'!A36,"")&amp;IF(ISNUMBER(SEARCH(";"&amp;A6&amp;";",";"&amp;'3. Matrix'!AB37&amp;";")),", "&amp;'3. Matrix'!A37,"")&amp;IF(ISNUMBER(SEARCH(";"&amp;A6&amp;";",";"&amp;'3. Matrix'!AB38&amp;";")),", "&amp;'3. Matrix'!A38,"")&amp;IF(ISNUMBER(SEARCH(";"&amp;A6&amp;";",";"&amp;'3. Matrix'!AB39&amp;";")),", "&amp;'3. Matrix'!A39,"")&amp;IF(ISNUMBER(SEARCH(";"&amp;A6&amp;";",";"&amp;'3. Matrix'!AB40&amp;";")),", "&amp;'3. Matrix'!A40,"")&amp;IF(ISNUMBER(SEARCH(";"&amp;A6&amp;";",";"&amp;'3. Matrix'!AB41&amp;";")),", "&amp;'3. Matrix'!A41,"")&amp;IF(ISNUMBER(SEARCH(";"&amp;A6&amp;";",";"&amp;'3. Matrix'!AB42&amp;";")),", "&amp;'3. Matrix'!A42,"")&amp;IF(ISNUMBER(SEARCH(";"&amp;A6&amp;";",";"&amp;'3. Matrix'!AB43&amp;";")),", "&amp;'3. Matrix'!A43,"")&amp;IF(ISNUMBER(SEARCH(";"&amp;A6&amp;";",";"&amp;'3. Matrix'!AB44&amp;";")),", "&amp;'3. Matrix'!A44,"")&amp;IF(ISNUMBER(SEARCH(";"&amp;A6&amp;";",";"&amp;'3. Matrix'!AB45&amp;";")),", "&amp;'3. Matrix'!A45,"")&amp;IF(ISNUMBER(SEARCH(";"&amp;A6&amp;";",";"&amp;'3. Matrix'!AB46&amp;";")),", "&amp;'3. Matrix'!A46,"")&amp;IF(ISNUMBER(SEARCH(";"&amp;A6&amp;";",";"&amp;'3. Matrix'!AB47&amp;";")),", "&amp;'3. Matrix'!A47,"")</f>
        <v/>
      </c>
    </row>
    <row r="7" ht="48" customHeight="1" s="79">
      <c r="A7" s="69" t="inlineStr">
        <is>
          <t>11.2</t>
        </is>
      </c>
      <c r="B7" s="70" t="inlineStr">
        <is>
          <t>Effective Communication</t>
        </is>
      </c>
      <c r="C7" s="70" t="inlineStr">
        <is>
          <t>Requirements</t>
        </is>
      </c>
      <c r="D7" s="70" t="inlineStr">
        <is>
          <t>Communications are accurate, objective, clear, concise, constructive, complete, and timely. The definitions of those seven qualities sit in the considerations for Standard 11.2.</t>
        </is>
      </c>
      <c r="E7" s="70">
        <f>IF(G7="","Not scored on an assignment report",MID(G7,3,400))</f>
        <v/>
      </c>
      <c r="F7" s="70">
        <f>A7&amp;" "&amp;B7&amp;" — "&amp;C7</f>
        <v/>
      </c>
      <c r="G7">
        <f>IF(ISNUMBER(SEARCH(";"&amp;A7&amp;";",";"&amp;'3. Matrix'!AB6&amp;";")),", "&amp;'3. Matrix'!A6,"")&amp;IF(ISNUMBER(SEARCH(";"&amp;A7&amp;";",";"&amp;'3. Matrix'!AB7&amp;";")),", "&amp;'3. Matrix'!A7,"")&amp;IF(ISNUMBER(SEARCH(";"&amp;A7&amp;";",";"&amp;'3. Matrix'!AB8&amp;";")),", "&amp;'3. Matrix'!A8,"")&amp;IF(ISNUMBER(SEARCH(";"&amp;A7&amp;";",";"&amp;'3. Matrix'!AB9&amp;";")),", "&amp;'3. Matrix'!A9,"")&amp;IF(ISNUMBER(SEARCH(";"&amp;A7&amp;";",";"&amp;'3. Matrix'!AB10&amp;";")),", "&amp;'3. Matrix'!A10,"")&amp;IF(ISNUMBER(SEARCH(";"&amp;A7&amp;";",";"&amp;'3. Matrix'!AB11&amp;";")),", "&amp;'3. Matrix'!A11,"")&amp;IF(ISNUMBER(SEARCH(";"&amp;A7&amp;";",";"&amp;'3. Matrix'!AB12&amp;";")),", "&amp;'3. Matrix'!A12,"")&amp;IF(ISNUMBER(SEARCH(";"&amp;A7&amp;";",";"&amp;'3. Matrix'!AB13&amp;";")),", "&amp;'3. Matrix'!A13,"")&amp;IF(ISNUMBER(SEARCH(";"&amp;A7&amp;";",";"&amp;'3. Matrix'!AB14&amp;";")),", "&amp;'3. Matrix'!A14,"")&amp;IF(ISNUMBER(SEARCH(";"&amp;A7&amp;";",";"&amp;'3. Matrix'!AB15&amp;";")),", "&amp;'3. Matrix'!A15,"")&amp;IF(ISNUMBER(SEARCH(";"&amp;A7&amp;";",";"&amp;'3. Matrix'!AB16&amp;";")),", "&amp;'3. Matrix'!A16,"")&amp;IF(ISNUMBER(SEARCH(";"&amp;A7&amp;";",";"&amp;'3. Matrix'!AB17&amp;";")),", "&amp;'3. Matrix'!A17,"")&amp;IF(ISNUMBER(SEARCH(";"&amp;A7&amp;";",";"&amp;'3. Matrix'!AB18&amp;";")),", "&amp;'3. Matrix'!A18,"")&amp;IF(ISNUMBER(SEARCH(";"&amp;A7&amp;";",";"&amp;'3. Matrix'!AB19&amp;";")),", "&amp;'3. Matrix'!A19,"")&amp;IF(ISNUMBER(SEARCH(";"&amp;A7&amp;";",";"&amp;'3. Matrix'!AB20&amp;";")),", "&amp;'3. Matrix'!A20,"")&amp;IF(ISNUMBER(SEARCH(";"&amp;A7&amp;";",";"&amp;'3. Matrix'!AB21&amp;";")),", "&amp;'3. Matrix'!A21,"")&amp;IF(ISNUMBER(SEARCH(";"&amp;A7&amp;";",";"&amp;'3. Matrix'!AB22&amp;";")),", "&amp;'3. Matrix'!A22,"")&amp;IF(ISNUMBER(SEARCH(";"&amp;A7&amp;";",";"&amp;'3. Matrix'!AB23&amp;";")),", "&amp;'3. Matrix'!A23,"")&amp;IF(ISNUMBER(SEARCH(";"&amp;A7&amp;";",";"&amp;'3. Matrix'!AB24&amp;";")),", "&amp;'3. Matrix'!A24,"")&amp;IF(ISNUMBER(SEARCH(";"&amp;A7&amp;";",";"&amp;'3. Matrix'!AB25&amp;";")),", "&amp;'3. Matrix'!A25,"")&amp;IF(ISNUMBER(SEARCH(";"&amp;A7&amp;";",";"&amp;'3. Matrix'!AB26&amp;";")),", "&amp;'3. Matrix'!A26,"")&amp;IF(ISNUMBER(SEARCH(";"&amp;A7&amp;";",";"&amp;'3. Matrix'!AB27&amp;";")),", "&amp;'3. Matrix'!A27,"")&amp;IF(ISNUMBER(SEARCH(";"&amp;A7&amp;";",";"&amp;'3. Matrix'!AB28&amp;";")),", "&amp;'3. Matrix'!A28,"")&amp;IF(ISNUMBER(SEARCH(";"&amp;A7&amp;";",";"&amp;'3. Matrix'!AB29&amp;";")),", "&amp;'3. Matrix'!A29,"")&amp;IF(ISNUMBER(SEARCH(";"&amp;A7&amp;";",";"&amp;'3. Matrix'!AB30&amp;";")),", "&amp;'3. Matrix'!A30,"")&amp;IF(ISNUMBER(SEARCH(";"&amp;A7&amp;";",";"&amp;'3. Matrix'!AB31&amp;";")),", "&amp;'3. Matrix'!A31,"")&amp;IF(ISNUMBER(SEARCH(";"&amp;A7&amp;";",";"&amp;'3. Matrix'!AB32&amp;";")),", "&amp;'3. Matrix'!A32,"")&amp;IF(ISNUMBER(SEARCH(";"&amp;A7&amp;";",";"&amp;'3. Matrix'!AB33&amp;";")),", "&amp;'3. Matrix'!A33,"")&amp;IF(ISNUMBER(SEARCH(";"&amp;A7&amp;";",";"&amp;'3. Matrix'!AB34&amp;";")),", "&amp;'3. Matrix'!A34,"")&amp;IF(ISNUMBER(SEARCH(";"&amp;A7&amp;";",";"&amp;'3. Matrix'!AB35&amp;";")),", "&amp;'3. Matrix'!A35,"")&amp;IF(ISNUMBER(SEARCH(";"&amp;A7&amp;";",";"&amp;'3. Matrix'!AB36&amp;";")),", "&amp;'3. Matrix'!A36,"")&amp;IF(ISNUMBER(SEARCH(";"&amp;A7&amp;";",";"&amp;'3. Matrix'!AB37&amp;";")),", "&amp;'3. Matrix'!A37,"")&amp;IF(ISNUMBER(SEARCH(";"&amp;A7&amp;";",";"&amp;'3. Matrix'!AB38&amp;";")),", "&amp;'3. Matrix'!A38,"")&amp;IF(ISNUMBER(SEARCH(";"&amp;A7&amp;";",";"&amp;'3. Matrix'!AB39&amp;";")),", "&amp;'3. Matrix'!A39,"")&amp;IF(ISNUMBER(SEARCH(";"&amp;A7&amp;";",";"&amp;'3. Matrix'!AB40&amp;";")),", "&amp;'3. Matrix'!A40,"")&amp;IF(ISNUMBER(SEARCH(";"&amp;A7&amp;";",";"&amp;'3. Matrix'!AB41&amp;";")),", "&amp;'3. Matrix'!A41,"")&amp;IF(ISNUMBER(SEARCH(";"&amp;A7&amp;";",";"&amp;'3. Matrix'!AB42&amp;";")),", "&amp;'3. Matrix'!A42,"")&amp;IF(ISNUMBER(SEARCH(";"&amp;A7&amp;";",";"&amp;'3. Matrix'!AB43&amp;";")),", "&amp;'3. Matrix'!A43,"")&amp;IF(ISNUMBER(SEARCH(";"&amp;A7&amp;";",";"&amp;'3. Matrix'!AB44&amp;";")),", "&amp;'3. Matrix'!A44,"")&amp;IF(ISNUMBER(SEARCH(";"&amp;A7&amp;";",";"&amp;'3. Matrix'!AB45&amp;";")),", "&amp;'3. Matrix'!A45,"")&amp;IF(ISNUMBER(SEARCH(";"&amp;A7&amp;";",";"&amp;'3. Matrix'!AB46&amp;";")),", "&amp;'3. Matrix'!A46,"")&amp;IF(ISNUMBER(SEARCH(";"&amp;A7&amp;";",";"&amp;'3. Matrix'!AB47&amp;";")),", "&amp;'3. Matrix'!A47,"")</f>
        <v/>
      </c>
    </row>
    <row r="8" ht="48" customHeight="1" s="79">
      <c r="A8" s="71" t="inlineStr">
        <is>
          <t>11.3</t>
        </is>
      </c>
      <c r="B8" s="72" t="inlineStr">
        <is>
          <t>Communicating Results</t>
        </is>
      </c>
      <c r="C8" s="72" t="inlineStr">
        <is>
          <t>Requirements</t>
        </is>
      </c>
      <c r="D8" s="72" t="inlineStr">
        <is>
          <t>Results go to the board and senior management. The chief audit executive approves the final communication before it is issued. Where an overall conclusion is required, it states the request, the criteria, the scope and period, the support, and any reliance on other assurance providers.</t>
        </is>
      </c>
      <c r="E8" s="72">
        <f>IF(G8="","Not scored on an assignment report",MID(G8,3,400))</f>
        <v/>
      </c>
      <c r="F8" s="72">
        <f>A8&amp;" "&amp;B8&amp;" — "&amp;C8</f>
        <v/>
      </c>
      <c r="G8">
        <f>IF(ISNUMBER(SEARCH(";"&amp;A8&amp;";",";"&amp;'3. Matrix'!AB6&amp;";")),", "&amp;'3. Matrix'!A6,"")&amp;IF(ISNUMBER(SEARCH(";"&amp;A8&amp;";",";"&amp;'3. Matrix'!AB7&amp;";")),", "&amp;'3. Matrix'!A7,"")&amp;IF(ISNUMBER(SEARCH(";"&amp;A8&amp;";",";"&amp;'3. Matrix'!AB8&amp;";")),", "&amp;'3. Matrix'!A8,"")&amp;IF(ISNUMBER(SEARCH(";"&amp;A8&amp;";",";"&amp;'3. Matrix'!AB9&amp;";")),", "&amp;'3. Matrix'!A9,"")&amp;IF(ISNUMBER(SEARCH(";"&amp;A8&amp;";",";"&amp;'3. Matrix'!AB10&amp;";")),", "&amp;'3. Matrix'!A10,"")&amp;IF(ISNUMBER(SEARCH(";"&amp;A8&amp;";",";"&amp;'3. Matrix'!AB11&amp;";")),", "&amp;'3. Matrix'!A11,"")&amp;IF(ISNUMBER(SEARCH(";"&amp;A8&amp;";",";"&amp;'3. Matrix'!AB12&amp;";")),", "&amp;'3. Matrix'!A12,"")&amp;IF(ISNUMBER(SEARCH(";"&amp;A8&amp;";",";"&amp;'3. Matrix'!AB13&amp;";")),", "&amp;'3. Matrix'!A13,"")&amp;IF(ISNUMBER(SEARCH(";"&amp;A8&amp;";",";"&amp;'3. Matrix'!AB14&amp;";")),", "&amp;'3. Matrix'!A14,"")&amp;IF(ISNUMBER(SEARCH(";"&amp;A8&amp;";",";"&amp;'3. Matrix'!AB15&amp;";")),", "&amp;'3. Matrix'!A15,"")&amp;IF(ISNUMBER(SEARCH(";"&amp;A8&amp;";",";"&amp;'3. Matrix'!AB16&amp;";")),", "&amp;'3. Matrix'!A16,"")&amp;IF(ISNUMBER(SEARCH(";"&amp;A8&amp;";",";"&amp;'3. Matrix'!AB17&amp;";")),", "&amp;'3. Matrix'!A17,"")&amp;IF(ISNUMBER(SEARCH(";"&amp;A8&amp;";",";"&amp;'3. Matrix'!AB18&amp;";")),", "&amp;'3. Matrix'!A18,"")&amp;IF(ISNUMBER(SEARCH(";"&amp;A8&amp;";",";"&amp;'3. Matrix'!AB19&amp;";")),", "&amp;'3. Matrix'!A19,"")&amp;IF(ISNUMBER(SEARCH(";"&amp;A8&amp;";",";"&amp;'3. Matrix'!AB20&amp;";")),", "&amp;'3. Matrix'!A20,"")&amp;IF(ISNUMBER(SEARCH(";"&amp;A8&amp;";",";"&amp;'3. Matrix'!AB21&amp;";")),", "&amp;'3. Matrix'!A21,"")&amp;IF(ISNUMBER(SEARCH(";"&amp;A8&amp;";",";"&amp;'3. Matrix'!AB22&amp;";")),", "&amp;'3. Matrix'!A22,"")&amp;IF(ISNUMBER(SEARCH(";"&amp;A8&amp;";",";"&amp;'3. Matrix'!AB23&amp;";")),", "&amp;'3. Matrix'!A23,"")&amp;IF(ISNUMBER(SEARCH(";"&amp;A8&amp;";",";"&amp;'3. Matrix'!AB24&amp;";")),", "&amp;'3. Matrix'!A24,"")&amp;IF(ISNUMBER(SEARCH(";"&amp;A8&amp;";",";"&amp;'3. Matrix'!AB25&amp;";")),", "&amp;'3. Matrix'!A25,"")&amp;IF(ISNUMBER(SEARCH(";"&amp;A8&amp;";",";"&amp;'3. Matrix'!AB26&amp;";")),", "&amp;'3. Matrix'!A26,"")&amp;IF(ISNUMBER(SEARCH(";"&amp;A8&amp;";",";"&amp;'3. Matrix'!AB27&amp;";")),", "&amp;'3. Matrix'!A27,"")&amp;IF(ISNUMBER(SEARCH(";"&amp;A8&amp;";",";"&amp;'3. Matrix'!AB28&amp;";")),", "&amp;'3. Matrix'!A28,"")&amp;IF(ISNUMBER(SEARCH(";"&amp;A8&amp;";",";"&amp;'3. Matrix'!AB29&amp;";")),", "&amp;'3. Matrix'!A29,"")&amp;IF(ISNUMBER(SEARCH(";"&amp;A8&amp;";",";"&amp;'3. Matrix'!AB30&amp;";")),", "&amp;'3. Matrix'!A30,"")&amp;IF(ISNUMBER(SEARCH(";"&amp;A8&amp;";",";"&amp;'3. Matrix'!AB31&amp;";")),", "&amp;'3. Matrix'!A31,"")&amp;IF(ISNUMBER(SEARCH(";"&amp;A8&amp;";",";"&amp;'3. Matrix'!AB32&amp;";")),", "&amp;'3. Matrix'!A32,"")&amp;IF(ISNUMBER(SEARCH(";"&amp;A8&amp;";",";"&amp;'3. Matrix'!AB33&amp;";")),", "&amp;'3. Matrix'!A33,"")&amp;IF(ISNUMBER(SEARCH(";"&amp;A8&amp;";",";"&amp;'3. Matrix'!AB34&amp;";")),", "&amp;'3. Matrix'!A34,"")&amp;IF(ISNUMBER(SEARCH(";"&amp;A8&amp;";",";"&amp;'3. Matrix'!AB35&amp;";")),", "&amp;'3. Matrix'!A35,"")&amp;IF(ISNUMBER(SEARCH(";"&amp;A8&amp;";",";"&amp;'3. Matrix'!AB36&amp;";")),", "&amp;'3. Matrix'!A36,"")&amp;IF(ISNUMBER(SEARCH(";"&amp;A8&amp;";",";"&amp;'3. Matrix'!AB37&amp;";")),", "&amp;'3. Matrix'!A37,"")&amp;IF(ISNUMBER(SEARCH(";"&amp;A8&amp;";",";"&amp;'3. Matrix'!AB38&amp;";")),", "&amp;'3. Matrix'!A38,"")&amp;IF(ISNUMBER(SEARCH(";"&amp;A8&amp;";",";"&amp;'3. Matrix'!AB39&amp;";")),", "&amp;'3. Matrix'!A39,"")&amp;IF(ISNUMBER(SEARCH(";"&amp;A8&amp;";",";"&amp;'3. Matrix'!AB40&amp;";")),", "&amp;'3. Matrix'!A40,"")&amp;IF(ISNUMBER(SEARCH(";"&amp;A8&amp;";",";"&amp;'3. Matrix'!AB41&amp;";")),", "&amp;'3. Matrix'!A41,"")&amp;IF(ISNUMBER(SEARCH(";"&amp;A8&amp;";",";"&amp;'3. Matrix'!AB42&amp;";")),", "&amp;'3. Matrix'!A42,"")&amp;IF(ISNUMBER(SEARCH(";"&amp;A8&amp;";",";"&amp;'3. Matrix'!AB43&amp;";")),", "&amp;'3. Matrix'!A43,"")&amp;IF(ISNUMBER(SEARCH(";"&amp;A8&amp;";",";"&amp;'3. Matrix'!AB44&amp;";")),", "&amp;'3. Matrix'!A44,"")&amp;IF(ISNUMBER(SEARCH(";"&amp;A8&amp;";",";"&amp;'3. Matrix'!AB45&amp;";")),", "&amp;'3. Matrix'!A45,"")&amp;IF(ISNUMBER(SEARCH(";"&amp;A8&amp;";",";"&amp;'3. Matrix'!AB46&amp;";")),", "&amp;'3. Matrix'!A46,"")&amp;IF(ISNUMBER(SEARCH(";"&amp;A8&amp;";",";"&amp;'3. Matrix'!AB47&amp;";")),", "&amp;'3. Matrix'!A47,"")</f>
        <v/>
      </c>
    </row>
    <row r="9" ht="48" customHeight="1" s="79">
      <c r="A9" s="69" t="inlineStr">
        <is>
          <t>11.4</t>
        </is>
      </c>
      <c r="B9" s="70" t="inlineStr">
        <is>
          <t>Errors and Omissions</t>
        </is>
      </c>
      <c r="C9" s="70" t="inlineStr">
        <is>
          <t>Requirements</t>
        </is>
      </c>
      <c r="D9" s="70" t="inlineStr">
        <is>
          <t>If a final communication contains a significant error or omission, corrected information goes promptly to everyone who received the original.</t>
        </is>
      </c>
      <c r="E9" s="70">
        <f>IF(G9="","Not scored on an assignment report",MID(G9,3,400))</f>
        <v/>
      </c>
      <c r="F9" s="70">
        <f>A9&amp;" "&amp;B9&amp;" — "&amp;C9</f>
        <v/>
      </c>
      <c r="G9">
        <f>IF(ISNUMBER(SEARCH(";"&amp;A9&amp;";",";"&amp;'3. Matrix'!AB6&amp;";")),", "&amp;'3. Matrix'!A6,"")&amp;IF(ISNUMBER(SEARCH(";"&amp;A9&amp;";",";"&amp;'3. Matrix'!AB7&amp;";")),", "&amp;'3. Matrix'!A7,"")&amp;IF(ISNUMBER(SEARCH(";"&amp;A9&amp;";",";"&amp;'3. Matrix'!AB8&amp;";")),", "&amp;'3. Matrix'!A8,"")&amp;IF(ISNUMBER(SEARCH(";"&amp;A9&amp;";",";"&amp;'3. Matrix'!AB9&amp;";")),", "&amp;'3. Matrix'!A9,"")&amp;IF(ISNUMBER(SEARCH(";"&amp;A9&amp;";",";"&amp;'3. Matrix'!AB10&amp;";")),", "&amp;'3. Matrix'!A10,"")&amp;IF(ISNUMBER(SEARCH(";"&amp;A9&amp;";",";"&amp;'3. Matrix'!AB11&amp;";")),", "&amp;'3. Matrix'!A11,"")&amp;IF(ISNUMBER(SEARCH(";"&amp;A9&amp;";",";"&amp;'3. Matrix'!AB12&amp;";")),", "&amp;'3. Matrix'!A12,"")&amp;IF(ISNUMBER(SEARCH(";"&amp;A9&amp;";",";"&amp;'3. Matrix'!AB13&amp;";")),", "&amp;'3. Matrix'!A13,"")&amp;IF(ISNUMBER(SEARCH(";"&amp;A9&amp;";",";"&amp;'3. Matrix'!AB14&amp;";")),", "&amp;'3. Matrix'!A14,"")&amp;IF(ISNUMBER(SEARCH(";"&amp;A9&amp;";",";"&amp;'3. Matrix'!AB15&amp;";")),", "&amp;'3. Matrix'!A15,"")&amp;IF(ISNUMBER(SEARCH(";"&amp;A9&amp;";",";"&amp;'3. Matrix'!AB16&amp;";")),", "&amp;'3. Matrix'!A16,"")&amp;IF(ISNUMBER(SEARCH(";"&amp;A9&amp;";",";"&amp;'3. Matrix'!AB17&amp;";")),", "&amp;'3. Matrix'!A17,"")&amp;IF(ISNUMBER(SEARCH(";"&amp;A9&amp;";",";"&amp;'3. Matrix'!AB18&amp;";")),", "&amp;'3. Matrix'!A18,"")&amp;IF(ISNUMBER(SEARCH(";"&amp;A9&amp;";",";"&amp;'3. Matrix'!AB19&amp;";")),", "&amp;'3. Matrix'!A19,"")&amp;IF(ISNUMBER(SEARCH(";"&amp;A9&amp;";",";"&amp;'3. Matrix'!AB20&amp;";")),", "&amp;'3. Matrix'!A20,"")&amp;IF(ISNUMBER(SEARCH(";"&amp;A9&amp;";",";"&amp;'3. Matrix'!AB21&amp;";")),", "&amp;'3. Matrix'!A21,"")&amp;IF(ISNUMBER(SEARCH(";"&amp;A9&amp;";",";"&amp;'3. Matrix'!AB22&amp;";")),", "&amp;'3. Matrix'!A22,"")&amp;IF(ISNUMBER(SEARCH(";"&amp;A9&amp;";",";"&amp;'3. Matrix'!AB23&amp;";")),", "&amp;'3. Matrix'!A23,"")&amp;IF(ISNUMBER(SEARCH(";"&amp;A9&amp;";",";"&amp;'3. Matrix'!AB24&amp;";")),", "&amp;'3. Matrix'!A24,"")&amp;IF(ISNUMBER(SEARCH(";"&amp;A9&amp;";",";"&amp;'3. Matrix'!AB25&amp;";")),", "&amp;'3. Matrix'!A25,"")&amp;IF(ISNUMBER(SEARCH(";"&amp;A9&amp;";",";"&amp;'3. Matrix'!AB26&amp;";")),", "&amp;'3. Matrix'!A26,"")&amp;IF(ISNUMBER(SEARCH(";"&amp;A9&amp;";",";"&amp;'3. Matrix'!AB27&amp;";")),", "&amp;'3. Matrix'!A27,"")&amp;IF(ISNUMBER(SEARCH(";"&amp;A9&amp;";",";"&amp;'3. Matrix'!AB28&amp;";")),", "&amp;'3. Matrix'!A28,"")&amp;IF(ISNUMBER(SEARCH(";"&amp;A9&amp;";",";"&amp;'3. Matrix'!AB29&amp;";")),", "&amp;'3. Matrix'!A29,"")&amp;IF(ISNUMBER(SEARCH(";"&amp;A9&amp;";",";"&amp;'3. Matrix'!AB30&amp;";")),", "&amp;'3. Matrix'!A30,"")&amp;IF(ISNUMBER(SEARCH(";"&amp;A9&amp;";",";"&amp;'3. Matrix'!AB31&amp;";")),", "&amp;'3. Matrix'!A31,"")&amp;IF(ISNUMBER(SEARCH(";"&amp;A9&amp;";",";"&amp;'3. Matrix'!AB32&amp;";")),", "&amp;'3. Matrix'!A32,"")&amp;IF(ISNUMBER(SEARCH(";"&amp;A9&amp;";",";"&amp;'3. Matrix'!AB33&amp;";")),", "&amp;'3. Matrix'!A33,"")&amp;IF(ISNUMBER(SEARCH(";"&amp;A9&amp;";",";"&amp;'3. Matrix'!AB34&amp;";")),", "&amp;'3. Matrix'!A34,"")&amp;IF(ISNUMBER(SEARCH(";"&amp;A9&amp;";",";"&amp;'3. Matrix'!AB35&amp;";")),", "&amp;'3. Matrix'!A35,"")&amp;IF(ISNUMBER(SEARCH(";"&amp;A9&amp;";",";"&amp;'3. Matrix'!AB36&amp;";")),", "&amp;'3. Matrix'!A36,"")&amp;IF(ISNUMBER(SEARCH(";"&amp;A9&amp;";",";"&amp;'3. Matrix'!AB37&amp;";")),", "&amp;'3. Matrix'!A37,"")&amp;IF(ISNUMBER(SEARCH(";"&amp;A9&amp;";",";"&amp;'3. Matrix'!AB38&amp;";")),", "&amp;'3. Matrix'!A38,"")&amp;IF(ISNUMBER(SEARCH(";"&amp;A9&amp;";",";"&amp;'3. Matrix'!AB39&amp;";")),", "&amp;'3. Matrix'!A39,"")&amp;IF(ISNUMBER(SEARCH(";"&amp;A9&amp;";",";"&amp;'3. Matrix'!AB40&amp;";")),", "&amp;'3. Matrix'!A40,"")&amp;IF(ISNUMBER(SEARCH(";"&amp;A9&amp;";",";"&amp;'3. Matrix'!AB41&amp;";")),", "&amp;'3. Matrix'!A41,"")&amp;IF(ISNUMBER(SEARCH(";"&amp;A9&amp;";",";"&amp;'3. Matrix'!AB42&amp;";")),", "&amp;'3. Matrix'!A42,"")&amp;IF(ISNUMBER(SEARCH(";"&amp;A9&amp;";",";"&amp;'3. Matrix'!AB43&amp;";")),", "&amp;'3. Matrix'!A43,"")&amp;IF(ISNUMBER(SEARCH(";"&amp;A9&amp;";",";"&amp;'3. Matrix'!AB44&amp;";")),", "&amp;'3. Matrix'!A44,"")&amp;IF(ISNUMBER(SEARCH(";"&amp;A9&amp;";",";"&amp;'3. Matrix'!AB45&amp;";")),", "&amp;'3. Matrix'!A45,"")&amp;IF(ISNUMBER(SEARCH(";"&amp;A9&amp;";",";"&amp;'3. Matrix'!AB46&amp;";")),", "&amp;'3. Matrix'!A46,"")&amp;IF(ISNUMBER(SEARCH(";"&amp;A9&amp;";",";"&amp;'3. Matrix'!AB47&amp;";")),", "&amp;'3. Matrix'!A47,"")</f>
        <v/>
      </c>
    </row>
    <row r="10" ht="48" customHeight="1" s="79">
      <c r="A10" s="71" t="inlineStr">
        <is>
          <t>11.5</t>
        </is>
      </c>
      <c r="B10" s="72" t="inlineStr">
        <is>
          <t>Communicating the Acceptance of Risks</t>
        </is>
      </c>
      <c r="C10" s="72" t="inlineStr">
        <is>
          <t>Requirements</t>
        </is>
      </c>
      <c r="D10" s="72" t="inlineStr">
        <is>
          <t>Risk that management accepts above appetite or tolerance is discussed with senior management and, if unresolved, escalated to the board.</t>
        </is>
      </c>
      <c r="E10" s="72">
        <f>IF(G10="","Not scored on an assignment report",MID(G10,3,400))</f>
        <v/>
      </c>
      <c r="F10" s="72">
        <f>A10&amp;" "&amp;B10&amp;" — "&amp;C10</f>
        <v/>
      </c>
      <c r="G10">
        <f>IF(ISNUMBER(SEARCH(";"&amp;A10&amp;";",";"&amp;'3. Matrix'!AB6&amp;";")),", "&amp;'3. Matrix'!A6,"")&amp;IF(ISNUMBER(SEARCH(";"&amp;A10&amp;";",";"&amp;'3. Matrix'!AB7&amp;";")),", "&amp;'3. Matrix'!A7,"")&amp;IF(ISNUMBER(SEARCH(";"&amp;A10&amp;";",";"&amp;'3. Matrix'!AB8&amp;";")),", "&amp;'3. Matrix'!A8,"")&amp;IF(ISNUMBER(SEARCH(";"&amp;A10&amp;";",";"&amp;'3. Matrix'!AB9&amp;";")),", "&amp;'3. Matrix'!A9,"")&amp;IF(ISNUMBER(SEARCH(";"&amp;A10&amp;";",";"&amp;'3. Matrix'!AB10&amp;";")),", "&amp;'3. Matrix'!A10,"")&amp;IF(ISNUMBER(SEARCH(";"&amp;A10&amp;";",";"&amp;'3. Matrix'!AB11&amp;";")),", "&amp;'3. Matrix'!A11,"")&amp;IF(ISNUMBER(SEARCH(";"&amp;A10&amp;";",";"&amp;'3. Matrix'!AB12&amp;";")),", "&amp;'3. Matrix'!A12,"")&amp;IF(ISNUMBER(SEARCH(";"&amp;A10&amp;";",";"&amp;'3. Matrix'!AB13&amp;";")),", "&amp;'3. Matrix'!A13,"")&amp;IF(ISNUMBER(SEARCH(";"&amp;A10&amp;";",";"&amp;'3. Matrix'!AB14&amp;";")),", "&amp;'3. Matrix'!A14,"")&amp;IF(ISNUMBER(SEARCH(";"&amp;A10&amp;";",";"&amp;'3. Matrix'!AB15&amp;";")),", "&amp;'3. Matrix'!A15,"")&amp;IF(ISNUMBER(SEARCH(";"&amp;A10&amp;";",";"&amp;'3. Matrix'!AB16&amp;";")),", "&amp;'3. Matrix'!A16,"")&amp;IF(ISNUMBER(SEARCH(";"&amp;A10&amp;";",";"&amp;'3. Matrix'!AB17&amp;";")),", "&amp;'3. Matrix'!A17,"")&amp;IF(ISNUMBER(SEARCH(";"&amp;A10&amp;";",";"&amp;'3. Matrix'!AB18&amp;";")),", "&amp;'3. Matrix'!A18,"")&amp;IF(ISNUMBER(SEARCH(";"&amp;A10&amp;";",";"&amp;'3. Matrix'!AB19&amp;";")),", "&amp;'3. Matrix'!A19,"")&amp;IF(ISNUMBER(SEARCH(";"&amp;A10&amp;";",";"&amp;'3. Matrix'!AB20&amp;";")),", "&amp;'3. Matrix'!A20,"")&amp;IF(ISNUMBER(SEARCH(";"&amp;A10&amp;";",";"&amp;'3. Matrix'!AB21&amp;";")),", "&amp;'3. Matrix'!A21,"")&amp;IF(ISNUMBER(SEARCH(";"&amp;A10&amp;";",";"&amp;'3. Matrix'!AB22&amp;";")),", "&amp;'3. Matrix'!A22,"")&amp;IF(ISNUMBER(SEARCH(";"&amp;A10&amp;";",";"&amp;'3. Matrix'!AB23&amp;";")),", "&amp;'3. Matrix'!A23,"")&amp;IF(ISNUMBER(SEARCH(";"&amp;A10&amp;";",";"&amp;'3. Matrix'!AB24&amp;";")),", "&amp;'3. Matrix'!A24,"")&amp;IF(ISNUMBER(SEARCH(";"&amp;A10&amp;";",";"&amp;'3. Matrix'!AB25&amp;";")),", "&amp;'3. Matrix'!A25,"")&amp;IF(ISNUMBER(SEARCH(";"&amp;A10&amp;";",";"&amp;'3. Matrix'!AB26&amp;";")),", "&amp;'3. Matrix'!A26,"")&amp;IF(ISNUMBER(SEARCH(";"&amp;A10&amp;";",";"&amp;'3. Matrix'!AB27&amp;";")),", "&amp;'3. Matrix'!A27,"")&amp;IF(ISNUMBER(SEARCH(";"&amp;A10&amp;";",";"&amp;'3. Matrix'!AB28&amp;";")),", "&amp;'3. Matrix'!A28,"")&amp;IF(ISNUMBER(SEARCH(";"&amp;A10&amp;";",";"&amp;'3. Matrix'!AB29&amp;";")),", "&amp;'3. Matrix'!A29,"")&amp;IF(ISNUMBER(SEARCH(";"&amp;A10&amp;";",";"&amp;'3. Matrix'!AB30&amp;";")),", "&amp;'3. Matrix'!A30,"")&amp;IF(ISNUMBER(SEARCH(";"&amp;A10&amp;";",";"&amp;'3. Matrix'!AB31&amp;";")),", "&amp;'3. Matrix'!A31,"")&amp;IF(ISNUMBER(SEARCH(";"&amp;A10&amp;";",";"&amp;'3. Matrix'!AB32&amp;";")),", "&amp;'3. Matrix'!A32,"")&amp;IF(ISNUMBER(SEARCH(";"&amp;A10&amp;";",";"&amp;'3. Matrix'!AB33&amp;";")),", "&amp;'3. Matrix'!A33,"")&amp;IF(ISNUMBER(SEARCH(";"&amp;A10&amp;";",";"&amp;'3. Matrix'!AB34&amp;";")),", "&amp;'3. Matrix'!A34,"")&amp;IF(ISNUMBER(SEARCH(";"&amp;A10&amp;";",";"&amp;'3. Matrix'!AB35&amp;";")),", "&amp;'3. Matrix'!A35,"")&amp;IF(ISNUMBER(SEARCH(";"&amp;A10&amp;";",";"&amp;'3. Matrix'!AB36&amp;";")),", "&amp;'3. Matrix'!A36,"")&amp;IF(ISNUMBER(SEARCH(";"&amp;A10&amp;";",";"&amp;'3. Matrix'!AB37&amp;";")),", "&amp;'3. Matrix'!A37,"")&amp;IF(ISNUMBER(SEARCH(";"&amp;A10&amp;";",";"&amp;'3. Matrix'!AB38&amp;";")),", "&amp;'3. Matrix'!A38,"")&amp;IF(ISNUMBER(SEARCH(";"&amp;A10&amp;";",";"&amp;'3. Matrix'!AB39&amp;";")),", "&amp;'3. Matrix'!A39,"")&amp;IF(ISNUMBER(SEARCH(";"&amp;A10&amp;";",";"&amp;'3. Matrix'!AB40&amp;";")),", "&amp;'3. Matrix'!A40,"")&amp;IF(ISNUMBER(SEARCH(";"&amp;A10&amp;";",";"&amp;'3. Matrix'!AB41&amp;";")),", "&amp;'3. Matrix'!A41,"")&amp;IF(ISNUMBER(SEARCH(";"&amp;A10&amp;";",";"&amp;'3. Matrix'!AB42&amp;";")),", "&amp;'3. Matrix'!A42,"")&amp;IF(ISNUMBER(SEARCH(";"&amp;A10&amp;";",";"&amp;'3. Matrix'!AB43&amp;";")),", "&amp;'3. Matrix'!A43,"")&amp;IF(ISNUMBER(SEARCH(";"&amp;A10&amp;";",";"&amp;'3. Matrix'!AB44&amp;";")),", "&amp;'3. Matrix'!A44,"")&amp;IF(ISNUMBER(SEARCH(";"&amp;A10&amp;";",";"&amp;'3. Matrix'!AB45&amp;";")),", "&amp;'3. Matrix'!A45,"")&amp;IF(ISNUMBER(SEARCH(";"&amp;A10&amp;";",";"&amp;'3. Matrix'!AB46&amp;";")),", "&amp;'3. Matrix'!A46,"")&amp;IF(ISNUMBER(SEARCH(";"&amp;A10&amp;";",";"&amp;'3. Matrix'!AB47&amp;";")),", "&amp;'3. Matrix'!A47,"")</f>
        <v/>
      </c>
    </row>
    <row r="11" ht="48" customHeight="1" s="79">
      <c r="A11" s="69" t="inlineStr">
        <is>
          <t>13.1</t>
        </is>
      </c>
      <c r="B11" s="70" t="inlineStr">
        <is>
          <t>Engagement Communication</t>
        </is>
      </c>
      <c r="C11" s="70" t="inlineStr">
        <is>
          <t>Requirements</t>
        </is>
      </c>
      <c r="D11" s="70" t="inlineStr">
        <is>
          <t>Results are discussed with the management of the activity. A disagreement does not, by itself, require the result to be changed.</t>
        </is>
      </c>
      <c r="E11" s="70">
        <f>IF(G11="","Not scored on an assignment report",MID(G11,3,400))</f>
        <v/>
      </c>
      <c r="F11" s="70">
        <f>A11&amp;" "&amp;B11&amp;" — "&amp;C11</f>
        <v/>
      </c>
      <c r="G11">
        <f>IF(ISNUMBER(SEARCH(";"&amp;A11&amp;";",";"&amp;'3. Matrix'!AB6&amp;";")),", "&amp;'3. Matrix'!A6,"")&amp;IF(ISNUMBER(SEARCH(";"&amp;A11&amp;";",";"&amp;'3. Matrix'!AB7&amp;";")),", "&amp;'3. Matrix'!A7,"")&amp;IF(ISNUMBER(SEARCH(";"&amp;A11&amp;";",";"&amp;'3. Matrix'!AB8&amp;";")),", "&amp;'3. Matrix'!A8,"")&amp;IF(ISNUMBER(SEARCH(";"&amp;A11&amp;";",";"&amp;'3. Matrix'!AB9&amp;";")),", "&amp;'3. Matrix'!A9,"")&amp;IF(ISNUMBER(SEARCH(";"&amp;A11&amp;";",";"&amp;'3. Matrix'!AB10&amp;";")),", "&amp;'3. Matrix'!A10,"")&amp;IF(ISNUMBER(SEARCH(";"&amp;A11&amp;";",";"&amp;'3. Matrix'!AB11&amp;";")),", "&amp;'3. Matrix'!A11,"")&amp;IF(ISNUMBER(SEARCH(";"&amp;A11&amp;";",";"&amp;'3. Matrix'!AB12&amp;";")),", "&amp;'3. Matrix'!A12,"")&amp;IF(ISNUMBER(SEARCH(";"&amp;A11&amp;";",";"&amp;'3. Matrix'!AB13&amp;";")),", "&amp;'3. Matrix'!A13,"")&amp;IF(ISNUMBER(SEARCH(";"&amp;A11&amp;";",";"&amp;'3. Matrix'!AB14&amp;";")),", "&amp;'3. Matrix'!A14,"")&amp;IF(ISNUMBER(SEARCH(";"&amp;A11&amp;";",";"&amp;'3. Matrix'!AB15&amp;";")),", "&amp;'3. Matrix'!A15,"")&amp;IF(ISNUMBER(SEARCH(";"&amp;A11&amp;";",";"&amp;'3. Matrix'!AB16&amp;";")),", "&amp;'3. Matrix'!A16,"")&amp;IF(ISNUMBER(SEARCH(";"&amp;A11&amp;";",";"&amp;'3. Matrix'!AB17&amp;";")),", "&amp;'3. Matrix'!A17,"")&amp;IF(ISNUMBER(SEARCH(";"&amp;A11&amp;";",";"&amp;'3. Matrix'!AB18&amp;";")),", "&amp;'3. Matrix'!A18,"")&amp;IF(ISNUMBER(SEARCH(";"&amp;A11&amp;";",";"&amp;'3. Matrix'!AB19&amp;";")),", "&amp;'3. Matrix'!A19,"")&amp;IF(ISNUMBER(SEARCH(";"&amp;A11&amp;";",";"&amp;'3. Matrix'!AB20&amp;";")),", "&amp;'3. Matrix'!A20,"")&amp;IF(ISNUMBER(SEARCH(";"&amp;A11&amp;";",";"&amp;'3. Matrix'!AB21&amp;";")),", "&amp;'3. Matrix'!A21,"")&amp;IF(ISNUMBER(SEARCH(";"&amp;A11&amp;";",";"&amp;'3. Matrix'!AB22&amp;";")),", "&amp;'3. Matrix'!A22,"")&amp;IF(ISNUMBER(SEARCH(";"&amp;A11&amp;";",";"&amp;'3. Matrix'!AB23&amp;";")),", "&amp;'3. Matrix'!A23,"")&amp;IF(ISNUMBER(SEARCH(";"&amp;A11&amp;";",";"&amp;'3. Matrix'!AB24&amp;";")),", "&amp;'3. Matrix'!A24,"")&amp;IF(ISNUMBER(SEARCH(";"&amp;A11&amp;";",";"&amp;'3. Matrix'!AB25&amp;";")),", "&amp;'3. Matrix'!A25,"")&amp;IF(ISNUMBER(SEARCH(";"&amp;A11&amp;";",";"&amp;'3. Matrix'!AB26&amp;";")),", "&amp;'3. Matrix'!A26,"")&amp;IF(ISNUMBER(SEARCH(";"&amp;A11&amp;";",";"&amp;'3. Matrix'!AB27&amp;";")),", "&amp;'3. Matrix'!A27,"")&amp;IF(ISNUMBER(SEARCH(";"&amp;A11&amp;";",";"&amp;'3. Matrix'!AB28&amp;";")),", "&amp;'3. Matrix'!A28,"")&amp;IF(ISNUMBER(SEARCH(";"&amp;A11&amp;";",";"&amp;'3. Matrix'!AB29&amp;";")),", "&amp;'3. Matrix'!A29,"")&amp;IF(ISNUMBER(SEARCH(";"&amp;A11&amp;";",";"&amp;'3. Matrix'!AB30&amp;";")),", "&amp;'3. Matrix'!A30,"")&amp;IF(ISNUMBER(SEARCH(";"&amp;A11&amp;";",";"&amp;'3. Matrix'!AB31&amp;";")),", "&amp;'3. Matrix'!A31,"")&amp;IF(ISNUMBER(SEARCH(";"&amp;A11&amp;";",";"&amp;'3. Matrix'!AB32&amp;";")),", "&amp;'3. Matrix'!A32,"")&amp;IF(ISNUMBER(SEARCH(";"&amp;A11&amp;";",";"&amp;'3. Matrix'!AB33&amp;";")),", "&amp;'3. Matrix'!A33,"")&amp;IF(ISNUMBER(SEARCH(";"&amp;A11&amp;";",";"&amp;'3. Matrix'!AB34&amp;";")),", "&amp;'3. Matrix'!A34,"")&amp;IF(ISNUMBER(SEARCH(";"&amp;A11&amp;";",";"&amp;'3. Matrix'!AB35&amp;";")),", "&amp;'3. Matrix'!A35,"")&amp;IF(ISNUMBER(SEARCH(";"&amp;A11&amp;";",";"&amp;'3. Matrix'!AB36&amp;";")),", "&amp;'3. Matrix'!A36,"")&amp;IF(ISNUMBER(SEARCH(";"&amp;A11&amp;";",";"&amp;'3. Matrix'!AB37&amp;";")),", "&amp;'3. Matrix'!A37,"")&amp;IF(ISNUMBER(SEARCH(";"&amp;A11&amp;";",";"&amp;'3. Matrix'!AB38&amp;";")),", "&amp;'3. Matrix'!A38,"")&amp;IF(ISNUMBER(SEARCH(";"&amp;A11&amp;";",";"&amp;'3. Matrix'!AB39&amp;";")),", "&amp;'3. Matrix'!A39,"")&amp;IF(ISNUMBER(SEARCH(";"&amp;A11&amp;";",";"&amp;'3. Matrix'!AB40&amp;";")),", "&amp;'3. Matrix'!A40,"")&amp;IF(ISNUMBER(SEARCH(";"&amp;A11&amp;";",";"&amp;'3. Matrix'!AB41&amp;";")),", "&amp;'3. Matrix'!A41,"")&amp;IF(ISNUMBER(SEARCH(";"&amp;A11&amp;";",";"&amp;'3. Matrix'!AB42&amp;";")),", "&amp;'3. Matrix'!A42,"")&amp;IF(ISNUMBER(SEARCH(";"&amp;A11&amp;";",";"&amp;'3. Matrix'!AB43&amp;";")),", "&amp;'3. Matrix'!A43,"")&amp;IF(ISNUMBER(SEARCH(";"&amp;A11&amp;";",";"&amp;'3. Matrix'!AB44&amp;";")),", "&amp;'3. Matrix'!A44,"")&amp;IF(ISNUMBER(SEARCH(";"&amp;A11&amp;";",";"&amp;'3. Matrix'!AB45&amp;";")),", "&amp;'3. Matrix'!A45,"")&amp;IF(ISNUMBER(SEARCH(";"&amp;A11&amp;";",";"&amp;'3. Matrix'!AB46&amp;";")),", "&amp;'3. Matrix'!A46,"")&amp;IF(ISNUMBER(SEARCH(";"&amp;A11&amp;";",";"&amp;'3. Matrix'!AB47&amp;";")),", "&amp;'3. Matrix'!A47,"")</f>
        <v/>
      </c>
    </row>
    <row r="12" ht="48" customHeight="1" s="79">
      <c r="A12" s="71" t="inlineStr">
        <is>
          <t>13.3</t>
        </is>
      </c>
      <c r="B12" s="72" t="inlineStr">
        <is>
          <t>Engagement Objectives and Scope</t>
        </is>
      </c>
      <c r="C12" s="72" t="inlineStr">
        <is>
          <t>Requirements</t>
        </is>
      </c>
      <c r="D12" s="72" t="inlineStr">
        <is>
          <t>Objectives state the purpose and the specific goals. Scope sets the activities, locations, processes, systems, and period, and is sufficient for those objectives. A scope limitation is a restriction that stopped the work.</t>
        </is>
      </c>
      <c r="E12" s="72">
        <f>IF(G12="","Not scored on an assignment report",MID(G12,3,400))</f>
        <v/>
      </c>
      <c r="F12" s="72">
        <f>A12&amp;" "&amp;B12&amp;" — "&amp;C12</f>
        <v/>
      </c>
      <c r="G12">
        <f>IF(ISNUMBER(SEARCH(";"&amp;A12&amp;";",";"&amp;'3. Matrix'!AB6&amp;";")),", "&amp;'3. Matrix'!A6,"")&amp;IF(ISNUMBER(SEARCH(";"&amp;A12&amp;";",";"&amp;'3. Matrix'!AB7&amp;";")),", "&amp;'3. Matrix'!A7,"")&amp;IF(ISNUMBER(SEARCH(";"&amp;A12&amp;";",";"&amp;'3. Matrix'!AB8&amp;";")),", "&amp;'3. Matrix'!A8,"")&amp;IF(ISNUMBER(SEARCH(";"&amp;A12&amp;";",";"&amp;'3. Matrix'!AB9&amp;";")),", "&amp;'3. Matrix'!A9,"")&amp;IF(ISNUMBER(SEARCH(";"&amp;A12&amp;";",";"&amp;'3. Matrix'!AB10&amp;";")),", "&amp;'3. Matrix'!A10,"")&amp;IF(ISNUMBER(SEARCH(";"&amp;A12&amp;";",";"&amp;'3. Matrix'!AB11&amp;";")),", "&amp;'3. Matrix'!A11,"")&amp;IF(ISNUMBER(SEARCH(";"&amp;A12&amp;";",";"&amp;'3. Matrix'!AB12&amp;";")),", "&amp;'3. Matrix'!A12,"")&amp;IF(ISNUMBER(SEARCH(";"&amp;A12&amp;";",";"&amp;'3. Matrix'!AB13&amp;";")),", "&amp;'3. Matrix'!A13,"")&amp;IF(ISNUMBER(SEARCH(";"&amp;A12&amp;";",";"&amp;'3. Matrix'!AB14&amp;";")),", "&amp;'3. Matrix'!A14,"")&amp;IF(ISNUMBER(SEARCH(";"&amp;A12&amp;";",";"&amp;'3. Matrix'!AB15&amp;";")),", "&amp;'3. Matrix'!A15,"")&amp;IF(ISNUMBER(SEARCH(";"&amp;A12&amp;";",";"&amp;'3. Matrix'!AB16&amp;";")),", "&amp;'3. Matrix'!A16,"")&amp;IF(ISNUMBER(SEARCH(";"&amp;A12&amp;";",";"&amp;'3. Matrix'!AB17&amp;";")),", "&amp;'3. Matrix'!A17,"")&amp;IF(ISNUMBER(SEARCH(";"&amp;A12&amp;";",";"&amp;'3. Matrix'!AB18&amp;";")),", "&amp;'3. Matrix'!A18,"")&amp;IF(ISNUMBER(SEARCH(";"&amp;A12&amp;";",";"&amp;'3. Matrix'!AB19&amp;";")),", "&amp;'3. Matrix'!A19,"")&amp;IF(ISNUMBER(SEARCH(";"&amp;A12&amp;";",";"&amp;'3. Matrix'!AB20&amp;";")),", "&amp;'3. Matrix'!A20,"")&amp;IF(ISNUMBER(SEARCH(";"&amp;A12&amp;";",";"&amp;'3. Matrix'!AB21&amp;";")),", "&amp;'3. Matrix'!A21,"")&amp;IF(ISNUMBER(SEARCH(";"&amp;A12&amp;";",";"&amp;'3. Matrix'!AB22&amp;";")),", "&amp;'3. Matrix'!A22,"")&amp;IF(ISNUMBER(SEARCH(";"&amp;A12&amp;";",";"&amp;'3. Matrix'!AB23&amp;";")),", "&amp;'3. Matrix'!A23,"")&amp;IF(ISNUMBER(SEARCH(";"&amp;A12&amp;";",";"&amp;'3. Matrix'!AB24&amp;";")),", "&amp;'3. Matrix'!A24,"")&amp;IF(ISNUMBER(SEARCH(";"&amp;A12&amp;";",";"&amp;'3. Matrix'!AB25&amp;";")),", "&amp;'3. Matrix'!A25,"")&amp;IF(ISNUMBER(SEARCH(";"&amp;A12&amp;";",";"&amp;'3. Matrix'!AB26&amp;";")),", "&amp;'3. Matrix'!A26,"")&amp;IF(ISNUMBER(SEARCH(";"&amp;A12&amp;";",";"&amp;'3. Matrix'!AB27&amp;";")),", "&amp;'3. Matrix'!A27,"")&amp;IF(ISNUMBER(SEARCH(";"&amp;A12&amp;";",";"&amp;'3. Matrix'!AB28&amp;";")),", "&amp;'3. Matrix'!A28,"")&amp;IF(ISNUMBER(SEARCH(";"&amp;A12&amp;";",";"&amp;'3. Matrix'!AB29&amp;";")),", "&amp;'3. Matrix'!A29,"")&amp;IF(ISNUMBER(SEARCH(";"&amp;A12&amp;";",";"&amp;'3. Matrix'!AB30&amp;";")),", "&amp;'3. Matrix'!A30,"")&amp;IF(ISNUMBER(SEARCH(";"&amp;A12&amp;";",";"&amp;'3. Matrix'!AB31&amp;";")),", "&amp;'3. Matrix'!A31,"")&amp;IF(ISNUMBER(SEARCH(";"&amp;A12&amp;";",";"&amp;'3. Matrix'!AB32&amp;";")),", "&amp;'3. Matrix'!A32,"")&amp;IF(ISNUMBER(SEARCH(";"&amp;A12&amp;";",";"&amp;'3. Matrix'!AB33&amp;";")),", "&amp;'3. Matrix'!A33,"")&amp;IF(ISNUMBER(SEARCH(";"&amp;A12&amp;";",";"&amp;'3. Matrix'!AB34&amp;";")),", "&amp;'3. Matrix'!A34,"")&amp;IF(ISNUMBER(SEARCH(";"&amp;A12&amp;";",";"&amp;'3. Matrix'!AB35&amp;";")),", "&amp;'3. Matrix'!A35,"")&amp;IF(ISNUMBER(SEARCH(";"&amp;A12&amp;";",";"&amp;'3. Matrix'!AB36&amp;";")),", "&amp;'3. Matrix'!A36,"")&amp;IF(ISNUMBER(SEARCH(";"&amp;A12&amp;";",";"&amp;'3. Matrix'!AB37&amp;";")),", "&amp;'3. Matrix'!A37,"")&amp;IF(ISNUMBER(SEARCH(";"&amp;A12&amp;";",";"&amp;'3. Matrix'!AB38&amp;";")),", "&amp;'3. Matrix'!A38,"")&amp;IF(ISNUMBER(SEARCH(";"&amp;A12&amp;";",";"&amp;'3. Matrix'!AB39&amp;";")),", "&amp;'3. Matrix'!A39,"")&amp;IF(ISNUMBER(SEARCH(";"&amp;A12&amp;";",";"&amp;'3. Matrix'!AB40&amp;";")),", "&amp;'3. Matrix'!A40,"")&amp;IF(ISNUMBER(SEARCH(";"&amp;A12&amp;";",";"&amp;'3. Matrix'!AB41&amp;";")),", "&amp;'3. Matrix'!A41,"")&amp;IF(ISNUMBER(SEARCH(";"&amp;A12&amp;";",";"&amp;'3. Matrix'!AB42&amp;";")),", "&amp;'3. Matrix'!A42,"")&amp;IF(ISNUMBER(SEARCH(";"&amp;A12&amp;";",";"&amp;'3. Matrix'!AB43&amp;";")),", "&amp;'3. Matrix'!A43,"")&amp;IF(ISNUMBER(SEARCH(";"&amp;A12&amp;";",";"&amp;'3. Matrix'!AB44&amp;";")),", "&amp;'3. Matrix'!A44,"")&amp;IF(ISNUMBER(SEARCH(";"&amp;A12&amp;";",";"&amp;'3. Matrix'!AB45&amp;";")),", "&amp;'3. Matrix'!A45,"")&amp;IF(ISNUMBER(SEARCH(";"&amp;A12&amp;";",";"&amp;'3. Matrix'!AB46&amp;";")),", "&amp;'3. Matrix'!A46,"")&amp;IF(ISNUMBER(SEARCH(";"&amp;A12&amp;";",";"&amp;'3. Matrix'!AB47&amp;";")),", "&amp;'3. Matrix'!A47,"")</f>
        <v/>
      </c>
    </row>
    <row r="13" ht="48" customHeight="1" s="79">
      <c r="A13" s="69" t="inlineStr">
        <is>
          <t>13.4</t>
        </is>
      </c>
      <c r="B13" s="70" t="inlineStr">
        <is>
          <t>Evaluation Criteria</t>
        </is>
      </c>
      <c r="C13" s="70" t="inlineStr">
        <is>
          <t>Requirements</t>
        </is>
      </c>
      <c r="D13" s="70" t="inlineStr">
        <is>
          <t>The most relevant criteria are identified and assessed for adequacy. Adequate criteria are relevant, aligned to the objectives, and able to support a reliable comparison. That test of adequacy is described in the considerations.</t>
        </is>
      </c>
      <c r="E13" s="70">
        <f>IF(G13="","Not scored on an assignment report",MID(G13,3,400))</f>
        <v/>
      </c>
      <c r="F13" s="70">
        <f>A13&amp;" "&amp;B13&amp;" — "&amp;C13</f>
        <v/>
      </c>
      <c r="G13">
        <f>IF(ISNUMBER(SEARCH(";"&amp;A13&amp;";",";"&amp;'3. Matrix'!AB6&amp;";")),", "&amp;'3. Matrix'!A6,"")&amp;IF(ISNUMBER(SEARCH(";"&amp;A13&amp;";",";"&amp;'3. Matrix'!AB7&amp;";")),", "&amp;'3. Matrix'!A7,"")&amp;IF(ISNUMBER(SEARCH(";"&amp;A13&amp;";",";"&amp;'3. Matrix'!AB8&amp;";")),", "&amp;'3. Matrix'!A8,"")&amp;IF(ISNUMBER(SEARCH(";"&amp;A13&amp;";",";"&amp;'3. Matrix'!AB9&amp;";")),", "&amp;'3. Matrix'!A9,"")&amp;IF(ISNUMBER(SEARCH(";"&amp;A13&amp;";",";"&amp;'3. Matrix'!AB10&amp;";")),", "&amp;'3. Matrix'!A10,"")&amp;IF(ISNUMBER(SEARCH(";"&amp;A13&amp;";",";"&amp;'3. Matrix'!AB11&amp;";")),", "&amp;'3. Matrix'!A11,"")&amp;IF(ISNUMBER(SEARCH(";"&amp;A13&amp;";",";"&amp;'3. Matrix'!AB12&amp;";")),", "&amp;'3. Matrix'!A12,"")&amp;IF(ISNUMBER(SEARCH(";"&amp;A13&amp;";",";"&amp;'3. Matrix'!AB13&amp;";")),", "&amp;'3. Matrix'!A13,"")&amp;IF(ISNUMBER(SEARCH(";"&amp;A13&amp;";",";"&amp;'3. Matrix'!AB14&amp;";")),", "&amp;'3. Matrix'!A14,"")&amp;IF(ISNUMBER(SEARCH(";"&amp;A13&amp;";",";"&amp;'3. Matrix'!AB15&amp;";")),", "&amp;'3. Matrix'!A15,"")&amp;IF(ISNUMBER(SEARCH(";"&amp;A13&amp;";",";"&amp;'3. Matrix'!AB16&amp;";")),", "&amp;'3. Matrix'!A16,"")&amp;IF(ISNUMBER(SEARCH(";"&amp;A13&amp;";",";"&amp;'3. Matrix'!AB17&amp;";")),", "&amp;'3. Matrix'!A17,"")&amp;IF(ISNUMBER(SEARCH(";"&amp;A13&amp;";",";"&amp;'3. Matrix'!AB18&amp;";")),", "&amp;'3. Matrix'!A18,"")&amp;IF(ISNUMBER(SEARCH(";"&amp;A13&amp;";",";"&amp;'3. Matrix'!AB19&amp;";")),", "&amp;'3. Matrix'!A19,"")&amp;IF(ISNUMBER(SEARCH(";"&amp;A13&amp;";",";"&amp;'3. Matrix'!AB20&amp;";")),", "&amp;'3. Matrix'!A20,"")&amp;IF(ISNUMBER(SEARCH(";"&amp;A13&amp;";",";"&amp;'3. Matrix'!AB21&amp;";")),", "&amp;'3. Matrix'!A21,"")&amp;IF(ISNUMBER(SEARCH(";"&amp;A13&amp;";",";"&amp;'3. Matrix'!AB22&amp;";")),", "&amp;'3. Matrix'!A22,"")&amp;IF(ISNUMBER(SEARCH(";"&amp;A13&amp;";",";"&amp;'3. Matrix'!AB23&amp;";")),", "&amp;'3. Matrix'!A23,"")&amp;IF(ISNUMBER(SEARCH(";"&amp;A13&amp;";",";"&amp;'3. Matrix'!AB24&amp;";")),", "&amp;'3. Matrix'!A24,"")&amp;IF(ISNUMBER(SEARCH(";"&amp;A13&amp;";",";"&amp;'3. Matrix'!AB25&amp;";")),", "&amp;'3. Matrix'!A25,"")&amp;IF(ISNUMBER(SEARCH(";"&amp;A13&amp;";",";"&amp;'3. Matrix'!AB26&amp;";")),", "&amp;'3. Matrix'!A26,"")&amp;IF(ISNUMBER(SEARCH(";"&amp;A13&amp;";",";"&amp;'3. Matrix'!AB27&amp;";")),", "&amp;'3. Matrix'!A27,"")&amp;IF(ISNUMBER(SEARCH(";"&amp;A13&amp;";",";"&amp;'3. Matrix'!AB28&amp;";")),", "&amp;'3. Matrix'!A28,"")&amp;IF(ISNUMBER(SEARCH(";"&amp;A13&amp;";",";"&amp;'3. Matrix'!AB29&amp;";")),", "&amp;'3. Matrix'!A29,"")&amp;IF(ISNUMBER(SEARCH(";"&amp;A13&amp;";",";"&amp;'3. Matrix'!AB30&amp;";")),", "&amp;'3. Matrix'!A30,"")&amp;IF(ISNUMBER(SEARCH(";"&amp;A13&amp;";",";"&amp;'3. Matrix'!AB31&amp;";")),", "&amp;'3. Matrix'!A31,"")&amp;IF(ISNUMBER(SEARCH(";"&amp;A13&amp;";",";"&amp;'3. Matrix'!AB32&amp;";")),", "&amp;'3. Matrix'!A32,"")&amp;IF(ISNUMBER(SEARCH(";"&amp;A13&amp;";",";"&amp;'3. Matrix'!AB33&amp;";")),", "&amp;'3. Matrix'!A33,"")&amp;IF(ISNUMBER(SEARCH(";"&amp;A13&amp;";",";"&amp;'3. Matrix'!AB34&amp;";")),", "&amp;'3. Matrix'!A34,"")&amp;IF(ISNUMBER(SEARCH(";"&amp;A13&amp;";",";"&amp;'3. Matrix'!AB35&amp;";")),", "&amp;'3. Matrix'!A35,"")&amp;IF(ISNUMBER(SEARCH(";"&amp;A13&amp;";",";"&amp;'3. Matrix'!AB36&amp;";")),", "&amp;'3. Matrix'!A36,"")&amp;IF(ISNUMBER(SEARCH(";"&amp;A13&amp;";",";"&amp;'3. Matrix'!AB37&amp;";")),", "&amp;'3. Matrix'!A37,"")&amp;IF(ISNUMBER(SEARCH(";"&amp;A13&amp;";",";"&amp;'3. Matrix'!AB38&amp;";")),", "&amp;'3. Matrix'!A38,"")&amp;IF(ISNUMBER(SEARCH(";"&amp;A13&amp;";",";"&amp;'3. Matrix'!AB39&amp;";")),", "&amp;'3. Matrix'!A39,"")&amp;IF(ISNUMBER(SEARCH(";"&amp;A13&amp;";",";"&amp;'3. Matrix'!AB40&amp;";")),", "&amp;'3. Matrix'!A40,"")&amp;IF(ISNUMBER(SEARCH(";"&amp;A13&amp;";",";"&amp;'3. Matrix'!AB41&amp;";")),", "&amp;'3. Matrix'!A41,"")&amp;IF(ISNUMBER(SEARCH(";"&amp;A13&amp;";",";"&amp;'3. Matrix'!AB42&amp;";")),", "&amp;'3. Matrix'!A42,"")&amp;IF(ISNUMBER(SEARCH(";"&amp;A13&amp;";",";"&amp;'3. Matrix'!AB43&amp;";")),", "&amp;'3. Matrix'!A43,"")&amp;IF(ISNUMBER(SEARCH(";"&amp;A13&amp;";",";"&amp;'3. Matrix'!AB44&amp;";")),", "&amp;'3. Matrix'!A44,"")&amp;IF(ISNUMBER(SEARCH(";"&amp;A13&amp;";",";"&amp;'3. Matrix'!AB45&amp;";")),", "&amp;'3. Matrix'!A45,"")&amp;IF(ISNUMBER(SEARCH(";"&amp;A13&amp;";",";"&amp;'3. Matrix'!AB46&amp;";")),", "&amp;'3. Matrix'!A46,"")&amp;IF(ISNUMBER(SEARCH(";"&amp;A13&amp;";",";"&amp;'3. Matrix'!AB47&amp;";")),", "&amp;'3. Matrix'!A47,"")</f>
        <v/>
      </c>
    </row>
    <row r="14" ht="48" customHeight="1" s="79">
      <c r="A14" s="71" t="inlineStr">
        <is>
          <t>14.1</t>
        </is>
      </c>
      <c r="B14" s="72" t="inlineStr">
        <is>
          <t>Gathering Information for Analyses and Evaluation</t>
        </is>
      </c>
      <c r="C14" s="72" t="inlineStr">
        <is>
          <t>Requirements</t>
        </is>
      </c>
      <c r="D14" s="72" t="inlineStr">
        <is>
          <t>The information is relevant, reliable, and sufficient for a prudent, informed person to repeat the work and reach the same conclusion.</t>
        </is>
      </c>
      <c r="E14" s="72">
        <f>IF(G14="","Not scored on an assignment report",MID(G14,3,400))</f>
        <v/>
      </c>
      <c r="F14" s="72">
        <f>A14&amp;" "&amp;B14&amp;" — "&amp;C14</f>
        <v/>
      </c>
      <c r="G14">
        <f>IF(ISNUMBER(SEARCH(";"&amp;A14&amp;";",";"&amp;'3. Matrix'!AB6&amp;";")),", "&amp;'3. Matrix'!A6,"")&amp;IF(ISNUMBER(SEARCH(";"&amp;A14&amp;";",";"&amp;'3. Matrix'!AB7&amp;";")),", "&amp;'3. Matrix'!A7,"")&amp;IF(ISNUMBER(SEARCH(";"&amp;A14&amp;";",";"&amp;'3. Matrix'!AB8&amp;";")),", "&amp;'3. Matrix'!A8,"")&amp;IF(ISNUMBER(SEARCH(";"&amp;A14&amp;";",";"&amp;'3. Matrix'!AB9&amp;";")),", "&amp;'3. Matrix'!A9,"")&amp;IF(ISNUMBER(SEARCH(";"&amp;A14&amp;";",";"&amp;'3. Matrix'!AB10&amp;";")),", "&amp;'3. Matrix'!A10,"")&amp;IF(ISNUMBER(SEARCH(";"&amp;A14&amp;";",";"&amp;'3. Matrix'!AB11&amp;";")),", "&amp;'3. Matrix'!A11,"")&amp;IF(ISNUMBER(SEARCH(";"&amp;A14&amp;";",";"&amp;'3. Matrix'!AB12&amp;";")),", "&amp;'3. Matrix'!A12,"")&amp;IF(ISNUMBER(SEARCH(";"&amp;A14&amp;";",";"&amp;'3. Matrix'!AB13&amp;";")),", "&amp;'3. Matrix'!A13,"")&amp;IF(ISNUMBER(SEARCH(";"&amp;A14&amp;";",";"&amp;'3. Matrix'!AB14&amp;";")),", "&amp;'3. Matrix'!A14,"")&amp;IF(ISNUMBER(SEARCH(";"&amp;A14&amp;";",";"&amp;'3. Matrix'!AB15&amp;";")),", "&amp;'3. Matrix'!A15,"")&amp;IF(ISNUMBER(SEARCH(";"&amp;A14&amp;";",";"&amp;'3. Matrix'!AB16&amp;";")),", "&amp;'3. Matrix'!A16,"")&amp;IF(ISNUMBER(SEARCH(";"&amp;A14&amp;";",";"&amp;'3. Matrix'!AB17&amp;";")),", "&amp;'3. Matrix'!A17,"")&amp;IF(ISNUMBER(SEARCH(";"&amp;A14&amp;";",";"&amp;'3. Matrix'!AB18&amp;";")),", "&amp;'3. Matrix'!A18,"")&amp;IF(ISNUMBER(SEARCH(";"&amp;A14&amp;";",";"&amp;'3. Matrix'!AB19&amp;";")),", "&amp;'3. Matrix'!A19,"")&amp;IF(ISNUMBER(SEARCH(";"&amp;A14&amp;";",";"&amp;'3. Matrix'!AB20&amp;";")),", "&amp;'3. Matrix'!A20,"")&amp;IF(ISNUMBER(SEARCH(";"&amp;A14&amp;";",";"&amp;'3. Matrix'!AB21&amp;";")),", "&amp;'3. Matrix'!A21,"")&amp;IF(ISNUMBER(SEARCH(";"&amp;A14&amp;";",";"&amp;'3. Matrix'!AB22&amp;";")),", "&amp;'3. Matrix'!A22,"")&amp;IF(ISNUMBER(SEARCH(";"&amp;A14&amp;";",";"&amp;'3. Matrix'!AB23&amp;";")),", "&amp;'3. Matrix'!A23,"")&amp;IF(ISNUMBER(SEARCH(";"&amp;A14&amp;";",";"&amp;'3. Matrix'!AB24&amp;";")),", "&amp;'3. Matrix'!A24,"")&amp;IF(ISNUMBER(SEARCH(";"&amp;A14&amp;";",";"&amp;'3. Matrix'!AB25&amp;";")),", "&amp;'3. Matrix'!A25,"")&amp;IF(ISNUMBER(SEARCH(";"&amp;A14&amp;";",";"&amp;'3. Matrix'!AB26&amp;";")),", "&amp;'3. Matrix'!A26,"")&amp;IF(ISNUMBER(SEARCH(";"&amp;A14&amp;";",";"&amp;'3. Matrix'!AB27&amp;";")),", "&amp;'3. Matrix'!A27,"")&amp;IF(ISNUMBER(SEARCH(";"&amp;A14&amp;";",";"&amp;'3. Matrix'!AB28&amp;";")),", "&amp;'3. Matrix'!A28,"")&amp;IF(ISNUMBER(SEARCH(";"&amp;A14&amp;";",";"&amp;'3. Matrix'!AB29&amp;";")),", "&amp;'3. Matrix'!A29,"")&amp;IF(ISNUMBER(SEARCH(";"&amp;A14&amp;";",";"&amp;'3. Matrix'!AB30&amp;";")),", "&amp;'3. Matrix'!A30,"")&amp;IF(ISNUMBER(SEARCH(";"&amp;A14&amp;";",";"&amp;'3. Matrix'!AB31&amp;";")),", "&amp;'3. Matrix'!A31,"")&amp;IF(ISNUMBER(SEARCH(";"&amp;A14&amp;";",";"&amp;'3. Matrix'!AB32&amp;";")),", "&amp;'3. Matrix'!A32,"")&amp;IF(ISNUMBER(SEARCH(";"&amp;A14&amp;";",";"&amp;'3. Matrix'!AB33&amp;";")),", "&amp;'3. Matrix'!A33,"")&amp;IF(ISNUMBER(SEARCH(";"&amp;A14&amp;";",";"&amp;'3. Matrix'!AB34&amp;";")),", "&amp;'3. Matrix'!A34,"")&amp;IF(ISNUMBER(SEARCH(";"&amp;A14&amp;";",";"&amp;'3. Matrix'!AB35&amp;";")),", "&amp;'3. Matrix'!A35,"")&amp;IF(ISNUMBER(SEARCH(";"&amp;A14&amp;";",";"&amp;'3. Matrix'!AB36&amp;";")),", "&amp;'3. Matrix'!A36,"")&amp;IF(ISNUMBER(SEARCH(";"&amp;A14&amp;";",";"&amp;'3. Matrix'!AB37&amp;";")),", "&amp;'3. Matrix'!A37,"")&amp;IF(ISNUMBER(SEARCH(";"&amp;A14&amp;";",";"&amp;'3. Matrix'!AB38&amp;";")),", "&amp;'3. Matrix'!A38,"")&amp;IF(ISNUMBER(SEARCH(";"&amp;A14&amp;";",";"&amp;'3. Matrix'!AB39&amp;";")),", "&amp;'3. Matrix'!A39,"")&amp;IF(ISNUMBER(SEARCH(";"&amp;A14&amp;";",";"&amp;'3. Matrix'!AB40&amp;";")),", "&amp;'3. Matrix'!A40,"")&amp;IF(ISNUMBER(SEARCH(";"&amp;A14&amp;";",";"&amp;'3. Matrix'!AB41&amp;";")),", "&amp;'3. Matrix'!A41,"")&amp;IF(ISNUMBER(SEARCH(";"&amp;A14&amp;";",";"&amp;'3. Matrix'!AB42&amp;";")),", "&amp;'3. Matrix'!A42,"")&amp;IF(ISNUMBER(SEARCH(";"&amp;A14&amp;";",";"&amp;'3. Matrix'!AB43&amp;";")),", "&amp;'3. Matrix'!A43,"")&amp;IF(ISNUMBER(SEARCH(";"&amp;A14&amp;";",";"&amp;'3. Matrix'!AB44&amp;";")),", "&amp;'3. Matrix'!A44,"")&amp;IF(ISNUMBER(SEARCH(";"&amp;A14&amp;";",";"&amp;'3. Matrix'!AB45&amp;";")),", "&amp;'3. Matrix'!A45,"")&amp;IF(ISNUMBER(SEARCH(";"&amp;A14&amp;";",";"&amp;'3. Matrix'!AB46&amp;";")),", "&amp;'3. Matrix'!A46,"")&amp;IF(ISNUMBER(SEARCH(";"&amp;A14&amp;";",";"&amp;'3. Matrix'!AB47&amp;";")),", "&amp;'3. Matrix'!A47,"")</f>
        <v/>
      </c>
    </row>
    <row r="15" ht="48" customHeight="1" s="79">
      <c r="A15" s="69" t="inlineStr">
        <is>
          <t>14.2</t>
        </is>
      </c>
      <c r="B15" s="70" t="inlineStr">
        <is>
          <t>Analyses and Potential Engagement Findings</t>
        </is>
      </c>
      <c r="C15" s="70" t="inlineStr">
        <is>
          <t>Requirements</t>
        </is>
      </c>
      <c r="D15" s="70" t="inlineStr">
        <is>
          <t>The condition is compared with the criteria. A difference is evaluated further. Where there is no difference, the conclusion gives assurance on the activity’s governance, risk management, and controls.</t>
        </is>
      </c>
      <c r="E15" s="70">
        <f>IF(G15="","Not scored on an assignment report",MID(G15,3,400))</f>
        <v/>
      </c>
      <c r="F15" s="70">
        <f>A15&amp;" "&amp;B15&amp;" — "&amp;C15</f>
        <v/>
      </c>
      <c r="G15">
        <f>IF(ISNUMBER(SEARCH(";"&amp;A15&amp;";",";"&amp;'3. Matrix'!AB6&amp;";")),", "&amp;'3. Matrix'!A6,"")&amp;IF(ISNUMBER(SEARCH(";"&amp;A15&amp;";",";"&amp;'3. Matrix'!AB7&amp;";")),", "&amp;'3. Matrix'!A7,"")&amp;IF(ISNUMBER(SEARCH(";"&amp;A15&amp;";",";"&amp;'3. Matrix'!AB8&amp;";")),", "&amp;'3. Matrix'!A8,"")&amp;IF(ISNUMBER(SEARCH(";"&amp;A15&amp;";",";"&amp;'3. Matrix'!AB9&amp;";")),", "&amp;'3. Matrix'!A9,"")&amp;IF(ISNUMBER(SEARCH(";"&amp;A15&amp;";",";"&amp;'3. Matrix'!AB10&amp;";")),", "&amp;'3. Matrix'!A10,"")&amp;IF(ISNUMBER(SEARCH(";"&amp;A15&amp;";",";"&amp;'3. Matrix'!AB11&amp;";")),", "&amp;'3. Matrix'!A11,"")&amp;IF(ISNUMBER(SEARCH(";"&amp;A15&amp;";",";"&amp;'3. Matrix'!AB12&amp;";")),", "&amp;'3. Matrix'!A12,"")&amp;IF(ISNUMBER(SEARCH(";"&amp;A15&amp;";",";"&amp;'3. Matrix'!AB13&amp;";")),", "&amp;'3. Matrix'!A13,"")&amp;IF(ISNUMBER(SEARCH(";"&amp;A15&amp;";",";"&amp;'3. Matrix'!AB14&amp;";")),", "&amp;'3. Matrix'!A14,"")&amp;IF(ISNUMBER(SEARCH(";"&amp;A15&amp;";",";"&amp;'3. Matrix'!AB15&amp;";")),", "&amp;'3. Matrix'!A15,"")&amp;IF(ISNUMBER(SEARCH(";"&amp;A15&amp;";",";"&amp;'3. Matrix'!AB16&amp;";")),", "&amp;'3. Matrix'!A16,"")&amp;IF(ISNUMBER(SEARCH(";"&amp;A15&amp;";",";"&amp;'3. Matrix'!AB17&amp;";")),", "&amp;'3. Matrix'!A17,"")&amp;IF(ISNUMBER(SEARCH(";"&amp;A15&amp;";",";"&amp;'3. Matrix'!AB18&amp;";")),", "&amp;'3. Matrix'!A18,"")&amp;IF(ISNUMBER(SEARCH(";"&amp;A15&amp;";",";"&amp;'3. Matrix'!AB19&amp;";")),", "&amp;'3. Matrix'!A19,"")&amp;IF(ISNUMBER(SEARCH(";"&amp;A15&amp;";",";"&amp;'3. Matrix'!AB20&amp;";")),", "&amp;'3. Matrix'!A20,"")&amp;IF(ISNUMBER(SEARCH(";"&amp;A15&amp;";",";"&amp;'3. Matrix'!AB21&amp;";")),", "&amp;'3. Matrix'!A21,"")&amp;IF(ISNUMBER(SEARCH(";"&amp;A15&amp;";",";"&amp;'3. Matrix'!AB22&amp;";")),", "&amp;'3. Matrix'!A22,"")&amp;IF(ISNUMBER(SEARCH(";"&amp;A15&amp;";",";"&amp;'3. Matrix'!AB23&amp;";")),", "&amp;'3. Matrix'!A23,"")&amp;IF(ISNUMBER(SEARCH(";"&amp;A15&amp;";",";"&amp;'3. Matrix'!AB24&amp;";")),", "&amp;'3. Matrix'!A24,"")&amp;IF(ISNUMBER(SEARCH(";"&amp;A15&amp;";",";"&amp;'3. Matrix'!AB25&amp;";")),", "&amp;'3. Matrix'!A25,"")&amp;IF(ISNUMBER(SEARCH(";"&amp;A15&amp;";",";"&amp;'3. Matrix'!AB26&amp;";")),", "&amp;'3. Matrix'!A26,"")&amp;IF(ISNUMBER(SEARCH(";"&amp;A15&amp;";",";"&amp;'3. Matrix'!AB27&amp;";")),", "&amp;'3. Matrix'!A27,"")&amp;IF(ISNUMBER(SEARCH(";"&amp;A15&amp;";",";"&amp;'3. Matrix'!AB28&amp;";")),", "&amp;'3. Matrix'!A28,"")&amp;IF(ISNUMBER(SEARCH(";"&amp;A15&amp;";",";"&amp;'3. Matrix'!AB29&amp;";")),", "&amp;'3. Matrix'!A29,"")&amp;IF(ISNUMBER(SEARCH(";"&amp;A15&amp;";",";"&amp;'3. Matrix'!AB30&amp;";")),", "&amp;'3. Matrix'!A30,"")&amp;IF(ISNUMBER(SEARCH(";"&amp;A15&amp;";",";"&amp;'3. Matrix'!AB31&amp;";")),", "&amp;'3. Matrix'!A31,"")&amp;IF(ISNUMBER(SEARCH(";"&amp;A15&amp;";",";"&amp;'3. Matrix'!AB32&amp;";")),", "&amp;'3. Matrix'!A32,"")&amp;IF(ISNUMBER(SEARCH(";"&amp;A15&amp;";",";"&amp;'3. Matrix'!AB33&amp;";")),", "&amp;'3. Matrix'!A33,"")&amp;IF(ISNUMBER(SEARCH(";"&amp;A15&amp;";",";"&amp;'3. Matrix'!AB34&amp;";")),", "&amp;'3. Matrix'!A34,"")&amp;IF(ISNUMBER(SEARCH(";"&amp;A15&amp;";",";"&amp;'3. Matrix'!AB35&amp;";")),", "&amp;'3. Matrix'!A35,"")&amp;IF(ISNUMBER(SEARCH(";"&amp;A15&amp;";",";"&amp;'3. Matrix'!AB36&amp;";")),", "&amp;'3. Matrix'!A36,"")&amp;IF(ISNUMBER(SEARCH(";"&amp;A15&amp;";",";"&amp;'3. Matrix'!AB37&amp;";")),", "&amp;'3. Matrix'!A37,"")&amp;IF(ISNUMBER(SEARCH(";"&amp;A15&amp;";",";"&amp;'3. Matrix'!AB38&amp;";")),", "&amp;'3. Matrix'!A38,"")&amp;IF(ISNUMBER(SEARCH(";"&amp;A15&amp;";",";"&amp;'3. Matrix'!AB39&amp;";")),", "&amp;'3. Matrix'!A39,"")&amp;IF(ISNUMBER(SEARCH(";"&amp;A15&amp;";",";"&amp;'3. Matrix'!AB40&amp;";")),", "&amp;'3. Matrix'!A40,"")&amp;IF(ISNUMBER(SEARCH(";"&amp;A15&amp;";",";"&amp;'3. Matrix'!AB41&amp;";")),", "&amp;'3. Matrix'!A41,"")&amp;IF(ISNUMBER(SEARCH(";"&amp;A15&amp;";",";"&amp;'3. Matrix'!AB42&amp;";")),", "&amp;'3. Matrix'!A42,"")&amp;IF(ISNUMBER(SEARCH(";"&amp;A15&amp;";",";"&amp;'3. Matrix'!AB43&amp;";")),", "&amp;'3. Matrix'!A43,"")&amp;IF(ISNUMBER(SEARCH(";"&amp;A15&amp;";",";"&amp;'3. Matrix'!AB44&amp;";")),", "&amp;'3. Matrix'!A44,"")&amp;IF(ISNUMBER(SEARCH(";"&amp;A15&amp;";",";"&amp;'3. Matrix'!AB45&amp;";")),", "&amp;'3. Matrix'!A45,"")&amp;IF(ISNUMBER(SEARCH(";"&amp;A15&amp;";",";"&amp;'3. Matrix'!AB46&amp;";")),", "&amp;'3. Matrix'!A46,"")&amp;IF(ISNUMBER(SEARCH(";"&amp;A15&amp;";",";"&amp;'3. Matrix'!AB47&amp;";")),", "&amp;'3. Matrix'!A47,"")</f>
        <v/>
      </c>
    </row>
    <row r="16" ht="48" customHeight="1" s="79">
      <c r="A16" s="71" t="inlineStr">
        <is>
          <t>14.3</t>
        </is>
      </c>
      <c r="B16" s="72" t="inlineStr">
        <is>
          <t>Evaluation of Findings</t>
        </is>
      </c>
      <c r="C16" s="72" t="inlineStr">
        <is>
          <t>Requirements</t>
        </is>
      </c>
      <c r="D16" s="72" t="inlineStr">
        <is>
          <t>Each potential finding is evaluated for significance, including likelihood and impact. Root cause is sought when it can be determined. Each finding is prioritised. A significant risk is reported as a finding.</t>
        </is>
      </c>
      <c r="E16" s="72">
        <f>IF(G16="","Not scored on an assignment report",MID(G16,3,400))</f>
        <v/>
      </c>
      <c r="F16" s="72">
        <f>A16&amp;" "&amp;B16&amp;" — "&amp;C16</f>
        <v/>
      </c>
      <c r="G16">
        <f>IF(ISNUMBER(SEARCH(";"&amp;A16&amp;";",";"&amp;'3. Matrix'!AB6&amp;";")),", "&amp;'3. Matrix'!A6,"")&amp;IF(ISNUMBER(SEARCH(";"&amp;A16&amp;";",";"&amp;'3. Matrix'!AB7&amp;";")),", "&amp;'3. Matrix'!A7,"")&amp;IF(ISNUMBER(SEARCH(";"&amp;A16&amp;";",";"&amp;'3. Matrix'!AB8&amp;";")),", "&amp;'3. Matrix'!A8,"")&amp;IF(ISNUMBER(SEARCH(";"&amp;A16&amp;";",";"&amp;'3. Matrix'!AB9&amp;";")),", "&amp;'3. Matrix'!A9,"")&amp;IF(ISNUMBER(SEARCH(";"&amp;A16&amp;";",";"&amp;'3. Matrix'!AB10&amp;";")),", "&amp;'3. Matrix'!A10,"")&amp;IF(ISNUMBER(SEARCH(";"&amp;A16&amp;";",";"&amp;'3. Matrix'!AB11&amp;";")),", "&amp;'3. Matrix'!A11,"")&amp;IF(ISNUMBER(SEARCH(";"&amp;A16&amp;";",";"&amp;'3. Matrix'!AB12&amp;";")),", "&amp;'3. Matrix'!A12,"")&amp;IF(ISNUMBER(SEARCH(";"&amp;A16&amp;";",";"&amp;'3. Matrix'!AB13&amp;";")),", "&amp;'3. Matrix'!A13,"")&amp;IF(ISNUMBER(SEARCH(";"&amp;A16&amp;";",";"&amp;'3. Matrix'!AB14&amp;";")),", "&amp;'3. Matrix'!A14,"")&amp;IF(ISNUMBER(SEARCH(";"&amp;A16&amp;";",";"&amp;'3. Matrix'!AB15&amp;";")),", "&amp;'3. Matrix'!A15,"")&amp;IF(ISNUMBER(SEARCH(";"&amp;A16&amp;";",";"&amp;'3. Matrix'!AB16&amp;";")),", "&amp;'3. Matrix'!A16,"")&amp;IF(ISNUMBER(SEARCH(";"&amp;A16&amp;";",";"&amp;'3. Matrix'!AB17&amp;";")),", "&amp;'3. Matrix'!A17,"")&amp;IF(ISNUMBER(SEARCH(";"&amp;A16&amp;";",";"&amp;'3. Matrix'!AB18&amp;";")),", "&amp;'3. Matrix'!A18,"")&amp;IF(ISNUMBER(SEARCH(";"&amp;A16&amp;";",";"&amp;'3. Matrix'!AB19&amp;";")),", "&amp;'3. Matrix'!A19,"")&amp;IF(ISNUMBER(SEARCH(";"&amp;A16&amp;";",";"&amp;'3. Matrix'!AB20&amp;";")),", "&amp;'3. Matrix'!A20,"")&amp;IF(ISNUMBER(SEARCH(";"&amp;A16&amp;";",";"&amp;'3. Matrix'!AB21&amp;";")),", "&amp;'3. Matrix'!A21,"")&amp;IF(ISNUMBER(SEARCH(";"&amp;A16&amp;";",";"&amp;'3. Matrix'!AB22&amp;";")),", "&amp;'3. Matrix'!A22,"")&amp;IF(ISNUMBER(SEARCH(";"&amp;A16&amp;";",";"&amp;'3. Matrix'!AB23&amp;";")),", "&amp;'3. Matrix'!A23,"")&amp;IF(ISNUMBER(SEARCH(";"&amp;A16&amp;";",";"&amp;'3. Matrix'!AB24&amp;";")),", "&amp;'3. Matrix'!A24,"")&amp;IF(ISNUMBER(SEARCH(";"&amp;A16&amp;";",";"&amp;'3. Matrix'!AB25&amp;";")),", "&amp;'3. Matrix'!A25,"")&amp;IF(ISNUMBER(SEARCH(";"&amp;A16&amp;";",";"&amp;'3. Matrix'!AB26&amp;";")),", "&amp;'3. Matrix'!A26,"")&amp;IF(ISNUMBER(SEARCH(";"&amp;A16&amp;";",";"&amp;'3. Matrix'!AB27&amp;";")),", "&amp;'3. Matrix'!A27,"")&amp;IF(ISNUMBER(SEARCH(";"&amp;A16&amp;";",";"&amp;'3. Matrix'!AB28&amp;";")),", "&amp;'3. Matrix'!A28,"")&amp;IF(ISNUMBER(SEARCH(";"&amp;A16&amp;";",";"&amp;'3. Matrix'!AB29&amp;";")),", "&amp;'3. Matrix'!A29,"")&amp;IF(ISNUMBER(SEARCH(";"&amp;A16&amp;";",";"&amp;'3. Matrix'!AB30&amp;";")),", "&amp;'3. Matrix'!A30,"")&amp;IF(ISNUMBER(SEARCH(";"&amp;A16&amp;";",";"&amp;'3. Matrix'!AB31&amp;";")),", "&amp;'3. Matrix'!A31,"")&amp;IF(ISNUMBER(SEARCH(";"&amp;A16&amp;";",";"&amp;'3. Matrix'!AB32&amp;";")),", "&amp;'3. Matrix'!A32,"")&amp;IF(ISNUMBER(SEARCH(";"&amp;A16&amp;";",";"&amp;'3. Matrix'!AB33&amp;";")),", "&amp;'3. Matrix'!A33,"")&amp;IF(ISNUMBER(SEARCH(";"&amp;A16&amp;";",";"&amp;'3. Matrix'!AB34&amp;";")),", "&amp;'3. Matrix'!A34,"")&amp;IF(ISNUMBER(SEARCH(";"&amp;A16&amp;";",";"&amp;'3. Matrix'!AB35&amp;";")),", "&amp;'3. Matrix'!A35,"")&amp;IF(ISNUMBER(SEARCH(";"&amp;A16&amp;";",";"&amp;'3. Matrix'!AB36&amp;";")),", "&amp;'3. Matrix'!A36,"")&amp;IF(ISNUMBER(SEARCH(";"&amp;A16&amp;";",";"&amp;'3. Matrix'!AB37&amp;";")),", "&amp;'3. Matrix'!A37,"")&amp;IF(ISNUMBER(SEARCH(";"&amp;A16&amp;";",";"&amp;'3. Matrix'!AB38&amp;";")),", "&amp;'3. Matrix'!A38,"")&amp;IF(ISNUMBER(SEARCH(";"&amp;A16&amp;";",";"&amp;'3. Matrix'!AB39&amp;";")),", "&amp;'3. Matrix'!A39,"")&amp;IF(ISNUMBER(SEARCH(";"&amp;A16&amp;";",";"&amp;'3. Matrix'!AB40&amp;";")),", "&amp;'3. Matrix'!A40,"")&amp;IF(ISNUMBER(SEARCH(";"&amp;A16&amp;";",";"&amp;'3. Matrix'!AB41&amp;";")),", "&amp;'3. Matrix'!A41,"")&amp;IF(ISNUMBER(SEARCH(";"&amp;A16&amp;";",";"&amp;'3. Matrix'!AB42&amp;";")),", "&amp;'3. Matrix'!A42,"")&amp;IF(ISNUMBER(SEARCH(";"&amp;A16&amp;";",";"&amp;'3. Matrix'!AB43&amp;";")),", "&amp;'3. Matrix'!A43,"")&amp;IF(ISNUMBER(SEARCH(";"&amp;A16&amp;";",";"&amp;'3. Matrix'!AB44&amp;";")),", "&amp;'3. Matrix'!A44,"")&amp;IF(ISNUMBER(SEARCH(";"&amp;A16&amp;";",";"&amp;'3. Matrix'!AB45&amp;";")),", "&amp;'3. Matrix'!A45,"")&amp;IF(ISNUMBER(SEARCH(";"&amp;A16&amp;";",";"&amp;'3. Matrix'!AB46&amp;";")),", "&amp;'3. Matrix'!A46,"")&amp;IF(ISNUMBER(SEARCH(";"&amp;A16&amp;";",";"&amp;'3. Matrix'!AB47&amp;";")),", "&amp;'3. Matrix'!A47,"")</f>
        <v/>
      </c>
    </row>
    <row r="17" ht="48" customHeight="1" s="79">
      <c r="A17" s="69" t="inlineStr">
        <is>
          <t>14.4</t>
        </is>
      </c>
      <c r="B17" s="70" t="inlineStr">
        <is>
          <t>Recommendations and Action Plans</t>
        </is>
      </c>
      <c r="C17" s="70" t="inlineStr">
        <is>
          <t>Requirements</t>
        </is>
      </c>
      <c r="D17" s="70" t="inlineStr">
        <is>
          <t>The action resolves the gap, mitigates the risk, or addresses the cause. It is discussed with management. Disagreement follows a methodology that keeps both positions. Management implements the action.</t>
        </is>
      </c>
      <c r="E17" s="70">
        <f>IF(G17="","Not scored on an assignment report",MID(G17,3,400))</f>
        <v/>
      </c>
      <c r="F17" s="70">
        <f>A17&amp;" "&amp;B17&amp;" — "&amp;C17</f>
        <v/>
      </c>
      <c r="G17">
        <f>IF(ISNUMBER(SEARCH(";"&amp;A17&amp;";",";"&amp;'3. Matrix'!AB6&amp;";")),", "&amp;'3. Matrix'!A6,"")&amp;IF(ISNUMBER(SEARCH(";"&amp;A17&amp;";",";"&amp;'3. Matrix'!AB7&amp;";")),", "&amp;'3. Matrix'!A7,"")&amp;IF(ISNUMBER(SEARCH(";"&amp;A17&amp;";",";"&amp;'3. Matrix'!AB8&amp;";")),", "&amp;'3. Matrix'!A8,"")&amp;IF(ISNUMBER(SEARCH(";"&amp;A17&amp;";",";"&amp;'3. Matrix'!AB9&amp;";")),", "&amp;'3. Matrix'!A9,"")&amp;IF(ISNUMBER(SEARCH(";"&amp;A17&amp;";",";"&amp;'3. Matrix'!AB10&amp;";")),", "&amp;'3. Matrix'!A10,"")&amp;IF(ISNUMBER(SEARCH(";"&amp;A17&amp;";",";"&amp;'3. Matrix'!AB11&amp;";")),", "&amp;'3. Matrix'!A11,"")&amp;IF(ISNUMBER(SEARCH(";"&amp;A17&amp;";",";"&amp;'3. Matrix'!AB12&amp;";")),", "&amp;'3. Matrix'!A12,"")&amp;IF(ISNUMBER(SEARCH(";"&amp;A17&amp;";",";"&amp;'3. Matrix'!AB13&amp;";")),", "&amp;'3. Matrix'!A13,"")&amp;IF(ISNUMBER(SEARCH(";"&amp;A17&amp;";",";"&amp;'3. Matrix'!AB14&amp;";")),", "&amp;'3. Matrix'!A14,"")&amp;IF(ISNUMBER(SEARCH(";"&amp;A17&amp;";",";"&amp;'3. Matrix'!AB15&amp;";")),", "&amp;'3. Matrix'!A15,"")&amp;IF(ISNUMBER(SEARCH(";"&amp;A17&amp;";",";"&amp;'3. Matrix'!AB16&amp;";")),", "&amp;'3. Matrix'!A16,"")&amp;IF(ISNUMBER(SEARCH(";"&amp;A17&amp;";",";"&amp;'3. Matrix'!AB17&amp;";")),", "&amp;'3. Matrix'!A17,"")&amp;IF(ISNUMBER(SEARCH(";"&amp;A17&amp;";",";"&amp;'3. Matrix'!AB18&amp;";")),", "&amp;'3. Matrix'!A18,"")&amp;IF(ISNUMBER(SEARCH(";"&amp;A17&amp;";",";"&amp;'3. Matrix'!AB19&amp;";")),", "&amp;'3. Matrix'!A19,"")&amp;IF(ISNUMBER(SEARCH(";"&amp;A17&amp;";",";"&amp;'3. Matrix'!AB20&amp;";")),", "&amp;'3. Matrix'!A20,"")&amp;IF(ISNUMBER(SEARCH(";"&amp;A17&amp;";",";"&amp;'3. Matrix'!AB21&amp;";")),", "&amp;'3. Matrix'!A21,"")&amp;IF(ISNUMBER(SEARCH(";"&amp;A17&amp;";",";"&amp;'3. Matrix'!AB22&amp;";")),", "&amp;'3. Matrix'!A22,"")&amp;IF(ISNUMBER(SEARCH(";"&amp;A17&amp;";",";"&amp;'3. Matrix'!AB23&amp;";")),", "&amp;'3. Matrix'!A23,"")&amp;IF(ISNUMBER(SEARCH(";"&amp;A17&amp;";",";"&amp;'3. Matrix'!AB24&amp;";")),", "&amp;'3. Matrix'!A24,"")&amp;IF(ISNUMBER(SEARCH(";"&amp;A17&amp;";",";"&amp;'3. Matrix'!AB25&amp;";")),", "&amp;'3. Matrix'!A25,"")&amp;IF(ISNUMBER(SEARCH(";"&amp;A17&amp;";",";"&amp;'3. Matrix'!AB26&amp;";")),", "&amp;'3. Matrix'!A26,"")&amp;IF(ISNUMBER(SEARCH(";"&amp;A17&amp;";",";"&amp;'3. Matrix'!AB27&amp;";")),", "&amp;'3. Matrix'!A27,"")&amp;IF(ISNUMBER(SEARCH(";"&amp;A17&amp;";",";"&amp;'3. Matrix'!AB28&amp;";")),", "&amp;'3. Matrix'!A28,"")&amp;IF(ISNUMBER(SEARCH(";"&amp;A17&amp;";",";"&amp;'3. Matrix'!AB29&amp;";")),", "&amp;'3. Matrix'!A29,"")&amp;IF(ISNUMBER(SEARCH(";"&amp;A17&amp;";",";"&amp;'3. Matrix'!AB30&amp;";")),", "&amp;'3. Matrix'!A30,"")&amp;IF(ISNUMBER(SEARCH(";"&amp;A17&amp;";",";"&amp;'3. Matrix'!AB31&amp;";")),", "&amp;'3. Matrix'!A31,"")&amp;IF(ISNUMBER(SEARCH(";"&amp;A17&amp;";",";"&amp;'3. Matrix'!AB32&amp;";")),", "&amp;'3. Matrix'!A32,"")&amp;IF(ISNUMBER(SEARCH(";"&amp;A17&amp;";",";"&amp;'3. Matrix'!AB33&amp;";")),", "&amp;'3. Matrix'!A33,"")&amp;IF(ISNUMBER(SEARCH(";"&amp;A17&amp;";",";"&amp;'3. Matrix'!AB34&amp;";")),", "&amp;'3. Matrix'!A34,"")&amp;IF(ISNUMBER(SEARCH(";"&amp;A17&amp;";",";"&amp;'3. Matrix'!AB35&amp;";")),", "&amp;'3. Matrix'!A35,"")&amp;IF(ISNUMBER(SEARCH(";"&amp;A17&amp;";",";"&amp;'3. Matrix'!AB36&amp;";")),", "&amp;'3. Matrix'!A36,"")&amp;IF(ISNUMBER(SEARCH(";"&amp;A17&amp;";",";"&amp;'3. Matrix'!AB37&amp;";")),", "&amp;'3. Matrix'!A37,"")&amp;IF(ISNUMBER(SEARCH(";"&amp;A17&amp;";",";"&amp;'3. Matrix'!AB38&amp;";")),", "&amp;'3. Matrix'!A38,"")&amp;IF(ISNUMBER(SEARCH(";"&amp;A17&amp;";",";"&amp;'3. Matrix'!AB39&amp;";")),", "&amp;'3. Matrix'!A39,"")&amp;IF(ISNUMBER(SEARCH(";"&amp;A17&amp;";",";"&amp;'3. Matrix'!AB40&amp;";")),", "&amp;'3. Matrix'!A40,"")&amp;IF(ISNUMBER(SEARCH(";"&amp;A17&amp;";",";"&amp;'3. Matrix'!AB41&amp;";")),", "&amp;'3. Matrix'!A41,"")&amp;IF(ISNUMBER(SEARCH(";"&amp;A17&amp;";",";"&amp;'3. Matrix'!AB42&amp;";")),", "&amp;'3. Matrix'!A42,"")&amp;IF(ISNUMBER(SEARCH(";"&amp;A17&amp;";",";"&amp;'3. Matrix'!AB43&amp;";")),", "&amp;'3. Matrix'!A43,"")&amp;IF(ISNUMBER(SEARCH(";"&amp;A17&amp;";",";"&amp;'3. Matrix'!AB44&amp;";")),", "&amp;'3. Matrix'!A44,"")&amp;IF(ISNUMBER(SEARCH(";"&amp;A17&amp;";",";"&amp;'3. Matrix'!AB45&amp;";")),", "&amp;'3. Matrix'!A45,"")&amp;IF(ISNUMBER(SEARCH(";"&amp;A17&amp;";",";"&amp;'3. Matrix'!AB46&amp;";")),", "&amp;'3. Matrix'!A46,"")&amp;IF(ISNUMBER(SEARCH(";"&amp;A17&amp;";",";"&amp;'3. Matrix'!AB47&amp;";")),", "&amp;'3. Matrix'!A47,"")</f>
        <v/>
      </c>
    </row>
    <row r="18" ht="48" customHeight="1" s="79">
      <c r="A18" s="71" t="inlineStr">
        <is>
          <t>14.5</t>
        </is>
      </c>
      <c r="B18" s="72" t="inlineStr">
        <is>
          <t>Engagement Conclusions</t>
        </is>
      </c>
      <c r="C18" s="72" t="inlineStr">
        <is>
          <t>Requirements</t>
        </is>
      </c>
      <c r="D18" s="72" t="inlineStr">
        <is>
          <t>The conclusion summarises the results against the engagement objectives and management’s objectives, and judges the findings taken together. An assurance conclusion judges the effectiveness of governance, risk management, and controls, and acknowledges processes that were found to be effective.</t>
        </is>
      </c>
      <c r="E18" s="72">
        <f>IF(G18="","Not scored on an assignment report",MID(G18,3,400))</f>
        <v/>
      </c>
      <c r="F18" s="72">
        <f>A18&amp;" "&amp;B18&amp;" — "&amp;C18</f>
        <v/>
      </c>
      <c r="G18">
        <f>IF(ISNUMBER(SEARCH(";"&amp;A18&amp;";",";"&amp;'3. Matrix'!AB6&amp;";")),", "&amp;'3. Matrix'!A6,"")&amp;IF(ISNUMBER(SEARCH(";"&amp;A18&amp;";",";"&amp;'3. Matrix'!AB7&amp;";")),", "&amp;'3. Matrix'!A7,"")&amp;IF(ISNUMBER(SEARCH(";"&amp;A18&amp;";",";"&amp;'3. Matrix'!AB8&amp;";")),", "&amp;'3. Matrix'!A8,"")&amp;IF(ISNUMBER(SEARCH(";"&amp;A18&amp;";",";"&amp;'3. Matrix'!AB9&amp;";")),", "&amp;'3. Matrix'!A9,"")&amp;IF(ISNUMBER(SEARCH(";"&amp;A18&amp;";",";"&amp;'3. Matrix'!AB10&amp;";")),", "&amp;'3. Matrix'!A10,"")&amp;IF(ISNUMBER(SEARCH(";"&amp;A18&amp;";",";"&amp;'3. Matrix'!AB11&amp;";")),", "&amp;'3. Matrix'!A11,"")&amp;IF(ISNUMBER(SEARCH(";"&amp;A18&amp;";",";"&amp;'3. Matrix'!AB12&amp;";")),", "&amp;'3. Matrix'!A12,"")&amp;IF(ISNUMBER(SEARCH(";"&amp;A18&amp;";",";"&amp;'3. Matrix'!AB13&amp;";")),", "&amp;'3. Matrix'!A13,"")&amp;IF(ISNUMBER(SEARCH(";"&amp;A18&amp;";",";"&amp;'3. Matrix'!AB14&amp;";")),", "&amp;'3. Matrix'!A14,"")&amp;IF(ISNUMBER(SEARCH(";"&amp;A18&amp;";",";"&amp;'3. Matrix'!AB15&amp;";")),", "&amp;'3. Matrix'!A15,"")&amp;IF(ISNUMBER(SEARCH(";"&amp;A18&amp;";",";"&amp;'3. Matrix'!AB16&amp;";")),", "&amp;'3. Matrix'!A16,"")&amp;IF(ISNUMBER(SEARCH(";"&amp;A18&amp;";",";"&amp;'3. Matrix'!AB17&amp;";")),", "&amp;'3. Matrix'!A17,"")&amp;IF(ISNUMBER(SEARCH(";"&amp;A18&amp;";",";"&amp;'3. Matrix'!AB18&amp;";")),", "&amp;'3. Matrix'!A18,"")&amp;IF(ISNUMBER(SEARCH(";"&amp;A18&amp;";",";"&amp;'3. Matrix'!AB19&amp;";")),", "&amp;'3. Matrix'!A19,"")&amp;IF(ISNUMBER(SEARCH(";"&amp;A18&amp;";",";"&amp;'3. Matrix'!AB20&amp;";")),", "&amp;'3. Matrix'!A20,"")&amp;IF(ISNUMBER(SEARCH(";"&amp;A18&amp;";",";"&amp;'3. Matrix'!AB21&amp;";")),", "&amp;'3. Matrix'!A21,"")&amp;IF(ISNUMBER(SEARCH(";"&amp;A18&amp;";",";"&amp;'3. Matrix'!AB22&amp;";")),", "&amp;'3. Matrix'!A22,"")&amp;IF(ISNUMBER(SEARCH(";"&amp;A18&amp;";",";"&amp;'3. Matrix'!AB23&amp;";")),", "&amp;'3. Matrix'!A23,"")&amp;IF(ISNUMBER(SEARCH(";"&amp;A18&amp;";",";"&amp;'3. Matrix'!AB24&amp;";")),", "&amp;'3. Matrix'!A24,"")&amp;IF(ISNUMBER(SEARCH(";"&amp;A18&amp;";",";"&amp;'3. Matrix'!AB25&amp;";")),", "&amp;'3. Matrix'!A25,"")&amp;IF(ISNUMBER(SEARCH(";"&amp;A18&amp;";",";"&amp;'3. Matrix'!AB26&amp;";")),", "&amp;'3. Matrix'!A26,"")&amp;IF(ISNUMBER(SEARCH(";"&amp;A18&amp;";",";"&amp;'3. Matrix'!AB27&amp;";")),", "&amp;'3. Matrix'!A27,"")&amp;IF(ISNUMBER(SEARCH(";"&amp;A18&amp;";",";"&amp;'3. Matrix'!AB28&amp;";")),", "&amp;'3. Matrix'!A28,"")&amp;IF(ISNUMBER(SEARCH(";"&amp;A18&amp;";",";"&amp;'3. Matrix'!AB29&amp;";")),", "&amp;'3. Matrix'!A29,"")&amp;IF(ISNUMBER(SEARCH(";"&amp;A18&amp;";",";"&amp;'3. Matrix'!AB30&amp;";")),", "&amp;'3. Matrix'!A30,"")&amp;IF(ISNUMBER(SEARCH(";"&amp;A18&amp;";",";"&amp;'3. Matrix'!AB31&amp;";")),", "&amp;'3. Matrix'!A31,"")&amp;IF(ISNUMBER(SEARCH(";"&amp;A18&amp;";",";"&amp;'3. Matrix'!AB32&amp;";")),", "&amp;'3. Matrix'!A32,"")&amp;IF(ISNUMBER(SEARCH(";"&amp;A18&amp;";",";"&amp;'3. Matrix'!AB33&amp;";")),", "&amp;'3. Matrix'!A33,"")&amp;IF(ISNUMBER(SEARCH(";"&amp;A18&amp;";",";"&amp;'3. Matrix'!AB34&amp;";")),", "&amp;'3. Matrix'!A34,"")&amp;IF(ISNUMBER(SEARCH(";"&amp;A18&amp;";",";"&amp;'3. Matrix'!AB35&amp;";")),", "&amp;'3. Matrix'!A35,"")&amp;IF(ISNUMBER(SEARCH(";"&amp;A18&amp;";",";"&amp;'3. Matrix'!AB36&amp;";")),", "&amp;'3. Matrix'!A36,"")&amp;IF(ISNUMBER(SEARCH(";"&amp;A18&amp;";",";"&amp;'3. Matrix'!AB37&amp;";")),", "&amp;'3. Matrix'!A37,"")&amp;IF(ISNUMBER(SEARCH(";"&amp;A18&amp;";",";"&amp;'3. Matrix'!AB38&amp;";")),", "&amp;'3. Matrix'!A38,"")&amp;IF(ISNUMBER(SEARCH(";"&amp;A18&amp;";",";"&amp;'3. Matrix'!AB39&amp;";")),", "&amp;'3. Matrix'!A39,"")&amp;IF(ISNUMBER(SEARCH(";"&amp;A18&amp;";",";"&amp;'3. Matrix'!AB40&amp;";")),", "&amp;'3. Matrix'!A40,"")&amp;IF(ISNUMBER(SEARCH(";"&amp;A18&amp;";",";"&amp;'3. Matrix'!AB41&amp;";")),", "&amp;'3. Matrix'!A41,"")&amp;IF(ISNUMBER(SEARCH(";"&amp;A18&amp;";",";"&amp;'3. Matrix'!AB42&amp;";")),", "&amp;'3. Matrix'!A42,"")&amp;IF(ISNUMBER(SEARCH(";"&amp;A18&amp;";",";"&amp;'3. Matrix'!AB43&amp;";")),", "&amp;'3. Matrix'!A43,"")&amp;IF(ISNUMBER(SEARCH(";"&amp;A18&amp;";",";"&amp;'3. Matrix'!AB44&amp;";")),", "&amp;'3. Matrix'!A44,"")&amp;IF(ISNUMBER(SEARCH(";"&amp;A18&amp;";",";"&amp;'3. Matrix'!AB45&amp;";")),", "&amp;'3. Matrix'!A45,"")&amp;IF(ISNUMBER(SEARCH(";"&amp;A18&amp;";",";"&amp;'3. Matrix'!AB46&amp;";")),", "&amp;'3. Matrix'!A46,"")&amp;IF(ISNUMBER(SEARCH(";"&amp;A18&amp;";",";"&amp;'3. Matrix'!AB47&amp;";")),", "&amp;'3. Matrix'!A47,"")</f>
        <v/>
      </c>
    </row>
    <row r="19" ht="48" customHeight="1" s="79">
      <c r="A19" s="69" t="inlineStr">
        <is>
          <t>15.1</t>
        </is>
      </c>
      <c r="B19" s="70" t="inlineStr">
        <is>
          <t>Final Engagement Communication</t>
        </is>
      </c>
      <c r="C19" s="70" t="inlineStr">
        <is>
          <t>Requirements</t>
        </is>
      </c>
      <c r="D19" s="70" t="inlineStr">
        <is>
          <t>The final communication includes objectives, scope, actions where they apply, and conclusions. Assurance work also includes the findings and their priority, any scope limitation, and a conclusion on the governance, risk management, and controls of the activity. Owners and planned dates are stated. Action already started is acknowledged. The seven qualities in Standard 11.2 apply. The chief audit executive approves it before issue, and it goes to people who can act on it. Nonconformance is disclosed when it occurred. A conformance statement is a consideration, and only where supervision and the quality programme support it.</t>
        </is>
      </c>
      <c r="E19" s="70">
        <f>IF(G19="","Not scored on an assignment report",MID(G19,3,400))</f>
        <v/>
      </c>
      <c r="F19" s="70">
        <f>A19&amp;" "&amp;B19&amp;" — "&amp;C19</f>
        <v/>
      </c>
      <c r="G19">
        <f>IF(ISNUMBER(SEARCH(";"&amp;A19&amp;";",";"&amp;'3. Matrix'!AB6&amp;";")),", "&amp;'3. Matrix'!A6,"")&amp;IF(ISNUMBER(SEARCH(";"&amp;A19&amp;";",";"&amp;'3. Matrix'!AB7&amp;";")),", "&amp;'3. Matrix'!A7,"")&amp;IF(ISNUMBER(SEARCH(";"&amp;A19&amp;";",";"&amp;'3. Matrix'!AB8&amp;";")),", "&amp;'3. Matrix'!A8,"")&amp;IF(ISNUMBER(SEARCH(";"&amp;A19&amp;";",";"&amp;'3. Matrix'!AB9&amp;";")),", "&amp;'3. Matrix'!A9,"")&amp;IF(ISNUMBER(SEARCH(";"&amp;A19&amp;";",";"&amp;'3. Matrix'!AB10&amp;";")),", "&amp;'3. Matrix'!A10,"")&amp;IF(ISNUMBER(SEARCH(";"&amp;A19&amp;";",";"&amp;'3. Matrix'!AB11&amp;";")),", "&amp;'3. Matrix'!A11,"")&amp;IF(ISNUMBER(SEARCH(";"&amp;A19&amp;";",";"&amp;'3. Matrix'!AB12&amp;";")),", "&amp;'3. Matrix'!A12,"")&amp;IF(ISNUMBER(SEARCH(";"&amp;A19&amp;";",";"&amp;'3. Matrix'!AB13&amp;";")),", "&amp;'3. Matrix'!A13,"")&amp;IF(ISNUMBER(SEARCH(";"&amp;A19&amp;";",";"&amp;'3. Matrix'!AB14&amp;";")),", "&amp;'3. Matrix'!A14,"")&amp;IF(ISNUMBER(SEARCH(";"&amp;A19&amp;";",";"&amp;'3. Matrix'!AB15&amp;";")),", "&amp;'3. Matrix'!A15,"")&amp;IF(ISNUMBER(SEARCH(";"&amp;A19&amp;";",";"&amp;'3. Matrix'!AB16&amp;";")),", "&amp;'3. Matrix'!A16,"")&amp;IF(ISNUMBER(SEARCH(";"&amp;A19&amp;";",";"&amp;'3. Matrix'!AB17&amp;";")),", "&amp;'3. Matrix'!A17,"")&amp;IF(ISNUMBER(SEARCH(";"&amp;A19&amp;";",";"&amp;'3. Matrix'!AB18&amp;";")),", "&amp;'3. Matrix'!A18,"")&amp;IF(ISNUMBER(SEARCH(";"&amp;A19&amp;";",";"&amp;'3. Matrix'!AB19&amp;";")),", "&amp;'3. Matrix'!A19,"")&amp;IF(ISNUMBER(SEARCH(";"&amp;A19&amp;";",";"&amp;'3. Matrix'!AB20&amp;";")),", "&amp;'3. Matrix'!A20,"")&amp;IF(ISNUMBER(SEARCH(";"&amp;A19&amp;";",";"&amp;'3. Matrix'!AB21&amp;";")),", "&amp;'3. Matrix'!A21,"")&amp;IF(ISNUMBER(SEARCH(";"&amp;A19&amp;";",";"&amp;'3. Matrix'!AB22&amp;";")),", "&amp;'3. Matrix'!A22,"")&amp;IF(ISNUMBER(SEARCH(";"&amp;A19&amp;";",";"&amp;'3. Matrix'!AB23&amp;";")),", "&amp;'3. Matrix'!A23,"")&amp;IF(ISNUMBER(SEARCH(";"&amp;A19&amp;";",";"&amp;'3. Matrix'!AB24&amp;";")),", "&amp;'3. Matrix'!A24,"")&amp;IF(ISNUMBER(SEARCH(";"&amp;A19&amp;";",";"&amp;'3. Matrix'!AB25&amp;";")),", "&amp;'3. Matrix'!A25,"")&amp;IF(ISNUMBER(SEARCH(";"&amp;A19&amp;";",";"&amp;'3. Matrix'!AB26&amp;";")),", "&amp;'3. Matrix'!A26,"")&amp;IF(ISNUMBER(SEARCH(";"&amp;A19&amp;";",";"&amp;'3. Matrix'!AB27&amp;";")),", "&amp;'3. Matrix'!A27,"")&amp;IF(ISNUMBER(SEARCH(";"&amp;A19&amp;";",";"&amp;'3. Matrix'!AB28&amp;";")),", "&amp;'3. Matrix'!A28,"")&amp;IF(ISNUMBER(SEARCH(";"&amp;A19&amp;";",";"&amp;'3. Matrix'!AB29&amp;";")),", "&amp;'3. Matrix'!A29,"")&amp;IF(ISNUMBER(SEARCH(";"&amp;A19&amp;";",";"&amp;'3. Matrix'!AB30&amp;";")),", "&amp;'3. Matrix'!A30,"")&amp;IF(ISNUMBER(SEARCH(";"&amp;A19&amp;";",";"&amp;'3. Matrix'!AB31&amp;";")),", "&amp;'3. Matrix'!A31,"")&amp;IF(ISNUMBER(SEARCH(";"&amp;A19&amp;";",";"&amp;'3. Matrix'!AB32&amp;";")),", "&amp;'3. Matrix'!A32,"")&amp;IF(ISNUMBER(SEARCH(";"&amp;A19&amp;";",";"&amp;'3. Matrix'!AB33&amp;";")),", "&amp;'3. Matrix'!A33,"")&amp;IF(ISNUMBER(SEARCH(";"&amp;A19&amp;";",";"&amp;'3. Matrix'!AB34&amp;";")),", "&amp;'3. Matrix'!A34,"")&amp;IF(ISNUMBER(SEARCH(";"&amp;A19&amp;";",";"&amp;'3. Matrix'!AB35&amp;";")),", "&amp;'3. Matrix'!A35,"")&amp;IF(ISNUMBER(SEARCH(";"&amp;A19&amp;";",";"&amp;'3. Matrix'!AB36&amp;";")),", "&amp;'3. Matrix'!A36,"")&amp;IF(ISNUMBER(SEARCH(";"&amp;A19&amp;";",";"&amp;'3. Matrix'!AB37&amp;";")),", "&amp;'3. Matrix'!A37,"")&amp;IF(ISNUMBER(SEARCH(";"&amp;A19&amp;";",";"&amp;'3. Matrix'!AB38&amp;";")),", "&amp;'3. Matrix'!A38,"")&amp;IF(ISNUMBER(SEARCH(";"&amp;A19&amp;";",";"&amp;'3. Matrix'!AB39&amp;";")),", "&amp;'3. Matrix'!A39,"")&amp;IF(ISNUMBER(SEARCH(";"&amp;A19&amp;";",";"&amp;'3. Matrix'!AB40&amp;";")),", "&amp;'3. Matrix'!A40,"")&amp;IF(ISNUMBER(SEARCH(";"&amp;A19&amp;";",";"&amp;'3. Matrix'!AB41&amp;";")),", "&amp;'3. Matrix'!A41,"")&amp;IF(ISNUMBER(SEARCH(";"&amp;A19&amp;";",";"&amp;'3. Matrix'!AB42&amp;";")),", "&amp;'3. Matrix'!A42,"")&amp;IF(ISNUMBER(SEARCH(";"&amp;A19&amp;";",";"&amp;'3. Matrix'!AB43&amp;";")),", "&amp;'3. Matrix'!A43,"")&amp;IF(ISNUMBER(SEARCH(";"&amp;A19&amp;";",";"&amp;'3. Matrix'!AB44&amp;";")),", "&amp;'3. Matrix'!A44,"")&amp;IF(ISNUMBER(SEARCH(";"&amp;A19&amp;";",";"&amp;'3. Matrix'!AB45&amp;";")),", "&amp;'3. Matrix'!A45,"")&amp;IF(ISNUMBER(SEARCH(";"&amp;A19&amp;";",";"&amp;'3. Matrix'!AB46&amp;";")),", "&amp;'3. Matrix'!A46,"")&amp;IF(ISNUMBER(SEARCH(";"&amp;A19&amp;";",";"&amp;'3. Matrix'!AB47&amp;";")),", "&amp;'3. Matrix'!A47,"")</f>
        <v/>
      </c>
    </row>
    <row r="20" ht="48" customHeight="1" s="79">
      <c r="A20" s="71" t="inlineStr">
        <is>
          <t>15.2</t>
        </is>
      </c>
      <c r="B20" s="72" t="inlineStr">
        <is>
          <t>Confirming the Implementation of Recommendations or Action Plans</t>
        </is>
      </c>
      <c r="C20" s="72" t="inlineStr">
        <is>
          <t>Requirements</t>
        </is>
      </c>
      <c r="D20" s="72" t="inlineStr">
        <is>
          <t>Follow-up confirms that agreed actions were implemented. It is not a line on the first assignment report.</t>
        </is>
      </c>
      <c r="E20" s="72">
        <f>IF(G20="","Not scored on an assignment report",MID(G20,3,400))</f>
        <v/>
      </c>
      <c r="F20" s="72">
        <f>A20&amp;" "&amp;B20&amp;" — "&amp;C20</f>
        <v/>
      </c>
      <c r="G20">
        <f>IF(ISNUMBER(SEARCH(";"&amp;A20&amp;";",";"&amp;'3. Matrix'!AB6&amp;";")),", "&amp;'3. Matrix'!A6,"")&amp;IF(ISNUMBER(SEARCH(";"&amp;A20&amp;";",";"&amp;'3. Matrix'!AB7&amp;";")),", "&amp;'3. Matrix'!A7,"")&amp;IF(ISNUMBER(SEARCH(";"&amp;A20&amp;";",";"&amp;'3. Matrix'!AB8&amp;";")),", "&amp;'3. Matrix'!A8,"")&amp;IF(ISNUMBER(SEARCH(";"&amp;A20&amp;";",";"&amp;'3. Matrix'!AB9&amp;";")),", "&amp;'3. Matrix'!A9,"")&amp;IF(ISNUMBER(SEARCH(";"&amp;A20&amp;";",";"&amp;'3. Matrix'!AB10&amp;";")),", "&amp;'3. Matrix'!A10,"")&amp;IF(ISNUMBER(SEARCH(";"&amp;A20&amp;";",";"&amp;'3. Matrix'!AB11&amp;";")),", "&amp;'3. Matrix'!A11,"")&amp;IF(ISNUMBER(SEARCH(";"&amp;A20&amp;";",";"&amp;'3. Matrix'!AB12&amp;";")),", "&amp;'3. Matrix'!A12,"")&amp;IF(ISNUMBER(SEARCH(";"&amp;A20&amp;";",";"&amp;'3. Matrix'!AB13&amp;";")),", "&amp;'3. Matrix'!A13,"")&amp;IF(ISNUMBER(SEARCH(";"&amp;A20&amp;";",";"&amp;'3. Matrix'!AB14&amp;";")),", "&amp;'3. Matrix'!A14,"")&amp;IF(ISNUMBER(SEARCH(";"&amp;A20&amp;";",";"&amp;'3. Matrix'!AB15&amp;";")),", "&amp;'3. Matrix'!A15,"")&amp;IF(ISNUMBER(SEARCH(";"&amp;A20&amp;";",";"&amp;'3. Matrix'!AB16&amp;";")),", "&amp;'3. Matrix'!A16,"")&amp;IF(ISNUMBER(SEARCH(";"&amp;A20&amp;";",";"&amp;'3. Matrix'!AB17&amp;";")),", "&amp;'3. Matrix'!A17,"")&amp;IF(ISNUMBER(SEARCH(";"&amp;A20&amp;";",";"&amp;'3. Matrix'!AB18&amp;";")),", "&amp;'3. Matrix'!A18,"")&amp;IF(ISNUMBER(SEARCH(";"&amp;A20&amp;";",";"&amp;'3. Matrix'!AB19&amp;";")),", "&amp;'3. Matrix'!A19,"")&amp;IF(ISNUMBER(SEARCH(";"&amp;A20&amp;";",";"&amp;'3. Matrix'!AB20&amp;";")),", "&amp;'3. Matrix'!A20,"")&amp;IF(ISNUMBER(SEARCH(";"&amp;A20&amp;";",";"&amp;'3. Matrix'!AB21&amp;";")),", "&amp;'3. Matrix'!A21,"")&amp;IF(ISNUMBER(SEARCH(";"&amp;A20&amp;";",";"&amp;'3. Matrix'!AB22&amp;";")),", "&amp;'3. Matrix'!A22,"")&amp;IF(ISNUMBER(SEARCH(";"&amp;A20&amp;";",";"&amp;'3. Matrix'!AB23&amp;";")),", "&amp;'3. Matrix'!A23,"")&amp;IF(ISNUMBER(SEARCH(";"&amp;A20&amp;";",";"&amp;'3. Matrix'!AB24&amp;";")),", "&amp;'3. Matrix'!A24,"")&amp;IF(ISNUMBER(SEARCH(";"&amp;A20&amp;";",";"&amp;'3. Matrix'!AB25&amp;";")),", "&amp;'3. Matrix'!A25,"")&amp;IF(ISNUMBER(SEARCH(";"&amp;A20&amp;";",";"&amp;'3. Matrix'!AB26&amp;";")),", "&amp;'3. Matrix'!A26,"")&amp;IF(ISNUMBER(SEARCH(";"&amp;A20&amp;";",";"&amp;'3. Matrix'!AB27&amp;";")),", "&amp;'3. Matrix'!A27,"")&amp;IF(ISNUMBER(SEARCH(";"&amp;A20&amp;";",";"&amp;'3. Matrix'!AB28&amp;";")),", "&amp;'3. Matrix'!A28,"")&amp;IF(ISNUMBER(SEARCH(";"&amp;A20&amp;";",";"&amp;'3. Matrix'!AB29&amp;";")),", "&amp;'3. Matrix'!A29,"")&amp;IF(ISNUMBER(SEARCH(";"&amp;A20&amp;";",";"&amp;'3. Matrix'!AB30&amp;";")),", "&amp;'3. Matrix'!A30,"")&amp;IF(ISNUMBER(SEARCH(";"&amp;A20&amp;";",";"&amp;'3. Matrix'!AB31&amp;";")),", "&amp;'3. Matrix'!A31,"")&amp;IF(ISNUMBER(SEARCH(";"&amp;A20&amp;";",";"&amp;'3. Matrix'!AB32&amp;";")),", "&amp;'3. Matrix'!A32,"")&amp;IF(ISNUMBER(SEARCH(";"&amp;A20&amp;";",";"&amp;'3. Matrix'!AB33&amp;";")),", "&amp;'3. Matrix'!A33,"")&amp;IF(ISNUMBER(SEARCH(";"&amp;A20&amp;";",";"&amp;'3. Matrix'!AB34&amp;";")),", "&amp;'3. Matrix'!A34,"")&amp;IF(ISNUMBER(SEARCH(";"&amp;A20&amp;";",";"&amp;'3. Matrix'!AB35&amp;";")),", "&amp;'3. Matrix'!A35,"")&amp;IF(ISNUMBER(SEARCH(";"&amp;A20&amp;";",";"&amp;'3. Matrix'!AB36&amp;";")),", "&amp;'3. Matrix'!A36,"")&amp;IF(ISNUMBER(SEARCH(";"&amp;A20&amp;";",";"&amp;'3. Matrix'!AB37&amp;";")),", "&amp;'3. Matrix'!A37,"")&amp;IF(ISNUMBER(SEARCH(";"&amp;A20&amp;";",";"&amp;'3. Matrix'!AB38&amp;";")),", "&amp;'3. Matrix'!A38,"")&amp;IF(ISNUMBER(SEARCH(";"&amp;A20&amp;";",";"&amp;'3. Matrix'!AB39&amp;";")),", "&amp;'3. Matrix'!A39,"")&amp;IF(ISNUMBER(SEARCH(";"&amp;A20&amp;";",";"&amp;'3. Matrix'!AB40&amp;";")),", "&amp;'3. Matrix'!A40,"")&amp;IF(ISNUMBER(SEARCH(";"&amp;A20&amp;";",";"&amp;'3. Matrix'!AB41&amp;";")),", "&amp;'3. Matrix'!A41,"")&amp;IF(ISNUMBER(SEARCH(";"&amp;A20&amp;";",";"&amp;'3. Matrix'!AB42&amp;";")),", "&amp;'3. Matrix'!A42,"")&amp;IF(ISNUMBER(SEARCH(";"&amp;A20&amp;";",";"&amp;'3. Matrix'!AB43&amp;";")),", "&amp;'3. Matrix'!A43,"")&amp;IF(ISNUMBER(SEARCH(";"&amp;A20&amp;";",";"&amp;'3. Matrix'!AB44&amp;";")),", "&amp;'3. Matrix'!A44,"")&amp;IF(ISNUMBER(SEARCH(";"&amp;A20&amp;";",";"&amp;'3. Matrix'!AB45&amp;";")),", "&amp;'3. Matrix'!A45,"")&amp;IF(ISNUMBER(SEARCH(";"&amp;A20&amp;";",";"&amp;'3. Matrix'!AB46&amp;";")),", "&amp;'3. Matrix'!A46,"")&amp;IF(ISNUMBER(SEARCH(";"&amp;A20&amp;";",";"&amp;'3. Matrix'!AB47&amp;";")),", "&amp;'3. Matrix'!A47,"")</f>
        <v/>
      </c>
    </row>
    <row r="21" ht="48" customHeight="1" s="79">
      <c r="A21" s="69" t="inlineStr">
        <is>
          <t>P2</t>
        </is>
      </c>
      <c r="B21" s="70" t="inlineStr">
        <is>
          <t>Principle 2 Maintain Objectivity</t>
        </is>
      </c>
      <c r="C21" s="70" t="inlineStr">
        <is>
          <t>Principle</t>
        </is>
      </c>
      <c r="D21" s="70" t="inlineStr">
        <is>
          <t>The auditor is impartial, and the conclusion is a fair assessment of the relevant facts. Scored only through the objective quality in Standard 11.2.</t>
        </is>
      </c>
      <c r="E21" s="70">
        <f>IF(G21="","Not scored on an assignment report",MID(G21,3,400))</f>
        <v/>
      </c>
      <c r="F21" s="70">
        <f>A21&amp;" "&amp;B21&amp;" — "&amp;C21</f>
        <v/>
      </c>
      <c r="G21">
        <f>IF(ISNUMBER(SEARCH(";"&amp;A21&amp;";",";"&amp;'3. Matrix'!AB6&amp;";")),", "&amp;'3. Matrix'!A6,"")&amp;IF(ISNUMBER(SEARCH(";"&amp;A21&amp;";",";"&amp;'3. Matrix'!AB7&amp;";")),", "&amp;'3. Matrix'!A7,"")&amp;IF(ISNUMBER(SEARCH(";"&amp;A21&amp;";",";"&amp;'3. Matrix'!AB8&amp;";")),", "&amp;'3. Matrix'!A8,"")&amp;IF(ISNUMBER(SEARCH(";"&amp;A21&amp;";",";"&amp;'3. Matrix'!AB9&amp;";")),", "&amp;'3. Matrix'!A9,"")&amp;IF(ISNUMBER(SEARCH(";"&amp;A21&amp;";",";"&amp;'3. Matrix'!AB10&amp;";")),", "&amp;'3. Matrix'!A10,"")&amp;IF(ISNUMBER(SEARCH(";"&amp;A21&amp;";",";"&amp;'3. Matrix'!AB11&amp;";")),", "&amp;'3. Matrix'!A11,"")&amp;IF(ISNUMBER(SEARCH(";"&amp;A21&amp;";",";"&amp;'3. Matrix'!AB12&amp;";")),", "&amp;'3. Matrix'!A12,"")&amp;IF(ISNUMBER(SEARCH(";"&amp;A21&amp;";",";"&amp;'3. Matrix'!AB13&amp;";")),", "&amp;'3. Matrix'!A13,"")&amp;IF(ISNUMBER(SEARCH(";"&amp;A21&amp;";",";"&amp;'3. Matrix'!AB14&amp;";")),", "&amp;'3. Matrix'!A14,"")&amp;IF(ISNUMBER(SEARCH(";"&amp;A21&amp;";",";"&amp;'3. Matrix'!AB15&amp;";")),", "&amp;'3. Matrix'!A15,"")&amp;IF(ISNUMBER(SEARCH(";"&amp;A21&amp;";",";"&amp;'3. Matrix'!AB16&amp;";")),", "&amp;'3. Matrix'!A16,"")&amp;IF(ISNUMBER(SEARCH(";"&amp;A21&amp;";",";"&amp;'3. Matrix'!AB17&amp;";")),", "&amp;'3. Matrix'!A17,"")&amp;IF(ISNUMBER(SEARCH(";"&amp;A21&amp;";",";"&amp;'3. Matrix'!AB18&amp;";")),", "&amp;'3. Matrix'!A18,"")&amp;IF(ISNUMBER(SEARCH(";"&amp;A21&amp;";",";"&amp;'3. Matrix'!AB19&amp;";")),", "&amp;'3. Matrix'!A19,"")&amp;IF(ISNUMBER(SEARCH(";"&amp;A21&amp;";",";"&amp;'3. Matrix'!AB20&amp;";")),", "&amp;'3. Matrix'!A20,"")&amp;IF(ISNUMBER(SEARCH(";"&amp;A21&amp;";",";"&amp;'3. Matrix'!AB21&amp;";")),", "&amp;'3. Matrix'!A21,"")&amp;IF(ISNUMBER(SEARCH(";"&amp;A21&amp;";",";"&amp;'3. Matrix'!AB22&amp;";")),", "&amp;'3. Matrix'!A22,"")&amp;IF(ISNUMBER(SEARCH(";"&amp;A21&amp;";",";"&amp;'3. Matrix'!AB23&amp;";")),", "&amp;'3. Matrix'!A23,"")&amp;IF(ISNUMBER(SEARCH(";"&amp;A21&amp;";",";"&amp;'3. Matrix'!AB24&amp;";")),", "&amp;'3. Matrix'!A24,"")&amp;IF(ISNUMBER(SEARCH(";"&amp;A21&amp;";",";"&amp;'3. Matrix'!AB25&amp;";")),", "&amp;'3. Matrix'!A25,"")&amp;IF(ISNUMBER(SEARCH(";"&amp;A21&amp;";",";"&amp;'3. Matrix'!AB26&amp;";")),", "&amp;'3. Matrix'!A26,"")&amp;IF(ISNUMBER(SEARCH(";"&amp;A21&amp;";",";"&amp;'3. Matrix'!AB27&amp;";")),", "&amp;'3. Matrix'!A27,"")&amp;IF(ISNUMBER(SEARCH(";"&amp;A21&amp;";",";"&amp;'3. Matrix'!AB28&amp;";")),", "&amp;'3. Matrix'!A28,"")&amp;IF(ISNUMBER(SEARCH(";"&amp;A21&amp;";",";"&amp;'3. Matrix'!AB29&amp;";")),", "&amp;'3. Matrix'!A29,"")&amp;IF(ISNUMBER(SEARCH(";"&amp;A21&amp;";",";"&amp;'3. Matrix'!AB30&amp;";")),", "&amp;'3. Matrix'!A30,"")&amp;IF(ISNUMBER(SEARCH(";"&amp;A21&amp;";",";"&amp;'3. Matrix'!AB31&amp;";")),", "&amp;'3. Matrix'!A31,"")&amp;IF(ISNUMBER(SEARCH(";"&amp;A21&amp;";",";"&amp;'3. Matrix'!AB32&amp;";")),", "&amp;'3. Matrix'!A32,"")&amp;IF(ISNUMBER(SEARCH(";"&amp;A21&amp;";",";"&amp;'3. Matrix'!AB33&amp;";")),", "&amp;'3. Matrix'!A33,"")&amp;IF(ISNUMBER(SEARCH(";"&amp;A21&amp;";",";"&amp;'3. Matrix'!AB34&amp;";")),", "&amp;'3. Matrix'!A34,"")&amp;IF(ISNUMBER(SEARCH(";"&amp;A21&amp;";",";"&amp;'3. Matrix'!AB35&amp;";")),", "&amp;'3. Matrix'!A35,"")&amp;IF(ISNUMBER(SEARCH(";"&amp;A21&amp;";",";"&amp;'3. Matrix'!AB36&amp;";")),", "&amp;'3. Matrix'!A36,"")&amp;IF(ISNUMBER(SEARCH(";"&amp;A21&amp;";",";"&amp;'3. Matrix'!AB37&amp;";")),", "&amp;'3. Matrix'!A37,"")&amp;IF(ISNUMBER(SEARCH(";"&amp;A21&amp;";",";"&amp;'3. Matrix'!AB38&amp;";")),", "&amp;'3. Matrix'!A38,"")&amp;IF(ISNUMBER(SEARCH(";"&amp;A21&amp;";",";"&amp;'3. Matrix'!AB39&amp;";")),", "&amp;'3. Matrix'!A39,"")&amp;IF(ISNUMBER(SEARCH(";"&amp;A21&amp;";",";"&amp;'3. Matrix'!AB40&amp;";")),", "&amp;'3. Matrix'!A40,"")&amp;IF(ISNUMBER(SEARCH(";"&amp;A21&amp;";",";"&amp;'3. Matrix'!AB41&amp;";")),", "&amp;'3. Matrix'!A41,"")&amp;IF(ISNUMBER(SEARCH(";"&amp;A21&amp;";",";"&amp;'3. Matrix'!AB42&amp;";")),", "&amp;'3. Matrix'!A42,"")&amp;IF(ISNUMBER(SEARCH(";"&amp;A21&amp;";",";"&amp;'3. Matrix'!AB43&amp;";")),", "&amp;'3. Matrix'!A43,"")&amp;IF(ISNUMBER(SEARCH(";"&amp;A21&amp;";",";"&amp;'3. Matrix'!AB44&amp;";")),", "&amp;'3. Matrix'!A44,"")&amp;IF(ISNUMBER(SEARCH(";"&amp;A21&amp;";",";"&amp;'3. Matrix'!AB45&amp;";")),", "&amp;'3. Matrix'!A45,"")&amp;IF(ISNUMBER(SEARCH(";"&amp;A21&amp;";",";"&amp;'3. Matrix'!AB46&amp;";")),", "&amp;'3. Matrix'!A46,"")&amp;IF(ISNUMBER(SEARCH(";"&amp;A21&amp;";",";"&amp;'3. Matrix'!AB47&amp;";")),", "&amp;'3. Matrix'!A47,"")</f>
        <v/>
      </c>
    </row>
  </sheetData>
  <sheetProtection selectLockedCells="1" selectUnlockedCells="1" sheet="1" objects="0" insertRows="0" insertHyperlinks="1" autoFilter="1" scenarios="0" formatColumns="1" deleteColumns="0" insertColumns="0" pivotTables="1" deleteRows="0" formatCells="1" formatRows="1" sort="1"/>
  <autoFilter ref="A4:E21"/>
  <mergeCells count="2">
    <mergeCell ref="A2:E2"/>
    <mergeCell ref="A1:E1"/>
  </mergeCells>
  <pageMargins left="0.75" right="0.75" top="1" bottom="1" header="0.5" footer="0.5"/>
  <pageSetup orientation="landscape" paperSize="9"/>
  <headerFooter>
    <oddHeader>&amp;R&amp;"Calibri"&amp;9 Majid Mumtaz (CIA, ACA, FCCA) | Veritux Advisory | The Audit Signal</oddHeader>
    <oddFooter>&amp;LParaphrase of the Global Internal Audit Standards (2024). Not an IIA publication.&amp;RPage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Majid Mumtaz</dc:creator>
  <dc:title xmlns:dc="http://purl.org/dc/elements/1.1/">Internal audit report evaluation matrix</dc:title>
  <dc:description xmlns:dc="http://purl.org/dc/elements/1.1/">Review tool for one internal audit communication, based on the Global Internal Audit Standards (2024 edition, effective 9 January 2025). Prepared by Majid Mumtaz, CIA, ACA, FCCA. Not published or endorsed by the Institute of Internal Auditors.</dc:description>
  <dc:subject xmlns:dc="http://purl.org/dc/elements/1.1/">GIAS 2024 final engagement communication</dc:subject>
  <dcterms:created xmlns:dcterms="http://purl.org/dc/terms/" xmlns:xsi="http://www.w3.org/2001/XMLSchema-instance" xsi:type="dcterms:W3CDTF">2026-10-10T13:42:00Z</dcterms:created>
  <dcterms:modified xmlns:dcterms="http://purl.org/dc/terms/" xmlns:xsi="http://www.w3.org/2001/XMLSchema-instance" xsi:type="dcterms:W3CDTF">2026-10-31T07:05:13Z</dcterms:modified>
  <cp:lastModifiedBy>Majid Mumtaz</cp:lastModifiedBy>
  <cp:keywords>Majid Mumtaz, CIA, ACA, FCCA, GIAS 2024</cp:keywords>
</cp:coreProperties>
</file>